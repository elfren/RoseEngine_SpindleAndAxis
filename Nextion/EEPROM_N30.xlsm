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RE30\"/>
    </mc:Choice>
  </mc:AlternateContent>
  <xr:revisionPtr revIDLastSave="0" documentId="13_ncr:1_{5BF8D0C8-DB38-4C44-B1FD-47D81C2D4DFF}" xr6:coauthVersionLast="47" xr6:coauthVersionMax="47" xr10:uidLastSave="{00000000-0000-0000-0000-000000000000}"/>
  <bookViews>
    <workbookView xWindow="29610" yWindow="-120" windowWidth="28110" windowHeight="16440" xr2:uid="{00000000-000D-0000-FFFF-FFFF00000000}"/>
  </bookViews>
  <sheets>
    <sheet name="Ini File" sheetId="13" r:id="rId1"/>
    <sheet name="Sheet4" sheetId="17" r:id="rId2"/>
    <sheet name="PinOuts" sheetId="7" r:id="rId3"/>
    <sheet name="Struct Size" sheetId="8" r:id="rId4"/>
    <sheet name="ProgramKeys" sheetId="11" r:id="rId5"/>
    <sheet name="ControlLocation" sheetId="10" r:id="rId6"/>
  </sheets>
  <definedNames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88" i="13" l="1"/>
  <c r="Q55" i="13"/>
  <c r="L31" i="13"/>
  <c r="M31" i="13"/>
  <c r="Q31" i="13"/>
  <c r="L37" i="13"/>
  <c r="M37" i="13"/>
  <c r="Q37" i="13"/>
  <c r="L46" i="13"/>
  <c r="M46" i="13"/>
  <c r="Q46" i="13"/>
  <c r="Q24" i="13"/>
  <c r="Q287" i="13"/>
  <c r="Q233" i="13"/>
  <c r="Q232" i="13"/>
  <c r="Q234" i="13"/>
  <c r="Q235" i="13"/>
  <c r="L389" i="13"/>
  <c r="M389" i="13"/>
  <c r="J366" i="13"/>
  <c r="H366" i="13"/>
  <c r="J365" i="13"/>
  <c r="H365" i="13"/>
  <c r="Q17" i="13"/>
  <c r="J364" i="13"/>
  <c r="H364" i="13"/>
  <c r="J363" i="13"/>
  <c r="H363" i="13"/>
  <c r="L382" i="13"/>
  <c r="M382" i="13"/>
  <c r="L383" i="13"/>
  <c r="M383" i="13"/>
  <c r="L384" i="13"/>
  <c r="M384" i="13"/>
  <c r="L324" i="13"/>
  <c r="M324" i="13"/>
  <c r="L198" i="13"/>
  <c r="M198" i="13"/>
  <c r="L12" i="13"/>
  <c r="M12" i="13"/>
  <c r="L42" i="13"/>
  <c r="M42" i="13"/>
  <c r="L44" i="13"/>
  <c r="M44" i="13"/>
  <c r="L73" i="13"/>
  <c r="M73" i="13"/>
  <c r="L40" i="13"/>
  <c r="M40" i="13"/>
  <c r="L41" i="13"/>
  <c r="M41" i="13"/>
  <c r="L272" i="13"/>
  <c r="M272" i="13"/>
  <c r="L174" i="13"/>
  <c r="M174" i="13"/>
  <c r="L27" i="13"/>
  <c r="M27" i="13"/>
  <c r="L8" i="13"/>
  <c r="M8" i="13"/>
  <c r="L100" i="13"/>
  <c r="M100" i="13"/>
  <c r="L104" i="13"/>
  <c r="M104" i="13"/>
  <c r="L236" i="13"/>
  <c r="M236" i="13"/>
  <c r="L108" i="13"/>
  <c r="M108" i="13"/>
  <c r="L112" i="13"/>
  <c r="M112" i="13"/>
  <c r="L116" i="13"/>
  <c r="M116" i="13"/>
  <c r="L120" i="13"/>
  <c r="M120" i="13"/>
  <c r="L229" i="13"/>
  <c r="M229" i="13"/>
  <c r="L239" i="13"/>
  <c r="M239" i="13"/>
  <c r="L240" i="13"/>
  <c r="M240" i="13"/>
  <c r="L244" i="13"/>
  <c r="M244" i="13"/>
  <c r="L264" i="13"/>
  <c r="M264" i="13"/>
  <c r="L237" i="13"/>
  <c r="M237" i="13"/>
  <c r="L169" i="13"/>
  <c r="M169" i="13"/>
  <c r="L230" i="13"/>
  <c r="M230" i="13"/>
  <c r="L170" i="13"/>
  <c r="M170" i="13"/>
  <c r="L248" i="13"/>
  <c r="M248" i="13"/>
  <c r="L252" i="13"/>
  <c r="M252" i="13"/>
  <c r="L256" i="13"/>
  <c r="M256" i="13"/>
  <c r="L260" i="13"/>
  <c r="M260" i="13"/>
  <c r="L310" i="13"/>
  <c r="M310" i="13"/>
  <c r="L316" i="13"/>
  <c r="M316" i="13"/>
  <c r="L322" i="13"/>
  <c r="M322" i="13"/>
  <c r="L328" i="13"/>
  <c r="M328" i="13"/>
  <c r="L87" i="13"/>
  <c r="M87" i="13"/>
  <c r="L330" i="13"/>
  <c r="M330" i="13"/>
  <c r="L329" i="13"/>
  <c r="M329" i="13"/>
  <c r="L136" i="13"/>
  <c r="M136" i="13"/>
  <c r="L141" i="13"/>
  <c r="M141" i="13"/>
  <c r="L146" i="13"/>
  <c r="M146" i="13"/>
  <c r="L151" i="13"/>
  <c r="M151" i="13"/>
  <c r="L15" i="13"/>
  <c r="M15" i="13"/>
  <c r="L88" i="13"/>
  <c r="M88" i="13"/>
  <c r="L124" i="13"/>
  <c r="M124" i="13"/>
  <c r="L126" i="13"/>
  <c r="M126" i="13"/>
  <c r="L127" i="13"/>
  <c r="M127" i="13"/>
  <c r="L131" i="13"/>
  <c r="M131" i="13"/>
  <c r="L39" i="13"/>
  <c r="M39" i="13"/>
  <c r="L48" i="13"/>
  <c r="M48" i="13"/>
  <c r="L298" i="13"/>
  <c r="M298" i="13"/>
  <c r="L300" i="13"/>
  <c r="M300" i="13"/>
  <c r="L301" i="13"/>
  <c r="M301" i="13"/>
  <c r="L306" i="13"/>
  <c r="M306" i="13"/>
  <c r="L11" i="13"/>
  <c r="M11" i="13"/>
  <c r="L162" i="13"/>
  <c r="M162" i="13"/>
  <c r="L163" i="13"/>
  <c r="M163" i="13"/>
  <c r="L167" i="13"/>
  <c r="M167" i="13"/>
  <c r="L144" i="13"/>
  <c r="M144" i="13"/>
  <c r="L332" i="13"/>
  <c r="M332" i="13"/>
  <c r="L333" i="13"/>
  <c r="M333" i="13"/>
  <c r="L142" i="13"/>
  <c r="M142" i="13"/>
  <c r="L134" i="13"/>
  <c r="M134" i="13"/>
  <c r="L189" i="13"/>
  <c r="M189" i="13"/>
  <c r="L201" i="13"/>
  <c r="M201" i="13"/>
  <c r="L185" i="13"/>
  <c r="M185" i="13"/>
  <c r="L139" i="13"/>
  <c r="M139" i="13"/>
  <c r="L211" i="13"/>
  <c r="M211" i="13"/>
  <c r="L30" i="13"/>
  <c r="M30" i="13"/>
  <c r="L36" i="13"/>
  <c r="M36" i="13"/>
  <c r="L202" i="13"/>
  <c r="M202" i="13"/>
  <c r="L26" i="13"/>
  <c r="M26" i="13"/>
  <c r="L181" i="13"/>
  <c r="M181" i="13"/>
  <c r="L20" i="13"/>
  <c r="M20" i="13"/>
  <c r="L14" i="13"/>
  <c r="M14" i="13"/>
  <c r="L34" i="13"/>
  <c r="M34" i="13"/>
  <c r="L327" i="13"/>
  <c r="M327" i="13"/>
  <c r="L226" i="13"/>
  <c r="M226" i="13"/>
  <c r="L35" i="13"/>
  <c r="M35" i="13"/>
  <c r="L318" i="13"/>
  <c r="M318" i="13"/>
  <c r="L274" i="13"/>
  <c r="M274" i="13"/>
  <c r="L299" i="13"/>
  <c r="M299" i="13"/>
  <c r="L147" i="13"/>
  <c r="M147" i="13"/>
  <c r="L24" i="13"/>
  <c r="M24" i="13"/>
  <c r="L152" i="13"/>
  <c r="M152" i="13"/>
  <c r="L55" i="13"/>
  <c r="M55" i="13"/>
  <c r="L16" i="13"/>
  <c r="M16" i="13"/>
  <c r="L311" i="13"/>
  <c r="M311" i="13"/>
  <c r="L317" i="13"/>
  <c r="M317" i="13"/>
  <c r="L312" i="13"/>
  <c r="M312" i="13"/>
  <c r="L292" i="13"/>
  <c r="M292" i="13"/>
  <c r="L273" i="13"/>
  <c r="M273" i="13"/>
  <c r="L218" i="13"/>
  <c r="M218" i="13"/>
  <c r="L278" i="13"/>
  <c r="M278" i="13"/>
  <c r="L223" i="13"/>
  <c r="M223" i="13"/>
  <c r="L217" i="13"/>
  <c r="M217" i="13"/>
  <c r="L210" i="13"/>
  <c r="M210" i="13"/>
  <c r="L216" i="13"/>
  <c r="M216" i="13"/>
  <c r="L222" i="13"/>
  <c r="M222" i="13"/>
  <c r="L228" i="13"/>
  <c r="M228" i="13"/>
  <c r="L183" i="13"/>
  <c r="M183" i="13"/>
  <c r="L187" i="13"/>
  <c r="M187" i="13"/>
  <c r="L67" i="13"/>
  <c r="M67" i="13"/>
  <c r="L68" i="13"/>
  <c r="M68" i="13"/>
  <c r="L171" i="13"/>
  <c r="M171" i="13"/>
  <c r="L175" i="13"/>
  <c r="M175" i="13"/>
  <c r="L284" i="13"/>
  <c r="M284" i="13"/>
  <c r="L149" i="13"/>
  <c r="M149" i="13"/>
  <c r="L50" i="13"/>
  <c r="M50" i="13"/>
  <c r="L132" i="13"/>
  <c r="M132" i="13"/>
  <c r="L212" i="13"/>
  <c r="M212" i="13"/>
  <c r="L49" i="13"/>
  <c r="M49" i="13"/>
  <c r="L43" i="13"/>
  <c r="M43" i="13"/>
  <c r="L51" i="13"/>
  <c r="M51" i="13"/>
  <c r="L53" i="13"/>
  <c r="M53" i="13"/>
  <c r="L227" i="13"/>
  <c r="M227" i="13"/>
  <c r="L61" i="13"/>
  <c r="M61" i="13"/>
  <c r="L62" i="13"/>
  <c r="M62" i="13"/>
  <c r="L63" i="13"/>
  <c r="M63" i="13"/>
  <c r="L64" i="13"/>
  <c r="M64" i="13"/>
  <c r="L193" i="13"/>
  <c r="M193" i="13"/>
  <c r="L135" i="13"/>
  <c r="M135" i="13"/>
  <c r="L206" i="13"/>
  <c r="M206" i="13"/>
  <c r="L270" i="13"/>
  <c r="M270" i="13"/>
  <c r="L283" i="13"/>
  <c r="M283" i="13"/>
  <c r="L294" i="13"/>
  <c r="M294" i="13"/>
  <c r="L197" i="13"/>
  <c r="M197" i="13"/>
  <c r="L334" i="13"/>
  <c r="M334" i="13"/>
  <c r="L326" i="13"/>
  <c r="M326" i="13"/>
  <c r="L140" i="13"/>
  <c r="M140" i="13"/>
  <c r="L18" i="13"/>
  <c r="M18" i="13"/>
  <c r="L23" i="13"/>
  <c r="M23" i="13"/>
  <c r="L21" i="13"/>
  <c r="M21" i="13"/>
  <c r="L145" i="13"/>
  <c r="M145" i="13"/>
  <c r="L129" i="13"/>
  <c r="M129" i="13"/>
  <c r="L28" i="13"/>
  <c r="M28" i="13"/>
  <c r="L29" i="13"/>
  <c r="M29" i="13"/>
  <c r="L285" i="13"/>
  <c r="M285" i="13"/>
  <c r="L224" i="13"/>
  <c r="M224" i="13"/>
  <c r="L173" i="13"/>
  <c r="M173" i="13"/>
  <c r="L22" i="13"/>
  <c r="M22" i="13"/>
  <c r="L323" i="13"/>
  <c r="M323" i="13"/>
  <c r="L33" i="13"/>
  <c r="M33" i="13"/>
  <c r="L182" i="13"/>
  <c r="M182" i="13"/>
  <c r="L65" i="13"/>
  <c r="M65" i="13"/>
  <c r="L66" i="13"/>
  <c r="M66" i="13"/>
  <c r="L70" i="13"/>
  <c r="M70" i="13"/>
  <c r="L71" i="13"/>
  <c r="M71" i="13"/>
  <c r="L191" i="13"/>
  <c r="M191" i="13"/>
  <c r="L194" i="13"/>
  <c r="M194" i="13"/>
  <c r="L190" i="13"/>
  <c r="M190" i="13"/>
  <c r="L385" i="13"/>
  <c r="M385" i="13"/>
  <c r="L52" i="13"/>
  <c r="M52" i="13"/>
  <c r="L386" i="13"/>
  <c r="M386" i="13"/>
  <c r="L265" i="13"/>
  <c r="M265" i="13"/>
  <c r="L286" i="13"/>
  <c r="M286" i="13"/>
  <c r="L266" i="13"/>
  <c r="M266" i="13"/>
  <c r="L290" i="13"/>
  <c r="M290" i="13"/>
  <c r="L150" i="13"/>
  <c r="M150" i="13"/>
  <c r="L130" i="13"/>
  <c r="M130" i="13"/>
  <c r="L137" i="13"/>
  <c r="M137" i="13"/>
  <c r="L387" i="13"/>
  <c r="M387" i="13"/>
  <c r="L54" i="13"/>
  <c r="M54" i="13"/>
  <c r="L195" i="13"/>
  <c r="M195" i="13"/>
  <c r="L199" i="13"/>
  <c r="M199" i="13"/>
  <c r="L45" i="13"/>
  <c r="M45" i="13"/>
  <c r="L303" i="13"/>
  <c r="M303" i="13"/>
  <c r="L388" i="13"/>
  <c r="M388" i="13"/>
  <c r="L186" i="13"/>
  <c r="M186" i="13"/>
  <c r="L390" i="13"/>
  <c r="M390" i="13"/>
  <c r="L276" i="13"/>
  <c r="M276" i="13"/>
  <c r="L277" i="13"/>
  <c r="M277" i="13"/>
  <c r="L391" i="13"/>
  <c r="M391" i="13"/>
  <c r="L291" i="13"/>
  <c r="M291" i="13"/>
  <c r="L79" i="13"/>
  <c r="M79" i="13"/>
  <c r="L80" i="13"/>
  <c r="M80" i="13"/>
  <c r="L81" i="13"/>
  <c r="M81" i="13"/>
  <c r="L82" i="13"/>
  <c r="M82" i="13"/>
  <c r="L85" i="13"/>
  <c r="M85" i="13"/>
  <c r="L86" i="13"/>
  <c r="M86" i="13"/>
  <c r="L83" i="13"/>
  <c r="M83" i="13"/>
  <c r="L84" i="13"/>
  <c r="M84" i="13"/>
  <c r="L392" i="13"/>
  <c r="M392" i="13"/>
  <c r="L254" i="13"/>
  <c r="M254" i="13"/>
  <c r="L255" i="13"/>
  <c r="M255" i="13"/>
  <c r="L393" i="13"/>
  <c r="M393" i="13"/>
  <c r="L321" i="13"/>
  <c r="M321" i="13"/>
  <c r="L320" i="13"/>
  <c r="M320" i="13"/>
  <c r="L304" i="13"/>
  <c r="M304" i="13"/>
  <c r="L305" i="13"/>
  <c r="M305" i="13"/>
  <c r="L394" i="13"/>
  <c r="M394" i="13"/>
  <c r="L395" i="13"/>
  <c r="M395" i="13"/>
  <c r="L396" i="13"/>
  <c r="M396" i="13"/>
  <c r="L397" i="13"/>
  <c r="M397" i="13"/>
  <c r="L398" i="13"/>
  <c r="M398" i="13"/>
  <c r="L315" i="13"/>
  <c r="M315" i="13"/>
  <c r="L102" i="13"/>
  <c r="M102" i="13"/>
  <c r="L314" i="13"/>
  <c r="M314" i="13"/>
  <c r="L308" i="13"/>
  <c r="M308" i="13"/>
  <c r="L399" i="13"/>
  <c r="M399" i="13"/>
  <c r="L220" i="13"/>
  <c r="M220" i="13"/>
  <c r="L221" i="13"/>
  <c r="M221" i="13"/>
  <c r="L242" i="13"/>
  <c r="M242" i="13"/>
  <c r="L400" i="13"/>
  <c r="M400" i="13"/>
  <c r="L165" i="13"/>
  <c r="M165" i="13"/>
  <c r="L401" i="13"/>
  <c r="M401" i="13"/>
  <c r="L103" i="13"/>
  <c r="M103" i="13"/>
  <c r="L118" i="13"/>
  <c r="M118" i="13"/>
  <c r="L119" i="13"/>
  <c r="M119" i="13"/>
  <c r="L402" i="13"/>
  <c r="M402" i="13"/>
  <c r="L243" i="13"/>
  <c r="M243" i="13"/>
  <c r="L403" i="13"/>
  <c r="M403" i="13"/>
  <c r="L166" i="13"/>
  <c r="M166" i="13"/>
  <c r="L309" i="13"/>
  <c r="M309" i="13"/>
  <c r="L106" i="13"/>
  <c r="M106" i="13"/>
  <c r="L404" i="13"/>
  <c r="M404" i="13"/>
  <c r="L250" i="13"/>
  <c r="M250" i="13"/>
  <c r="L258" i="13"/>
  <c r="M258" i="13"/>
  <c r="L208" i="13"/>
  <c r="M208" i="13"/>
  <c r="L107" i="13"/>
  <c r="M107" i="13"/>
  <c r="L259" i="13"/>
  <c r="M259" i="13"/>
  <c r="L251" i="13"/>
  <c r="M251" i="13"/>
  <c r="L405" i="13"/>
  <c r="M405" i="13"/>
  <c r="L209" i="13"/>
  <c r="M209" i="13"/>
  <c r="L110" i="13"/>
  <c r="M110" i="13"/>
  <c r="L246" i="13"/>
  <c r="M246" i="13"/>
  <c r="L214" i="13"/>
  <c r="M214" i="13"/>
  <c r="L111" i="13"/>
  <c r="M111" i="13"/>
  <c r="L247" i="13"/>
  <c r="M247" i="13"/>
  <c r="L215" i="13"/>
  <c r="M215" i="13"/>
  <c r="L114" i="13"/>
  <c r="M114" i="13"/>
  <c r="L115" i="13"/>
  <c r="M115" i="13"/>
  <c r="Q200" i="13"/>
  <c r="Q201" i="13"/>
  <c r="Q185" i="13"/>
  <c r="Q202" i="13"/>
  <c r="Q181" i="13"/>
  <c r="Q236" i="13"/>
  <c r="H236" i="13"/>
  <c r="J236" i="13"/>
  <c r="Q237" i="13"/>
  <c r="J237" i="13"/>
  <c r="H237" i="13"/>
  <c r="S31" i="17"/>
  <c r="O30" i="17"/>
  <c r="P30" i="17"/>
  <c r="S30" i="17" s="1"/>
  <c r="O32" i="17"/>
  <c r="P32" i="17"/>
  <c r="O33" i="17"/>
  <c r="P33" i="17"/>
  <c r="P31" i="17"/>
  <c r="O31" i="17"/>
  <c r="L6" i="8"/>
  <c r="L7" i="8"/>
  <c r="L10" i="8"/>
  <c r="L11" i="8"/>
  <c r="L14" i="8"/>
  <c r="L15" i="8"/>
  <c r="L16" i="8"/>
  <c r="L17" i="8"/>
  <c r="L18" i="8"/>
  <c r="L19" i="8"/>
  <c r="L20" i="8"/>
  <c r="L21" i="8"/>
  <c r="L5" i="8"/>
  <c r="K5" i="8"/>
  <c r="K6" i="8"/>
  <c r="K7" i="8"/>
  <c r="L8" i="8" s="1"/>
  <c r="K8" i="8"/>
  <c r="L9" i="8" s="1"/>
  <c r="K9" i="8"/>
  <c r="K10" i="8"/>
  <c r="K11" i="8"/>
  <c r="L12" i="8" s="1"/>
  <c r="K12" i="8"/>
  <c r="L13" i="8" s="1"/>
  <c r="K13" i="8"/>
  <c r="K14" i="8"/>
  <c r="K15" i="8"/>
  <c r="K16" i="8"/>
  <c r="K17" i="8"/>
  <c r="K18" i="8"/>
  <c r="K19" i="8"/>
  <c r="K20" i="8"/>
  <c r="K21" i="8"/>
  <c r="K4" i="8"/>
  <c r="Q135" i="13"/>
  <c r="Q136" i="13"/>
  <c r="Q137" i="13"/>
  <c r="Q138" i="13"/>
  <c r="Q139" i="13"/>
  <c r="Q140" i="13"/>
  <c r="J137" i="13"/>
  <c r="H137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8" i="13"/>
  <c r="Q19" i="13"/>
  <c r="Q20" i="13"/>
  <c r="Q21" i="13"/>
  <c r="Q22" i="13"/>
  <c r="Q23" i="13"/>
  <c r="Q25" i="13"/>
  <c r="Q26" i="13"/>
  <c r="Q27" i="13"/>
  <c r="Q28" i="13"/>
  <c r="Q29" i="13"/>
  <c r="Q30" i="13"/>
  <c r="Q32" i="13"/>
  <c r="Q33" i="13"/>
  <c r="Q34" i="13"/>
  <c r="Q35" i="13"/>
  <c r="Q36" i="13"/>
  <c r="Q38" i="13"/>
  <c r="Q39" i="13"/>
  <c r="Q40" i="13"/>
  <c r="Q41" i="13"/>
  <c r="Q42" i="13"/>
  <c r="Q43" i="13"/>
  <c r="Q44" i="13"/>
  <c r="Q45" i="13"/>
  <c r="Q47" i="13"/>
  <c r="Q48" i="13"/>
  <c r="Q49" i="13"/>
  <c r="Q50" i="13"/>
  <c r="Q51" i="13"/>
  <c r="Q52" i="13"/>
  <c r="Q53" i="13"/>
  <c r="Q54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87" i="13"/>
  <c r="Q88" i="13"/>
  <c r="Q89" i="13"/>
  <c r="Q90" i="13"/>
  <c r="Q91" i="13"/>
  <c r="Q92" i="13"/>
  <c r="Q93" i="13"/>
  <c r="Q94" i="13"/>
  <c r="Q95" i="13"/>
  <c r="Q96" i="13"/>
  <c r="Q97" i="13"/>
  <c r="Q98" i="13"/>
  <c r="Q99" i="13"/>
  <c r="Q100" i="13"/>
  <c r="Q101" i="13"/>
  <c r="Q102" i="13"/>
  <c r="Q103" i="13"/>
  <c r="Q104" i="13"/>
  <c r="Q105" i="13"/>
  <c r="Q106" i="13"/>
  <c r="Q107" i="13"/>
  <c r="Q108" i="13"/>
  <c r="Q109" i="13"/>
  <c r="Q110" i="13"/>
  <c r="Q111" i="13"/>
  <c r="Q112" i="13"/>
  <c r="Q113" i="13"/>
  <c r="Q114" i="13"/>
  <c r="Q115" i="13"/>
  <c r="Q116" i="13"/>
  <c r="Q117" i="13"/>
  <c r="Q118" i="13"/>
  <c r="Q119" i="13"/>
  <c r="Q120" i="13"/>
  <c r="Q121" i="13"/>
  <c r="Q122" i="13"/>
  <c r="Q123" i="13"/>
  <c r="Q124" i="13"/>
  <c r="Q125" i="13"/>
  <c r="Q126" i="13"/>
  <c r="Q127" i="13"/>
  <c r="Q128" i="13"/>
  <c r="Q129" i="13"/>
  <c r="Q130" i="13"/>
  <c r="Q131" i="13"/>
  <c r="Q132" i="13"/>
  <c r="Q133" i="13"/>
  <c r="Q134" i="13"/>
  <c r="Q141" i="13"/>
  <c r="Q142" i="13"/>
  <c r="Q143" i="13"/>
  <c r="Q144" i="13"/>
  <c r="Q145" i="13"/>
  <c r="Q146" i="13"/>
  <c r="Q147" i="13"/>
  <c r="Q148" i="13"/>
  <c r="Q149" i="13"/>
  <c r="Q150" i="13"/>
  <c r="Q151" i="13"/>
  <c r="Q152" i="13"/>
  <c r="Q153" i="13"/>
  <c r="Q154" i="13"/>
  <c r="Q155" i="13"/>
  <c r="Q156" i="13"/>
  <c r="Q157" i="13"/>
  <c r="Q158" i="13"/>
  <c r="Q159" i="13"/>
  <c r="Q160" i="13"/>
  <c r="Q161" i="13"/>
  <c r="Q162" i="13"/>
  <c r="Q163" i="13"/>
  <c r="Q164" i="13"/>
  <c r="Q165" i="13"/>
  <c r="Q166" i="13"/>
  <c r="Q167" i="13"/>
  <c r="Q168" i="13"/>
  <c r="Q169" i="13"/>
  <c r="Q170" i="13"/>
  <c r="Q171" i="13"/>
  <c r="Q172" i="13"/>
  <c r="Q173" i="13"/>
  <c r="Q174" i="13"/>
  <c r="Q175" i="13"/>
  <c r="Q176" i="13"/>
  <c r="Q177" i="13"/>
  <c r="Q178" i="13"/>
  <c r="Q179" i="13"/>
  <c r="Q180" i="13"/>
  <c r="Q182" i="13"/>
  <c r="Q183" i="13"/>
  <c r="Q184" i="13"/>
  <c r="Q186" i="13"/>
  <c r="Q187" i="13"/>
  <c r="Q188" i="13"/>
  <c r="Q189" i="13"/>
  <c r="Q190" i="13"/>
  <c r="Q191" i="13"/>
  <c r="Q192" i="13"/>
  <c r="Q193" i="13"/>
  <c r="Q194" i="13"/>
  <c r="Q195" i="13"/>
  <c r="Q196" i="13"/>
  <c r="Q197" i="13"/>
  <c r="Q198" i="13"/>
  <c r="Q199" i="13"/>
  <c r="Q203" i="13"/>
  <c r="Q204" i="13"/>
  <c r="Q205" i="13"/>
  <c r="Q206" i="13"/>
  <c r="Q207" i="13"/>
  <c r="Q208" i="13"/>
  <c r="Q209" i="13"/>
  <c r="Q210" i="13"/>
  <c r="Q211" i="13"/>
  <c r="Q212" i="13"/>
  <c r="Q213" i="13"/>
  <c r="Q214" i="13"/>
  <c r="Q215" i="13"/>
  <c r="Q216" i="13"/>
  <c r="Q217" i="13"/>
  <c r="Q218" i="13"/>
  <c r="Q219" i="13"/>
  <c r="Q220" i="13"/>
  <c r="Q221" i="13"/>
  <c r="Q222" i="13"/>
  <c r="Q223" i="13"/>
  <c r="Q224" i="13"/>
  <c r="Q225" i="13"/>
  <c r="Q226" i="13"/>
  <c r="Q227" i="13"/>
  <c r="Q228" i="13"/>
  <c r="Q229" i="13"/>
  <c r="Q230" i="13"/>
  <c r="Q231" i="13"/>
  <c r="Q238" i="13"/>
  <c r="Q239" i="13"/>
  <c r="Q240" i="13"/>
  <c r="Q241" i="13"/>
  <c r="Q242" i="13"/>
  <c r="Q243" i="13"/>
  <c r="Q244" i="13"/>
  <c r="Q245" i="13"/>
  <c r="Q246" i="13"/>
  <c r="Q247" i="13"/>
  <c r="Q248" i="13"/>
  <c r="Q249" i="13"/>
  <c r="Q250" i="13"/>
  <c r="Q251" i="13"/>
  <c r="Q252" i="13"/>
  <c r="Q253" i="13"/>
  <c r="Q254" i="13"/>
  <c r="Q255" i="13"/>
  <c r="Q256" i="13"/>
  <c r="Q257" i="13"/>
  <c r="Q258" i="13"/>
  <c r="Q259" i="13"/>
  <c r="Q260" i="13"/>
  <c r="Q261" i="13"/>
  <c r="Q262" i="13"/>
  <c r="Q263" i="13"/>
  <c r="Q264" i="13"/>
  <c r="Q265" i="13"/>
  <c r="Q266" i="13"/>
  <c r="Q267" i="13"/>
  <c r="Q268" i="13"/>
  <c r="Q269" i="13"/>
  <c r="Q270" i="13"/>
  <c r="Q271" i="13"/>
  <c r="Q272" i="13"/>
  <c r="Q273" i="13"/>
  <c r="Q274" i="13"/>
  <c r="Q275" i="13"/>
  <c r="Q276" i="13"/>
  <c r="Q277" i="13"/>
  <c r="Q278" i="13"/>
  <c r="Q279" i="13"/>
  <c r="Q280" i="13"/>
  <c r="Q281" i="13"/>
  <c r="Q282" i="13"/>
  <c r="Q283" i="13"/>
  <c r="Q284" i="13"/>
  <c r="Q285" i="13"/>
  <c r="Q286" i="13"/>
  <c r="Q288" i="13"/>
  <c r="Q289" i="13"/>
  <c r="Q290" i="13"/>
  <c r="Q291" i="13"/>
  <c r="Q292" i="13"/>
  <c r="Q293" i="13"/>
  <c r="Q294" i="13"/>
  <c r="Q295" i="13"/>
  <c r="Q296" i="13"/>
  <c r="Q297" i="13"/>
  <c r="Q298" i="13"/>
  <c r="Q299" i="13"/>
  <c r="Q300" i="13"/>
  <c r="Q301" i="13"/>
  <c r="Q302" i="13"/>
  <c r="Q303" i="13"/>
  <c r="Q304" i="13"/>
  <c r="Q305" i="13"/>
  <c r="Q306" i="13"/>
  <c r="Q307" i="13"/>
  <c r="Q308" i="13"/>
  <c r="Q309" i="13"/>
  <c r="Q310" i="13"/>
  <c r="Q311" i="13"/>
  <c r="Q312" i="13"/>
  <c r="Q313" i="13"/>
  <c r="Q314" i="13"/>
  <c r="Q315" i="13"/>
  <c r="Q316" i="13"/>
  <c r="Q317" i="13"/>
  <c r="Q318" i="13"/>
  <c r="Q319" i="13"/>
  <c r="Q320" i="13"/>
  <c r="Q321" i="13"/>
  <c r="Q322" i="13"/>
  <c r="Q323" i="13"/>
  <c r="Q324" i="13"/>
  <c r="Q325" i="13"/>
  <c r="Q326" i="13"/>
  <c r="Q327" i="13"/>
  <c r="Q328" i="13"/>
  <c r="Q329" i="13"/>
  <c r="Q330" i="13"/>
  <c r="J142" i="13"/>
  <c r="H142" i="13"/>
  <c r="J15" i="13"/>
  <c r="H15" i="13"/>
  <c r="Q331" i="13"/>
  <c r="J369" i="13"/>
  <c r="H369" i="13"/>
  <c r="J378" i="13"/>
  <c r="H378" i="13"/>
  <c r="J377" i="13"/>
  <c r="H377" i="13"/>
  <c r="J376" i="13"/>
  <c r="H376" i="13"/>
  <c r="J375" i="13"/>
  <c r="H375" i="13"/>
  <c r="J374" i="13"/>
  <c r="H374" i="13"/>
  <c r="J371" i="13"/>
  <c r="H371" i="13"/>
  <c r="J370" i="13"/>
  <c r="H370" i="13"/>
  <c r="J368" i="13"/>
  <c r="H368" i="13"/>
  <c r="J367" i="13"/>
  <c r="H367" i="13"/>
  <c r="J472" i="13"/>
  <c r="H472" i="13"/>
  <c r="J362" i="13"/>
  <c r="H362" i="13"/>
  <c r="J361" i="13"/>
  <c r="H361" i="13"/>
  <c r="J380" i="13"/>
  <c r="H380" i="13"/>
  <c r="J359" i="13"/>
  <c r="H359" i="13"/>
  <c r="J358" i="13"/>
  <c r="H358" i="13"/>
  <c r="J357" i="13"/>
  <c r="H357" i="13"/>
  <c r="J356" i="13"/>
  <c r="H356" i="13"/>
  <c r="J355" i="13"/>
  <c r="H355" i="13"/>
  <c r="J354" i="13"/>
  <c r="H354" i="13"/>
  <c r="J353" i="13"/>
  <c r="H353" i="13"/>
  <c r="J352" i="13"/>
  <c r="H352" i="13"/>
  <c r="J351" i="13"/>
  <c r="H351" i="13"/>
  <c r="J350" i="13"/>
  <c r="H350" i="13"/>
  <c r="J349" i="13"/>
  <c r="H349" i="13"/>
  <c r="J348" i="13"/>
  <c r="H348" i="13"/>
  <c r="J347" i="13"/>
  <c r="H347" i="13"/>
  <c r="J346" i="13"/>
  <c r="H346" i="13"/>
  <c r="J345" i="13"/>
  <c r="H345" i="13"/>
  <c r="J344" i="13"/>
  <c r="H344" i="13"/>
  <c r="J343" i="13"/>
  <c r="H343" i="13"/>
  <c r="J342" i="13"/>
  <c r="H342" i="13"/>
  <c r="J341" i="13"/>
  <c r="H341" i="13"/>
  <c r="J340" i="13"/>
  <c r="H340" i="13"/>
  <c r="J339" i="13"/>
  <c r="H339" i="13"/>
  <c r="J338" i="13"/>
  <c r="H338" i="13"/>
  <c r="J337" i="13"/>
  <c r="H337" i="13"/>
  <c r="H336" i="13"/>
  <c r="J336" i="13"/>
  <c r="J335" i="13"/>
  <c r="H335" i="13"/>
  <c r="J417" i="13"/>
  <c r="H417" i="13"/>
  <c r="J416" i="13"/>
  <c r="H416" i="13"/>
  <c r="R30" i="17" l="1"/>
  <c r="E12" i="17"/>
  <c r="E16" i="17"/>
  <c r="J118" i="13"/>
  <c r="H118" i="13"/>
  <c r="J119" i="13"/>
  <c r="H119" i="13"/>
  <c r="H28" i="13"/>
  <c r="J28" i="13"/>
  <c r="J487" i="13"/>
  <c r="H487" i="13"/>
  <c r="J486" i="13"/>
  <c r="H486" i="13"/>
  <c r="J485" i="13"/>
  <c r="H485" i="13"/>
  <c r="J484" i="13"/>
  <c r="H484" i="13"/>
  <c r="J483" i="13"/>
  <c r="H483" i="13"/>
  <c r="J482" i="13"/>
  <c r="H482" i="13"/>
  <c r="J481" i="13"/>
  <c r="H481" i="13"/>
  <c r="J480" i="13"/>
  <c r="H480" i="13"/>
  <c r="J479" i="13"/>
  <c r="H479" i="13"/>
  <c r="J478" i="13"/>
  <c r="H478" i="13"/>
  <c r="J477" i="13"/>
  <c r="H477" i="13"/>
  <c r="J476" i="13"/>
  <c r="H476" i="13"/>
  <c r="J373" i="13"/>
  <c r="H373" i="13"/>
  <c r="J372" i="13"/>
  <c r="H372" i="13"/>
  <c r="J202" i="13"/>
  <c r="H202" i="13"/>
  <c r="J152" i="13"/>
  <c r="H152" i="13"/>
  <c r="J474" i="13"/>
  <c r="H474" i="13"/>
  <c r="J473" i="13"/>
  <c r="H473" i="13"/>
  <c r="J471" i="13"/>
  <c r="H471" i="13"/>
  <c r="J470" i="13"/>
  <c r="H470" i="13"/>
  <c r="J469" i="13"/>
  <c r="H469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450" i="13"/>
  <c r="H450" i="13"/>
  <c r="J449" i="13"/>
  <c r="H449" i="13"/>
  <c r="J448" i="13"/>
  <c r="H448" i="13"/>
  <c r="J447" i="13"/>
  <c r="H447" i="13"/>
  <c r="J446" i="13"/>
  <c r="H446" i="13"/>
  <c r="J445" i="13"/>
  <c r="H445" i="13"/>
  <c r="J444" i="13"/>
  <c r="H444" i="13"/>
  <c r="J443" i="13"/>
  <c r="H443" i="13"/>
  <c r="J442" i="13"/>
  <c r="H442" i="13"/>
  <c r="J441" i="13"/>
  <c r="H441" i="13"/>
  <c r="J440" i="13"/>
  <c r="H440" i="13"/>
  <c r="J439" i="13"/>
  <c r="H439" i="13"/>
  <c r="J438" i="13"/>
  <c r="H438" i="13"/>
  <c r="J437" i="13"/>
  <c r="H437" i="13"/>
  <c r="J381" i="13"/>
  <c r="H381" i="13"/>
  <c r="H360" i="13"/>
  <c r="J435" i="13"/>
  <c r="H435" i="13"/>
  <c r="J434" i="13"/>
  <c r="H434" i="13"/>
  <c r="J433" i="13"/>
  <c r="H433" i="13"/>
  <c r="J432" i="13"/>
  <c r="H432" i="13"/>
  <c r="J379" i="13"/>
  <c r="H379" i="13"/>
  <c r="J431" i="13"/>
  <c r="H431" i="13"/>
  <c r="J430" i="13"/>
  <c r="H430" i="13"/>
  <c r="J429" i="13"/>
  <c r="H429" i="13"/>
  <c r="J428" i="13"/>
  <c r="H428" i="13"/>
  <c r="J427" i="13"/>
  <c r="H427" i="13"/>
  <c r="J426" i="13"/>
  <c r="H426" i="13"/>
  <c r="J425" i="13"/>
  <c r="H425" i="13"/>
  <c r="J424" i="13"/>
  <c r="H424" i="13"/>
  <c r="J423" i="13"/>
  <c r="H423" i="13"/>
  <c r="J422" i="13"/>
  <c r="H422" i="13"/>
  <c r="J421" i="13"/>
  <c r="H421" i="13"/>
  <c r="J420" i="13"/>
  <c r="H420" i="13"/>
  <c r="J419" i="13"/>
  <c r="H419" i="13"/>
  <c r="J418" i="13"/>
  <c r="H418" i="13"/>
  <c r="J415" i="13"/>
  <c r="H415" i="13"/>
  <c r="J414" i="13"/>
  <c r="H414" i="13"/>
  <c r="J413" i="13"/>
  <c r="H413" i="13"/>
  <c r="J412" i="13"/>
  <c r="H412" i="13"/>
  <c r="J411" i="13"/>
  <c r="H411" i="13"/>
  <c r="J410" i="13"/>
  <c r="H410" i="13"/>
  <c r="J409" i="13"/>
  <c r="H409" i="13"/>
  <c r="J408" i="13"/>
  <c r="H408" i="13"/>
  <c r="J407" i="13"/>
  <c r="H407" i="13"/>
  <c r="J406" i="13"/>
  <c r="H406" i="13"/>
  <c r="Q2" i="13"/>
  <c r="L7" i="13"/>
  <c r="M7" i="13"/>
  <c r="J100" i="13"/>
  <c r="H100" i="13"/>
  <c r="J124" i="13"/>
  <c r="H124" i="13"/>
  <c r="J162" i="13"/>
  <c r="H162" i="13"/>
  <c r="J206" i="13"/>
  <c r="H206" i="13"/>
  <c r="J298" i="13"/>
  <c r="H298" i="13"/>
  <c r="J239" i="13"/>
  <c r="H239" i="13"/>
  <c r="J240" i="13"/>
  <c r="H240" i="13"/>
  <c r="J333" i="13"/>
  <c r="H333" i="13"/>
  <c r="J332" i="13"/>
  <c r="H332" i="13"/>
  <c r="J147" i="13"/>
  <c r="H147" i="13"/>
  <c r="J132" i="13"/>
  <c r="H132" i="13"/>
  <c r="J306" i="13"/>
  <c r="H306" i="13"/>
  <c r="J327" i="13"/>
  <c r="H327" i="13"/>
  <c r="J326" i="13"/>
  <c r="H326" i="13"/>
  <c r="J328" i="13"/>
  <c r="H328" i="13"/>
  <c r="J322" i="13"/>
  <c r="H322" i="13"/>
  <c r="J316" i="13"/>
  <c r="H316" i="13"/>
  <c r="J310" i="13"/>
  <c r="H310" i="13"/>
  <c r="J320" i="13"/>
  <c r="H320" i="13"/>
  <c r="J321" i="13"/>
  <c r="H321" i="13"/>
  <c r="J309" i="13"/>
  <c r="H309" i="13"/>
  <c r="J308" i="13"/>
  <c r="H308" i="13"/>
  <c r="J314" i="13"/>
  <c r="H314" i="13"/>
  <c r="J315" i="13"/>
  <c r="H315" i="13"/>
  <c r="J305" i="13"/>
  <c r="H305" i="13"/>
  <c r="J304" i="13"/>
  <c r="H304" i="13"/>
  <c r="J330" i="13"/>
  <c r="H330" i="13"/>
  <c r="J329" i="13"/>
  <c r="H329" i="13"/>
  <c r="J324" i="13"/>
  <c r="H324" i="13"/>
  <c r="J323" i="13"/>
  <c r="H323" i="13"/>
  <c r="J318" i="13"/>
  <c r="H318" i="13"/>
  <c r="J317" i="13"/>
  <c r="H317" i="13"/>
  <c r="J312" i="13"/>
  <c r="H312" i="13"/>
  <c r="J311" i="13"/>
  <c r="H311" i="13"/>
  <c r="J303" i="13"/>
  <c r="H303" i="13"/>
  <c r="J301" i="13"/>
  <c r="H301" i="13"/>
  <c r="J300" i="13"/>
  <c r="H300" i="13"/>
  <c r="J299" i="13"/>
  <c r="H299" i="13"/>
  <c r="J291" i="13"/>
  <c r="H291" i="13"/>
  <c r="J290" i="13"/>
  <c r="H290" i="13"/>
  <c r="J294" i="13"/>
  <c r="H294" i="13"/>
  <c r="J292" i="13"/>
  <c r="H292" i="13"/>
  <c r="J286" i="13"/>
  <c r="H286" i="13"/>
  <c r="J285" i="13"/>
  <c r="H285" i="13"/>
  <c r="J284" i="13"/>
  <c r="H284" i="13"/>
  <c r="J283" i="13"/>
  <c r="H283" i="13"/>
  <c r="J278" i="13"/>
  <c r="H278" i="13"/>
  <c r="J274" i="13"/>
  <c r="H274" i="13"/>
  <c r="J277" i="13"/>
  <c r="H277" i="13"/>
  <c r="J276" i="13"/>
  <c r="H276" i="13"/>
  <c r="J273" i="13"/>
  <c r="H273" i="13"/>
  <c r="J272" i="13"/>
  <c r="H272" i="13"/>
  <c r="J270" i="13"/>
  <c r="H270" i="13"/>
  <c r="J259" i="13"/>
  <c r="H259" i="13"/>
  <c r="J258" i="13"/>
  <c r="H258" i="13"/>
  <c r="J255" i="13"/>
  <c r="H255" i="13"/>
  <c r="J254" i="13"/>
  <c r="H254" i="13"/>
  <c r="J251" i="13"/>
  <c r="H251" i="13"/>
  <c r="J250" i="13"/>
  <c r="H250" i="13"/>
  <c r="J247" i="13"/>
  <c r="H247" i="13"/>
  <c r="J246" i="13"/>
  <c r="H246" i="13"/>
  <c r="J260" i="13"/>
  <c r="H260" i="13"/>
  <c r="J256" i="13"/>
  <c r="H256" i="13"/>
  <c r="J252" i="13"/>
  <c r="H252" i="13"/>
  <c r="J248" i="13"/>
  <c r="H248" i="13"/>
  <c r="J244" i="13"/>
  <c r="H244" i="13"/>
  <c r="J243" i="13"/>
  <c r="H243" i="13"/>
  <c r="J242" i="13"/>
  <c r="H242" i="13"/>
  <c r="J266" i="13"/>
  <c r="H266" i="13"/>
  <c r="J265" i="13"/>
  <c r="H265" i="13"/>
  <c r="J264" i="13"/>
  <c r="H264" i="13"/>
  <c r="J230" i="13"/>
  <c r="H230" i="13"/>
  <c r="J229" i="13"/>
  <c r="H229" i="13"/>
  <c r="J227" i="13"/>
  <c r="H227" i="13"/>
  <c r="J226" i="13"/>
  <c r="H226" i="13"/>
  <c r="J223" i="13"/>
  <c r="H223" i="13"/>
  <c r="J224" i="13"/>
  <c r="H224" i="13"/>
  <c r="J221" i="13"/>
  <c r="H221" i="13"/>
  <c r="J220" i="13"/>
  <c r="H220" i="13"/>
  <c r="J218" i="13"/>
  <c r="H218" i="13"/>
  <c r="J217" i="13"/>
  <c r="H217" i="13"/>
  <c r="J215" i="13"/>
  <c r="H215" i="13"/>
  <c r="J214" i="13"/>
  <c r="H214" i="13"/>
  <c r="J212" i="13"/>
  <c r="H212" i="13"/>
  <c r="J211" i="13"/>
  <c r="H211" i="13"/>
  <c r="J228" i="13"/>
  <c r="H228" i="13"/>
  <c r="J222" i="13"/>
  <c r="H222" i="13"/>
  <c r="J216" i="13"/>
  <c r="H216" i="13"/>
  <c r="J210" i="13"/>
  <c r="H210" i="13"/>
  <c r="J209" i="13"/>
  <c r="H209" i="13"/>
  <c r="J208" i="13"/>
  <c r="H208" i="13"/>
  <c r="J199" i="13"/>
  <c r="H199" i="13"/>
  <c r="J198" i="13"/>
  <c r="H198" i="13"/>
  <c r="J197" i="13"/>
  <c r="H197" i="13"/>
  <c r="J195" i="13"/>
  <c r="H195" i="13"/>
  <c r="J194" i="13"/>
  <c r="H194" i="13"/>
  <c r="J193" i="13"/>
  <c r="H193" i="13"/>
  <c r="J191" i="13"/>
  <c r="H191" i="13"/>
  <c r="J190" i="13"/>
  <c r="H190" i="13"/>
  <c r="J189" i="13"/>
  <c r="H189" i="13"/>
  <c r="J187" i="13"/>
  <c r="H187" i="13"/>
  <c r="J186" i="13"/>
  <c r="H186" i="13"/>
  <c r="J185" i="13"/>
  <c r="H185" i="13"/>
  <c r="J183" i="13"/>
  <c r="H183" i="13"/>
  <c r="J181" i="13"/>
  <c r="H181" i="13"/>
  <c r="J182" i="13"/>
  <c r="H182" i="13"/>
  <c r="J171" i="13"/>
  <c r="H171" i="13"/>
  <c r="J175" i="13"/>
  <c r="H175" i="13"/>
  <c r="J174" i="13"/>
  <c r="H174" i="13"/>
  <c r="J173" i="13"/>
  <c r="H173" i="13"/>
  <c r="J170" i="13"/>
  <c r="H170" i="13"/>
  <c r="J169" i="13"/>
  <c r="H169" i="13"/>
  <c r="J167" i="13"/>
  <c r="H167" i="13"/>
  <c r="J166" i="13"/>
  <c r="H166" i="13"/>
  <c r="J165" i="13"/>
  <c r="H165" i="13"/>
  <c r="J163" i="13"/>
  <c r="H163" i="13"/>
  <c r="J150" i="13"/>
  <c r="H150" i="13"/>
  <c r="J149" i="13"/>
  <c r="H149" i="13"/>
  <c r="J144" i="13"/>
  <c r="H144" i="13"/>
  <c r="J145" i="13"/>
  <c r="H145" i="13"/>
  <c r="J140" i="13"/>
  <c r="H140" i="13"/>
  <c r="J139" i="13"/>
  <c r="H139" i="13"/>
  <c r="J135" i="13"/>
  <c r="H135" i="13"/>
  <c r="J134" i="13"/>
  <c r="H134" i="13"/>
  <c r="J126" i="13"/>
  <c r="H126" i="13"/>
  <c r="J127" i="13"/>
  <c r="H127" i="13"/>
  <c r="J130" i="13"/>
  <c r="H130" i="13"/>
  <c r="J129" i="13"/>
  <c r="H129" i="13"/>
  <c r="J131" i="13"/>
  <c r="H131" i="13"/>
  <c r="J151" i="13"/>
  <c r="H151" i="13"/>
  <c r="J146" i="13"/>
  <c r="H146" i="13"/>
  <c r="J141" i="13"/>
  <c r="H141" i="13"/>
  <c r="J136" i="13"/>
  <c r="H136" i="13"/>
  <c r="J201" i="13"/>
  <c r="H201" i="13"/>
  <c r="J475" i="13"/>
  <c r="H475" i="13"/>
  <c r="J115" i="13"/>
  <c r="H115" i="13"/>
  <c r="J114" i="13"/>
  <c r="H114" i="13"/>
  <c r="J111" i="13"/>
  <c r="H111" i="13"/>
  <c r="J110" i="13"/>
  <c r="H110" i="13"/>
  <c r="J107" i="13"/>
  <c r="H107" i="13"/>
  <c r="J106" i="13"/>
  <c r="H106" i="13"/>
  <c r="J103" i="13"/>
  <c r="H103" i="13"/>
  <c r="J102" i="13"/>
  <c r="H102" i="13"/>
  <c r="J120" i="13"/>
  <c r="H120" i="13"/>
  <c r="J116" i="13"/>
  <c r="H116" i="13"/>
  <c r="J112" i="13"/>
  <c r="H112" i="13"/>
  <c r="J108" i="13"/>
  <c r="H108" i="13"/>
  <c r="J104" i="13"/>
  <c r="H104" i="13"/>
  <c r="J88" i="13"/>
  <c r="H88" i="13"/>
  <c r="J87" i="13"/>
  <c r="H87" i="13"/>
  <c r="J86" i="13"/>
  <c r="H86" i="13"/>
  <c r="J85" i="13"/>
  <c r="H85" i="13"/>
  <c r="J84" i="13"/>
  <c r="H84" i="13"/>
  <c r="J83" i="13"/>
  <c r="H83" i="13"/>
  <c r="J82" i="13"/>
  <c r="H82" i="13"/>
  <c r="J81" i="13"/>
  <c r="H81" i="13"/>
  <c r="J80" i="13"/>
  <c r="H80" i="13"/>
  <c r="J79" i="13"/>
  <c r="H79" i="13"/>
  <c r="J62" i="13"/>
  <c r="H62" i="13"/>
  <c r="J63" i="13"/>
  <c r="H63" i="13"/>
  <c r="J64" i="13"/>
  <c r="H64" i="13"/>
  <c r="J61" i="13"/>
  <c r="H61" i="13"/>
  <c r="J65" i="13"/>
  <c r="H65" i="13"/>
  <c r="J66" i="13"/>
  <c r="H66" i="13"/>
  <c r="J67" i="13"/>
  <c r="H67" i="13"/>
  <c r="J68" i="13"/>
  <c r="H68" i="13"/>
  <c r="J70" i="13"/>
  <c r="H70" i="13"/>
  <c r="J71" i="13"/>
  <c r="H71" i="13"/>
  <c r="J73" i="13"/>
  <c r="H73" i="13"/>
  <c r="J48" i="13"/>
  <c r="H48" i="13"/>
  <c r="J53" i="13"/>
  <c r="H53" i="13"/>
  <c r="J52" i="13"/>
  <c r="H52" i="13"/>
  <c r="J51" i="13"/>
  <c r="H51" i="13"/>
  <c r="J49" i="13"/>
  <c r="H49" i="13"/>
  <c r="J50" i="13"/>
  <c r="H50" i="13"/>
  <c r="J54" i="13"/>
  <c r="H54" i="13"/>
  <c r="H45" i="13"/>
  <c r="J45" i="13"/>
  <c r="J44" i="13"/>
  <c r="H44" i="13"/>
  <c r="J43" i="13"/>
  <c r="H43" i="13"/>
  <c r="J42" i="13"/>
  <c r="H42" i="13"/>
  <c r="J41" i="13"/>
  <c r="H41" i="13"/>
  <c r="J40" i="13"/>
  <c r="H40" i="13"/>
  <c r="J39" i="13"/>
  <c r="H39" i="13"/>
  <c r="J34" i="13"/>
  <c r="H34" i="13"/>
  <c r="J35" i="13"/>
  <c r="H35" i="13"/>
  <c r="J36" i="13"/>
  <c r="H36" i="13"/>
  <c r="J33" i="13"/>
  <c r="H33" i="13"/>
  <c r="J30" i="13"/>
  <c r="H30" i="13"/>
  <c r="J29" i="13"/>
  <c r="H29" i="13"/>
  <c r="J27" i="13"/>
  <c r="H27" i="13"/>
  <c r="J26" i="13"/>
  <c r="H26" i="13"/>
  <c r="J18" i="13"/>
  <c r="H18" i="13"/>
  <c r="J16" i="13"/>
  <c r="H16" i="13"/>
  <c r="J436" i="13"/>
  <c r="H436" i="13"/>
  <c r="J14" i="13"/>
  <c r="H14" i="13"/>
  <c r="J22" i="13"/>
  <c r="H22" i="13"/>
  <c r="J21" i="13"/>
  <c r="H21" i="13"/>
  <c r="J20" i="13"/>
  <c r="H20" i="13"/>
  <c r="J23" i="13"/>
  <c r="H23" i="13"/>
  <c r="J12" i="13"/>
  <c r="H12" i="13"/>
  <c r="J11" i="13"/>
  <c r="H11" i="13"/>
  <c r="B13" i="10"/>
  <c r="D13" i="10"/>
  <c r="B14" i="10"/>
  <c r="D14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N1" i="13" l="1"/>
  <c r="O1" i="13"/>
  <c r="O4" i="13"/>
  <c r="N4" i="13"/>
  <c r="P1" i="13" l="1"/>
  <c r="D12" i="8" l="1"/>
  <c r="D13" i="8"/>
  <c r="D14" i="8"/>
  <c r="D44" i="8" l="1"/>
  <c r="D81" i="8" l="1"/>
  <c r="D82" i="8"/>
  <c r="D83" i="8"/>
  <c r="D84" i="8"/>
  <c r="D85" i="8"/>
  <c r="D86" i="8"/>
  <c r="D87" i="8"/>
  <c r="D88" i="8"/>
  <c r="D89" i="8"/>
  <c r="D90" i="8"/>
  <c r="D91" i="8"/>
  <c r="D92" i="8"/>
  <c r="D94" i="8"/>
  <c r="D95" i="8"/>
  <c r="D96" i="8"/>
  <c r="D97" i="8"/>
  <c r="D98" i="8"/>
  <c r="D99" i="8"/>
  <c r="D100" i="8"/>
  <c r="D101" i="8"/>
  <c r="D102" i="8"/>
  <c r="D103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41" i="8"/>
  <c r="D142" i="8"/>
  <c r="D144" i="8"/>
  <c r="D145" i="8"/>
  <c r="D146" i="8"/>
  <c r="D147" i="8"/>
  <c r="D148" i="8"/>
  <c r="D150" i="8"/>
  <c r="D151" i="8"/>
  <c r="D152" i="8"/>
  <c r="D153" i="8"/>
  <c r="D154" i="8"/>
  <c r="D157" i="8"/>
  <c r="D158" i="8"/>
  <c r="D159" i="8"/>
  <c r="D160" i="8"/>
  <c r="D163" i="8"/>
  <c r="D164" i="8"/>
  <c r="D165" i="8"/>
  <c r="D80" i="8"/>
  <c r="D41" i="8"/>
  <c r="D42" i="8"/>
  <c r="D43" i="8"/>
  <c r="D45" i="8"/>
  <c r="D46" i="8"/>
  <c r="D47" i="8"/>
  <c r="D48" i="8"/>
  <c r="D49" i="8"/>
  <c r="D50" i="8"/>
  <c r="D52" i="8"/>
  <c r="D53" i="8"/>
  <c r="D54" i="8"/>
  <c r="D55" i="8"/>
  <c r="D56" i="8"/>
  <c r="D57" i="8"/>
  <c r="D59" i="8"/>
  <c r="D60" i="8"/>
  <c r="D61" i="8"/>
  <c r="D62" i="8"/>
  <c r="D63" i="8"/>
  <c r="D64" i="8"/>
  <c r="D66" i="8"/>
  <c r="D67" i="8"/>
  <c r="D68" i="8"/>
  <c r="D69" i="8"/>
  <c r="D72" i="8"/>
  <c r="D73" i="8"/>
  <c r="D74" i="8"/>
  <c r="D75" i="8"/>
  <c r="D76" i="8"/>
  <c r="D77" i="8"/>
  <c r="D40" i="8"/>
  <c r="D26" i="8"/>
  <c r="D27" i="8"/>
  <c r="D28" i="8"/>
  <c r="D29" i="8"/>
  <c r="D30" i="8"/>
  <c r="D31" i="8"/>
  <c r="D32" i="8"/>
  <c r="D33" i="8"/>
  <c r="D34" i="8"/>
  <c r="D35" i="8"/>
  <c r="D36" i="8"/>
  <c r="D37" i="8"/>
  <c r="D7" i="8"/>
  <c r="D6" i="8"/>
  <c r="D8" i="8"/>
  <c r="D9" i="8"/>
  <c r="D10" i="8"/>
  <c r="D11" i="8"/>
  <c r="D18" i="8"/>
  <c r="D19" i="8"/>
  <c r="D5" i="8"/>
  <c r="D166" i="8" l="1"/>
  <c r="D123" i="8"/>
  <c r="D155" i="8"/>
  <c r="D139" i="8"/>
  <c r="D161" i="8"/>
  <c r="D70" i="8"/>
  <c r="D104" i="8"/>
  <c r="D78" i="8"/>
  <c r="D38" i="8"/>
  <c r="D20" i="8"/>
</calcChain>
</file>

<file path=xl/sharedStrings.xml><?xml version="1.0" encoding="utf-8"?>
<sst xmlns="http://schemas.openxmlformats.org/spreadsheetml/2006/main" count="1274" uniqueCount="576">
  <si>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</si>
  <si>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</si>
  <si>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</si>
  <si>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</si>
  <si>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</si>
  <si>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</si>
  <si>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</si>
  <si>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</si>
  <si>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</si>
  <si>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</si>
  <si>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</si>
  <si>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</si>
  <si>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</si>
  <si>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</si>
  <si>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</si>
  <si>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</si>
  <si>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</si>
  <si>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</si>
  <si>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</si>
  <si>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</si>
  <si>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</si>
  <si>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</si>
  <si>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</si>
  <si>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</si>
  <si>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</si>
  <si>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</si>
  <si>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</si>
  <si>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</si>
  <si>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</si>
  <si>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</si>
  <si>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</si>
  <si>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</si>
  <si>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</si>
  <si>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</si>
  <si>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</si>
  <si>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</si>
  <si>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</si>
  <si>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</si>
  <si>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</si>
  <si>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</si>
  <si>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</si>
  <si>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</si>
  <si>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</si>
  <si>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</si>
  <si>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configPageSync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</si>
  <si>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</si>
  <si>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</si>
  <si>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</si>
  <si>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</si>
  <si>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</si>
  <si>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</si>
  <si>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</si>
  <si>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</si>
  <si>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</si>
  <si>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</si>
  <si>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</si>
  <si>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</si>
  <si>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</si>
  <si>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</si>
  <si>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</si>
  <si>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</si>
  <si>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</si>
  <si>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</si>
  <si>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</si>
  <si>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</si>
  <si>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helixType;</t>
  </si>
  <si>
    <t>distance;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</si>
  <si>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</si>
  <si>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</si>
  <si>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</si>
  <si>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</si>
  <si>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</si>
  <si>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</si>
  <si>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</si>
  <si>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</si>
  <si>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</si>
  <si>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</si>
  <si>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</si>
  <si>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</si>
  <si>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</si>
  <si>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</si>
  <si>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</si>
  <si>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</si>
  <si>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</si>
  <si>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</si>
  <si>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</si>
  <si>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</si>
  <si>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</si>
  <si>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</si>
  <si>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</si>
  <si>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</si>
  <si>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</si>
  <si>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</si>
  <si>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</si>
  <si>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</si>
  <si>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</si>
  <si>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</si>
  <si>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</si>
  <si>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</si>
  <si>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</si>
  <si>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</si>
  <si>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</si>
  <si>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</si>
  <si>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</si>
  <si>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</si>
  <si>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</si>
  <si>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</si>
  <si>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</si>
  <si>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</si>
  <si>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</si>
  <si>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</si>
  <si>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</si>
  <si>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</si>
  <si>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</si>
  <si>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</si>
  <si>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</si>
  <si>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</si>
  <si>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</si>
  <si>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</si>
  <si>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</si>
  <si>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</si>
  <si>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</si>
  <si>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</si>
  <si>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</si>
  <si>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</si>
  <si>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</si>
  <si>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</si>
  <si>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</si>
  <si>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</si>
  <si>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</si>
  <si>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</si>
  <si>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</si>
  <si>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</si>
  <si>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</si>
  <si>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</si>
  <si>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</si>
  <si>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</si>
  <si>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</si>
  <si>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</si>
  <si>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</si>
  <si>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</si>
  <si>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</si>
  <si>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</si>
  <si>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</si>
  <si>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</si>
  <si>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</si>
  <si>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</si>
  <si>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</si>
  <si>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</si>
  <si>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</si>
  <si>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</si>
  <si>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eePromAddress_Filename_Index</t>
  </si>
  <si>
    <t>900;</t>
  </si>
  <si>
    <t>eePromAddress_Filename_Length_Index</t>
  </si>
  <si>
    <t>920;</t>
  </si>
  <si>
    <t>925;</t>
  </si>
  <si>
    <t>945;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</si>
  <si>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</si>
  <si>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</si>
  <si>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</si>
  <si>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</si>
  <si>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</si>
  <si>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</si>
  <si>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</si>
  <si>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</si>
  <si>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</si>
  <si>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</si>
  <si>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</si>
  <si>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</si>
  <si>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</si>
  <si>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</si>
  <si>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</si>
  <si>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</si>
  <si>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</si>
  <si>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</si>
  <si>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</si>
  <si>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</si>
  <si>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</si>
  <si>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</si>
  <si>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</si>
  <si>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</si>
  <si>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</si>
  <si>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</si>
  <si>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</si>
  <si>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</si>
  <si>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</si>
  <si>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</si>
  <si>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</si>
  <si>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</si>
  <si>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</si>
  <si>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(text length)</t>
  </si>
  <si>
    <t>(text: 8.3+1)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</si>
  <si>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</si>
  <si>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</si>
  <si>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</si>
  <si>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</si>
  <si>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</si>
  <si>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</si>
  <si>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</si>
  <si>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</si>
  <si>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</si>
  <si>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</si>
  <si>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</si>
  <si>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</si>
  <si>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distance_MoveX2;</t>
  </si>
  <si>
    <t>distance_MoveB2;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</si>
  <si>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</si>
  <si>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</si>
  <si>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</si>
  <si>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</si>
  <si>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</si>
  <si>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</si>
  <si>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</si>
  <si>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</si>
  <si>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</si>
  <si>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</si>
  <si>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</si>
  <si>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</si>
  <si>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</si>
  <si>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</si>
  <si>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</si>
  <si>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</si>
  <si>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</si>
  <si>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</si>
  <si>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</si>
  <si>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</si>
  <si>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</si>
  <si>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</si>
  <si>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</si>
  <si>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</si>
  <si>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</si>
  <si>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</si>
  <si>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</si>
  <si>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</si>
  <si>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</si>
  <si>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</si>
  <si>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</si>
  <si>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</si>
  <si>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</si>
  <si>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</si>
  <si>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</si>
  <si>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</si>
  <si>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</si>
  <si>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</si>
  <si>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</si>
  <si>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</si>
  <si>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Microsteps</t>
  </si>
  <si>
    <t>Steps/360</t>
  </si>
  <si>
    <t>GearRatio</t>
  </si>
  <si>
    <t>Distance/360</t>
  </si>
  <si>
    <t>Polarity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</si>
  <si>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</si>
  <si>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</si>
  <si>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</si>
  <si>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</si>
  <si>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</si>
  <si>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</si>
  <si>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</si>
  <si>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</si>
  <si>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t12.txt="Spindle Direction"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</si>
  <si>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</si>
  <si>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</si>
  <si>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</si>
  <si>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</si>
  <si>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</si>
  <si>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</si>
  <si>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</si>
  <si>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</si>
  <si>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</si>
  <si>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t13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</si>
  <si>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</si>
  <si>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</si>
  <si>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</si>
  <si>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</si>
  <si>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</si>
  <si>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</si>
  <si>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</si>
  <si>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</si>
  <si>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</si>
  <si>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</si>
  <si>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</si>
  <si>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</si>
  <si>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</si>
  <si>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</si>
  <si>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</si>
  <si>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</si>
  <si>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</si>
  <si>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</si>
  <si>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</si>
  <si>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</si>
  <si>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</si>
  <si>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</si>
  <si>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</si>
  <si>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</si>
  <si>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</si>
  <si>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; File must be named: 4Axes.ini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</si>
  <si>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</si>
  <si>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</si>
  <si>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</si>
  <si>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</si>
  <si>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</si>
  <si>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</si>
  <si>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</si>
  <si>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</si>
  <si>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</si>
  <si>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</si>
  <si>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</si>
  <si>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;Return</t>
  </si>
  <si>
    <t>; All speeds and accellerations are in steps per second</t>
  </si>
  <si>
    <t>[Main]</t>
  </si>
  <si>
    <t>;Axis Ids:</t>
  </si>
  <si>
    <t>;-----------------</t>
  </si>
  <si>
    <t>;Spindle</t>
  </si>
  <si>
    <t>[Multi]</t>
  </si>
  <si>
    <t>[Index]</t>
  </si>
  <si>
    <t>; M3</t>
  </si>
  <si>
    <t>; M4</t>
  </si>
  <si>
    <t>;Division:0  Degrees:2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</si>
  <si>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</si>
  <si>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</si>
  <si>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</si>
  <si>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</si>
  <si>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</si>
  <si>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</si>
  <si>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</si>
  <si>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</si>
  <si>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</si>
  <si>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</si>
  <si>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</si>
  <si>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</si>
  <si>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;4a: 2 4b: 3 3a: 6 3b: 7 2a: 4 2b: 5</t>
  </si>
  <si>
    <t>[Program]</t>
  </si>
  <si>
    <t>;Segments: 2  Actual: 3</t>
  </si>
  <si>
    <t>[Rose]</t>
  </si>
  <si>
    <t>MotorCount</t>
  </si>
  <si>
    <t>CutterMotorPin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</si>
  <si>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</si>
  <si>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</si>
  <si>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</si>
  <si>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</si>
  <si>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</si>
  <si>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</si>
  <si>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</si>
  <si>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</si>
  <si>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</si>
  <si>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</si>
  <si>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</si>
  <si>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</si>
  <si>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</si>
  <si>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</si>
  <si>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</si>
  <si>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</si>
  <si>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</si>
  <si>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</si>
  <si>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</si>
  <si>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</si>
  <si>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</si>
  <si>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</si>
  <si>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</si>
  <si>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</si>
  <si>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</si>
  <si>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</si>
  <si>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</si>
  <si>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</si>
  <si>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</si>
  <si>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</si>
  <si>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</si>
  <si>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</si>
  <si>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</si>
  <si>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</si>
  <si>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</si>
  <si>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</si>
  <si>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</si>
  <si>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</si>
  <si>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</si>
  <si>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</si>
  <si>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</si>
  <si>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</si>
  <si>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</si>
  <si>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</si>
  <si>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</si>
  <si>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</si>
  <si>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</si>
  <si>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</si>
  <si>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</si>
  <si>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</si>
  <si>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</si>
  <si>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</si>
  <si>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</si>
  <si>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</si>
  <si>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</si>
  <si>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</si>
  <si>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</si>
  <si>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</si>
  <si>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</si>
  <si>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</si>
  <si>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</si>
  <si>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</si>
  <si>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</si>
  <si>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</si>
  <si>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</si>
  <si>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</si>
  <si>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</si>
  <si>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</si>
  <si>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</si>
  <si>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</si>
  <si>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</si>
  <si>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</si>
  <si>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</si>
  <si>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</si>
  <si>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</si>
  <si>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</si>
  <si>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</si>
  <si>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</si>
  <si>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</si>
  <si>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</si>
  <si>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</si>
  <si>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</si>
  <si>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</si>
  <si>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</si>
  <si>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</si>
  <si>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</si>
  <si>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</si>
  <si>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</si>
  <si>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</si>
  <si>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</si>
  <si>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</si>
  <si>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</si>
  <si>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</si>
  <si>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</si>
  <si>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</si>
  <si>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</si>
  <si>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</si>
  <si>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</si>
  <si>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</si>
  <si>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</si>
  <si>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</si>
  <si>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</si>
  <si>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</si>
  <si>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</si>
  <si>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</si>
  <si>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</si>
  <si>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</si>
  <si>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</si>
  <si>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</si>
  <si>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</si>
  <si>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</si>
  <si>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</si>
  <si>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</si>
  <si>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</si>
  <si>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</si>
  <si>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</si>
  <si>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</si>
  <si>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</si>
  <si>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</si>
  <si>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</si>
  <si>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</si>
  <si>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</si>
  <si>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</si>
  <si>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</si>
  <si>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Direction</t>
  </si>
  <si>
    <t>Comments</t>
  </si>
  <si>
    <t>Values ANDed together (1,2,4,8,16)</t>
  </si>
  <si>
    <t>AltX</t>
  </si>
  <si>
    <t>Recip</t>
  </si>
  <si>
    <t>Preferences</t>
  </si>
  <si>
    <t>[Shared]</t>
  </si>
  <si>
    <t>Shared</t>
  </si>
  <si>
    <t>; Settings shared between Sync, Recip, Greek Key, and Program pages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</si>
  <si>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</si>
  <si>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</si>
  <si>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</si>
  <si>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</si>
  <si>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</si>
  <si>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</si>
  <si>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</si>
  <si>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</si>
  <si>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 xml:space="preserve"> </t>
  </si>
  <si>
    <t>X or AltX</t>
  </si>
  <si>
    <t>Ascii</t>
  </si>
  <si>
    <t>Radial/Lineal</t>
  </si>
  <si>
    <t>Alt X</t>
  </si>
  <si>
    <t>;CutterMotorPin must be greater than 16 on 4 motor board.</t>
  </si>
  <si>
    <t>;CutterMotorPin must be greater than 24 on 5 motor board.</t>
  </si>
  <si>
    <t>;Limit Switches and Stop pins must be greater than 16 on 4 motor board.</t>
  </si>
  <si>
    <t>;Limit Switches and Stop pins must be greater than 24 on 5 motor board.</t>
  </si>
  <si>
    <t>RadialOrLineal_M4</t>
  </si>
  <si>
    <t>RadialOrLineal_M3</t>
  </si>
  <si>
    <t>;Ini file</t>
  </si>
  <si>
    <t>; MultiAxesRun and Direction values are ANDed together.</t>
  </si>
  <si>
    <t>index</t>
  </si>
  <si>
    <t>VendorId</t>
  </si>
  <si>
    <t>Return:  Spindle and B axis</t>
  </si>
  <si>
    <t>Program: Do  (Left and Right)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</si>
  <si>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</si>
  <si>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</si>
  <si>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</si>
  <si>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</si>
  <si>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</si>
  <si>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</si>
  <si>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</si>
  <si>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</si>
  <si>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</si>
  <si>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Main One</t>
  </si>
  <si>
    <t>Return: Spindle  - Main and One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</si>
  <si>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</si>
  <si>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</si>
  <si>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</si>
  <si>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</si>
  <si>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</si>
  <si>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</si>
  <si>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</si>
  <si>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</si>
  <si>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</si>
  <si>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</si>
  <si>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</si>
  <si>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</si>
  <si>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</si>
  <si>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</si>
  <si>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</si>
  <si>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</si>
  <si>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</si>
  <si>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</si>
  <si>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</si>
  <si>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</si>
  <si>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</si>
  <si>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</si>
  <si>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</si>
  <si>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</si>
  <si>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</si>
  <si>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</si>
  <si>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</si>
  <si>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</si>
  <si>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</si>
  <si>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</si>
  <si>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</si>
  <si>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</si>
  <si>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</si>
  <si>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</si>
  <si>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eePromAddress_Filename_Length_Program</t>
  </si>
  <si>
    <t>eePromAddress_Filename_Program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</si>
  <si>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</si>
  <si>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</si>
  <si>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</si>
  <si>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</si>
  <si>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</si>
  <si>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</si>
  <si>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Input from Ini only</t>
  </si>
  <si>
    <t>; Settings shared between Main,Sync, Recip, Rose, Greek Key, and Program pages</t>
  </si>
  <si>
    <t>;Spindle=0</t>
  </si>
  <si>
    <t>;Z=1</t>
  </si>
  <si>
    <t>;X=2</t>
  </si>
  <si>
    <t>;M3=3</t>
  </si>
  <si>
    <t>;M4=4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</si>
  <si>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</si>
  <si>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</si>
  <si>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</si>
  <si>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</si>
  <si>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</si>
  <si>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</si>
  <si>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</si>
  <si>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</si>
  <si>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</si>
  <si>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</si>
  <si>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</si>
  <si>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</si>
  <si>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</si>
  <si>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</si>
  <si>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Leadscrew_Hand</t>
  </si>
  <si>
    <t>M5</t>
  </si>
  <si>
    <t>;Polarity: Low=1, High=0</t>
  </si>
  <si>
    <t>; 1: Equal Angle 2: Square 3: Sawtooth</t>
  </si>
  <si>
    <t>t2</t>
  </si>
  <si>
    <t>x</t>
  </si>
  <si>
    <t>m3</t>
  </si>
  <si>
    <t>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</si>
</sst>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  <font>
      <sz val="11"/>
      <color theme="9" tint="0.79998168889431442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Fill="1"/>
    <xf numFmtId="0" fontId="0" fillId="0" borderId="0" xfId="0" applyFill="1" applyAlignment="1">
      <alignment horizontal="right"/>
    </xf>
    <xf numFmtId="0" fontId="3" fillId="3" borderId="3" xfId="0" applyFont="1" applyFill="1" applyBorder="1"/>
    <xf numFmtId="0" fontId="3" fillId="3" borderId="4" xfId="0" applyFont="1" applyFill="1" applyBorder="1"/>
    <xf numFmtId="0" fontId="0" fillId="4" borderId="3" xfId="0" applyFont="1" applyFill="1" applyBorder="1"/>
    <xf numFmtId="0" fontId="0" fillId="4" borderId="4" xfId="0" applyFont="1" applyFill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7" xfId="0" applyFont="1" applyBorder="1"/>
    <xf numFmtId="0" fontId="3" fillId="5" borderId="8" xfId="0" applyFont="1" applyFill="1" applyBorder="1"/>
    <xf numFmtId="0" fontId="3" fillId="5" borderId="9" xfId="0" applyFont="1" applyFill="1" applyBorder="1"/>
    <xf numFmtId="0" fontId="3" fillId="5" borderId="10" xfId="0" applyFont="1" applyFill="1" applyBorder="1"/>
    <xf numFmtId="0" fontId="0" fillId="6" borderId="8" xfId="0" applyFont="1" applyFill="1" applyBorder="1"/>
    <xf numFmtId="0" fontId="0" fillId="6" borderId="9" xfId="0" applyFont="1" applyFill="1" applyBorder="1"/>
    <xf numFmtId="0" fontId="0" fillId="6" borderId="10" xfId="0" applyFont="1" applyFill="1" applyBorder="1"/>
    <xf numFmtId="0" fontId="0" fillId="0" borderId="8" xfId="0" applyFont="1" applyBorder="1"/>
    <xf numFmtId="0" fontId="0" fillId="0" borderId="9" xfId="0" applyFont="1" applyBorder="1"/>
    <xf numFmtId="0" fontId="0" fillId="0" borderId="10" xfId="0" applyFont="1" applyBorder="1"/>
    <xf numFmtId="0" fontId="0" fillId="0" borderId="0" xfId="0" applyFill="1" applyBorder="1"/>
    <xf numFmtId="0" fontId="0" fillId="6" borderId="9" xfId="0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0" borderId="6" xfId="0" applyFont="1" applyBorder="1" applyAlignment="1">
      <alignment horizontal="right"/>
    </xf>
    <xf numFmtId="0" fontId="0" fillId="7" borderId="10" xfId="0" applyFont="1" applyFill="1" applyBorder="1"/>
    <xf numFmtId="0" fontId="0" fillId="7" borderId="9" xfId="0" applyFont="1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5" borderId="0" xfId="0" applyFill="1"/>
    <xf numFmtId="0" fontId="0" fillId="15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9" borderId="0" xfId="0" applyFont="1" applyFill="1" applyAlignment="1">
      <alignment horizontal="right"/>
    </xf>
    <xf numFmtId="0" fontId="0" fillId="0" borderId="11" xfId="0" applyBorder="1"/>
    <xf numFmtId="0" fontId="0" fillId="0" borderId="11" xfId="0" applyFill="1" applyBorder="1"/>
    <xf numFmtId="0" fontId="0" fillId="10" borderId="11" xfId="0" applyFill="1" applyBorder="1"/>
    <xf numFmtId="0" fontId="0" fillId="0" borderId="12" xfId="0" applyBorder="1"/>
    <xf numFmtId="0" fontId="0" fillId="0" borderId="12" xfId="0" applyFill="1" applyBorder="1"/>
    <xf numFmtId="0" fontId="0" fillId="10" borderId="12" xfId="0" applyFill="1" applyBorder="1"/>
    <xf numFmtId="0" fontId="0" fillId="16" borderId="0" xfId="0" applyFill="1" applyAlignment="1">
      <alignment horizontal="right"/>
    </xf>
    <xf numFmtId="0" fontId="0" fillId="16" borderId="0" xfId="0" applyFill="1"/>
    <xf numFmtId="0" fontId="0" fillId="0" borderId="0" xfId="0" applyBorder="1"/>
    <xf numFmtId="0" fontId="0" fillId="17" borderId="0" xfId="0" applyFill="1"/>
    <xf numFmtId="0" fontId="0" fillId="2" borderId="12" xfId="0" applyFill="1" applyBorder="1"/>
    <xf numFmtId="0" fontId="0" fillId="15" borderId="12" xfId="0" applyFill="1" applyBorder="1"/>
    <xf numFmtId="0" fontId="0" fillId="0" borderId="13" xfId="0" applyBorder="1"/>
    <xf numFmtId="0" fontId="0" fillId="10" borderId="13" xfId="0" applyFill="1" applyBorder="1"/>
    <xf numFmtId="0" fontId="0" fillId="2" borderId="13" xfId="0" applyFill="1" applyBorder="1"/>
    <xf numFmtId="0" fontId="0" fillId="0" borderId="11" xfId="0" applyFill="1" applyBorder="1" applyAlignment="1">
      <alignment horizontal="right"/>
    </xf>
    <xf numFmtId="0" fontId="0" fillId="11" borderId="12" xfId="0" applyFill="1" applyBorder="1"/>
    <xf numFmtId="0" fontId="0" fillId="8" borderId="11" xfId="0" applyFill="1" applyBorder="1" applyAlignment="1">
      <alignment horizontal="right"/>
    </xf>
    <xf numFmtId="0" fontId="0" fillId="2" borderId="11" xfId="0" applyFill="1" applyBorder="1" applyAlignment="1">
      <alignment horizontal="right"/>
    </xf>
    <xf numFmtId="0" fontId="2" fillId="8" borderId="0" xfId="0" applyFont="1" applyFill="1"/>
    <xf numFmtId="0" fontId="2" fillId="8" borderId="11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1" borderId="11" xfId="0" applyFill="1" applyBorder="1"/>
    <xf numFmtId="0" fontId="0" fillId="14" borderId="11" xfId="0" applyFill="1" applyBorder="1"/>
    <xf numFmtId="0" fontId="0" fillId="13" borderId="0" xfId="0" applyFill="1" applyBorder="1"/>
    <xf numFmtId="0" fontId="0" fillId="12" borderId="11" xfId="0" applyFill="1" applyBorder="1"/>
    <xf numFmtId="0" fontId="0" fillId="18" borderId="0" xfId="0" applyFill="1"/>
    <xf numFmtId="0" fontId="0" fillId="2" borderId="0" xfId="0" applyFill="1" applyBorder="1"/>
    <xf numFmtId="0" fontId="0" fillId="12" borderId="0" xfId="0" applyFill="1" applyAlignment="1">
      <alignment horizontal="right"/>
    </xf>
    <xf numFmtId="0" fontId="0" fillId="19" borderId="0" xfId="0" applyFill="1"/>
    <xf numFmtId="0" fontId="0" fillId="12" borderId="11" xfId="0" applyFill="1" applyBorder="1" applyAlignment="1">
      <alignment horizontal="right"/>
    </xf>
    <xf numFmtId="0" fontId="0" fillId="12" borderId="0" xfId="0" applyFill="1" applyBorder="1"/>
    <xf numFmtId="0" fontId="0" fillId="8" borderId="0" xfId="0" applyFill="1" applyBorder="1" applyAlignment="1">
      <alignment horizontal="right"/>
    </xf>
    <xf numFmtId="0" fontId="0" fillId="20" borderId="0" xfId="0" applyFill="1"/>
    <xf numFmtId="0" fontId="0" fillId="20" borderId="12" xfId="0" applyFill="1" applyBorder="1"/>
    <xf numFmtId="0" fontId="0" fillId="20" borderId="11" xfId="0" applyFill="1" applyBorder="1" applyAlignment="1">
      <alignment horizontal="right"/>
    </xf>
    <xf numFmtId="0" fontId="0" fillId="20" borderId="0" xfId="0" applyFill="1" applyBorder="1"/>
    <xf numFmtId="0" fontId="0" fillId="20" borderId="13" xfId="0" applyFill="1" applyBorder="1"/>
    <xf numFmtId="0" fontId="0" fillId="0" borderId="13" xfId="0" applyFill="1" applyBorder="1"/>
    <xf numFmtId="0" fontId="0" fillId="21" borderId="0" xfId="0" applyFill="1"/>
    <xf numFmtId="0" fontId="0" fillId="21" borderId="12" xfId="0" applyFill="1" applyBorder="1"/>
    <xf numFmtId="0" fontId="0" fillId="21" borderId="11" xfId="0" applyFill="1" applyBorder="1" applyAlignment="1">
      <alignment horizontal="right"/>
    </xf>
    <xf numFmtId="0" fontId="0" fillId="21" borderId="0" xfId="0" applyFill="1" applyAlignment="1">
      <alignment horizontal="right"/>
    </xf>
    <xf numFmtId="0" fontId="3" fillId="0" borderId="4" xfId="0" applyFont="1" applyFill="1" applyBorder="1"/>
    <xf numFmtId="0" fontId="0" fillId="0" borderId="4" xfId="0" applyFont="1" applyFill="1" applyBorder="1"/>
    <xf numFmtId="0" fontId="0" fillId="0" borderId="2" xfId="0" applyFont="1" applyFill="1" applyBorder="1"/>
    <xf numFmtId="0" fontId="3" fillId="3" borderId="21" xfId="0" applyFont="1" applyFill="1" applyBorder="1"/>
    <xf numFmtId="0" fontId="0" fillId="4" borderId="21" xfId="0" applyFont="1" applyFill="1" applyBorder="1"/>
    <xf numFmtId="0" fontId="0" fillId="0" borderId="21" xfId="0" applyFont="1" applyBorder="1"/>
    <xf numFmtId="0" fontId="0" fillId="0" borderId="1" xfId="0" applyFont="1" applyBorder="1"/>
    <xf numFmtId="0" fontId="0" fillId="0" borderId="2" xfId="0" applyFont="1" applyBorder="1"/>
    <xf numFmtId="0" fontId="0" fillId="0" borderId="20" xfId="0" applyFont="1" applyBorder="1"/>
    <xf numFmtId="0" fontId="0" fillId="8" borderId="12" xfId="0" applyFill="1" applyBorder="1"/>
    <xf numFmtId="0" fontId="0" fillId="10" borderId="0" xfId="0" applyFill="1" applyBorder="1"/>
    <xf numFmtId="0" fontId="0" fillId="15" borderId="0" xfId="0" applyFill="1" applyBorder="1"/>
    <xf numFmtId="0" fontId="0" fillId="2" borderId="0" xfId="0" applyFill="1" applyBorder="1" applyAlignment="1">
      <alignment horizontal="right"/>
    </xf>
    <xf numFmtId="0" fontId="0" fillId="21" borderId="0" xfId="0" applyFill="1" applyBorder="1"/>
    <xf numFmtId="0" fontId="9" fillId="8" borderId="11" xfId="0" applyFont="1" applyFill="1" applyBorder="1" applyAlignment="1">
      <alignment horizontal="right"/>
    </xf>
    <xf numFmtId="0" fontId="9" fillId="8" borderId="0" xfId="0" applyFont="1" applyFill="1"/>
    <xf numFmtId="0" fontId="0" fillId="9" borderId="0" xfId="0" applyFill="1"/>
    <xf numFmtId="0" fontId="0" fillId="21" borderId="0" xfId="0" applyFill="1" applyBorder="1" applyAlignment="1">
      <alignment horizontal="right"/>
    </xf>
    <xf numFmtId="0" fontId="0" fillId="15" borderId="11" xfId="0" applyFill="1" applyBorder="1" applyAlignment="1">
      <alignment horizontal="right"/>
    </xf>
    <xf numFmtId="0" fontId="0" fillId="2" borderId="11" xfId="0" applyFill="1" applyBorder="1"/>
    <xf numFmtId="0" fontId="0" fillId="8" borderId="0" xfId="0" applyFill="1" applyBorder="1"/>
    <xf numFmtId="0" fontId="0" fillId="8" borderId="1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CC"/>
      <color rgb="FF66FF99"/>
      <color rgb="FF66FFFF"/>
      <color rgb="FFFF00FF"/>
      <color rgb="FFCC66FF"/>
      <color rgb="FF33CCFF"/>
      <color rgb="FFFF53D2"/>
      <color rgb="FFE45AC0"/>
      <color rgb="FFCC00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16</xdr:col>
          <xdr:colOff>4371975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38"/>
  <sheetViews>
    <sheetView tabSelected="1" zoomScale="120" zoomScaleNormal="120" workbookViewId="0">
      <pane ySplit="1" topLeftCell="A2" activePane="bottomLeft" state="frozen"/>
      <selection pane="bottomLeft"/>
    </sheetView>
  </sheetViews>
  <sheetFormatPr defaultRowHeight="15" x14ac:dyDescent="0.25"/>
  <cols>
    <col min="3" max="3" width="24.140625" style="45" customWidth="1"/>
    <col min="4" max="4" width="10.140625" style="45" customWidth="1"/>
    <col min="5" max="5" width="7.7109375" bestFit="1" customWidth="1"/>
    <col min="6" max="6" width="5.7109375" customWidth="1"/>
    <col min="7" max="7" width="4.85546875" customWidth="1"/>
    <col min="8" max="8" width="5.85546875" style="43" customWidth="1"/>
    <col min="9" max="9" width="5.28515625" style="4" customWidth="1"/>
    <col min="10" max="10" width="4.42578125" style="4" customWidth="1"/>
    <col min="11" max="11" width="8.42578125" style="45" customWidth="1"/>
    <col min="12" max="12" width="5.85546875" customWidth="1"/>
    <col min="13" max="13" width="5.140625" style="54" customWidth="1"/>
    <col min="14" max="15" width="4.28515625" style="75" bestFit="1" customWidth="1"/>
    <col min="16" max="16" width="5.42578125" style="75" bestFit="1" customWidth="1"/>
    <col min="17" max="17" width="69.140625" style="51" customWidth="1"/>
    <col min="18" max="25" width="9.140625" style="4"/>
  </cols>
  <sheetData>
    <row r="1" spans="1:25" s="82" customFormat="1" ht="21.75" customHeight="1" x14ac:dyDescent="0.25">
      <c r="A1" s="82" t="s">
        <v>525</v>
      </c>
      <c r="B1" s="82" t="s">
        <v>1</v>
      </c>
      <c r="C1" s="83" t="s">
        <v>456</v>
      </c>
      <c r="D1" s="83" t="s">
        <v>457</v>
      </c>
      <c r="E1" s="82" t="s">
        <v>458</v>
      </c>
      <c r="F1" s="82" t="s">
        <v>2</v>
      </c>
      <c r="G1" s="82" t="s">
        <v>459</v>
      </c>
      <c r="H1" s="84" t="s">
        <v>25</v>
      </c>
      <c r="I1" s="82" t="s">
        <v>6</v>
      </c>
      <c r="J1" s="82" t="s">
        <v>7</v>
      </c>
      <c r="K1" s="83" t="s">
        <v>461</v>
      </c>
      <c r="L1" s="85" t="s">
        <v>469</v>
      </c>
      <c r="M1" s="86" t="s">
        <v>470</v>
      </c>
      <c r="N1" s="82">
        <f>SUM(L:L)</f>
        <v>136</v>
      </c>
      <c r="O1" s="82">
        <f>SUM(M:M)</f>
        <v>888</v>
      </c>
      <c r="P1" s="82">
        <f>SUM(N1:O1)</f>
        <v>1024</v>
      </c>
      <c r="Q1" s="82" t="s">
        <v>488</v>
      </c>
    </row>
    <row r="2" spans="1:25" x14ac:dyDescent="0.25">
      <c r="A2">
        <v>1</v>
      </c>
      <c r="C2" s="45" t="s">
        <v>295</v>
      </c>
      <c r="K2" s="42"/>
      <c r="Q2" s="51" t="str">
        <f>C2&amp;IF(ISBLANK(D2),"","=")&amp;D2</f>
        <v>; File must be named: 4Axes.ini</v>
      </c>
    </row>
    <row r="3" spans="1:25" x14ac:dyDescent="0.25">
      <c r="A3">
        <v>2</v>
      </c>
      <c r="C3" s="45" t="s">
        <v>242</v>
      </c>
      <c r="K3" s="42"/>
      <c r="Q3" s="51" t="str">
        <f>C3&amp;IF(ISBLANK(D3),"","=")&amp;D3</f>
        <v>;</v>
      </c>
    </row>
    <row r="4" spans="1:25" s="32" customFormat="1" x14ac:dyDescent="0.25">
      <c r="A4">
        <v>3</v>
      </c>
      <c r="C4" s="47" t="s">
        <v>296</v>
      </c>
      <c r="D4" s="47"/>
      <c r="H4" s="44"/>
      <c r="K4" s="47"/>
      <c r="M4" s="55"/>
      <c r="N4" s="75">
        <f>SUM(L:L)</f>
        <v>136</v>
      </c>
      <c r="O4" s="75">
        <f>SUM(M:M)</f>
        <v>888</v>
      </c>
      <c r="P4" s="75"/>
      <c r="Q4" s="51" t="str">
        <f>C4&amp;IF(ISBLANK(D4),"","=")&amp;D4</f>
        <v>[Preferences]</v>
      </c>
      <c r="R4" s="4"/>
      <c r="S4" s="4"/>
      <c r="T4" s="4"/>
      <c r="U4" s="4"/>
      <c r="V4" s="4"/>
      <c r="W4" s="4"/>
      <c r="X4" s="4"/>
      <c r="Y4" s="4"/>
    </row>
    <row r="5" spans="1:25" x14ac:dyDescent="0.25">
      <c r="A5">
        <v>4</v>
      </c>
      <c r="C5" s="45" t="s">
        <v>242</v>
      </c>
      <c r="E5" s="4"/>
      <c r="F5" s="4"/>
      <c r="G5" s="4"/>
      <c r="Q5" s="51" t="str">
        <f>C5&amp;IF(ISBLANK(D5),"","=")&amp;D5</f>
        <v>;</v>
      </c>
    </row>
    <row r="6" spans="1:25" s="4" customFormat="1" x14ac:dyDescent="0.25">
      <c r="A6">
        <v>5</v>
      </c>
      <c r="C6" s="46" t="s">
        <v>297</v>
      </c>
      <c r="D6" s="46"/>
      <c r="H6" s="43"/>
      <c r="K6" s="46"/>
      <c r="L6"/>
      <c r="M6" s="54"/>
      <c r="N6" s="75"/>
      <c r="O6" s="75"/>
      <c r="P6" s="75"/>
      <c r="Q6" s="51" t="str">
        <f>C6&amp;IF(ISBLANK(D6),"","=")&amp;D6</f>
        <v>;More</v>
      </c>
    </row>
    <row r="7" spans="1:25" x14ac:dyDescent="0.25">
      <c r="A7">
        <v>6</v>
      </c>
      <c r="B7" s="4" t="s">
        <v>196</v>
      </c>
      <c r="C7" s="45" t="s">
        <v>491</v>
      </c>
      <c r="D7" s="45">
        <v>4</v>
      </c>
      <c r="E7" s="29">
        <v>0</v>
      </c>
      <c r="F7" s="29">
        <v>3</v>
      </c>
      <c r="G7" s="29">
        <v>16</v>
      </c>
      <c r="H7" s="113"/>
      <c r="I7" s="29"/>
      <c r="J7" s="29"/>
      <c r="K7" s="46" t="s">
        <v>547</v>
      </c>
      <c r="L7">
        <f>IF(ISBLANK(D7),IF(E7&gt;0,F7-E7+1,0),0)</f>
        <v>0</v>
      </c>
      <c r="M7" s="54">
        <f>IF(ISBLANK(D7),0,IF(G7=0,F7-E7+1,0))</f>
        <v>0</v>
      </c>
      <c r="Q7" s="51" t="str">
        <f>C7&amp;IF(ISBLANK(D7),"","=")&amp;D7</f>
        <v>VendorId=4</v>
      </c>
    </row>
    <row r="8" spans="1:25" x14ac:dyDescent="0.25">
      <c r="A8">
        <v>7</v>
      </c>
      <c r="B8" s="4" t="s">
        <v>196</v>
      </c>
      <c r="C8" s="45" t="s">
        <v>334</v>
      </c>
      <c r="D8" s="45">
        <v>4</v>
      </c>
      <c r="E8" s="29">
        <v>0</v>
      </c>
      <c r="F8" s="29">
        <v>3</v>
      </c>
      <c r="G8" s="29">
        <v>24</v>
      </c>
      <c r="H8" s="113"/>
      <c r="I8" s="29"/>
      <c r="J8" s="29"/>
      <c r="K8" s="46" t="s">
        <v>547</v>
      </c>
      <c r="L8">
        <f>IF(ISBLANK(D8),IF(E8&gt;0,F8-E8+1,0),0)</f>
        <v>0</v>
      </c>
      <c r="M8" s="54">
        <f>IF(ISBLANK(D8),0,IF(G8=0,F8-E8+1,0))</f>
        <v>0</v>
      </c>
      <c r="Q8" s="51" t="str">
        <f>C8&amp;IF(ISBLANK(D8),"","=")&amp;D8</f>
        <v>MotorCount=4</v>
      </c>
    </row>
    <row r="9" spans="1:25" x14ac:dyDescent="0.25">
      <c r="A9">
        <v>8</v>
      </c>
      <c r="B9" s="4"/>
      <c r="C9" s="45" t="s">
        <v>482</v>
      </c>
      <c r="E9" s="4"/>
      <c r="F9" s="4"/>
      <c r="G9" s="4"/>
      <c r="K9" s="50"/>
      <c r="Q9" s="51" t="str">
        <f>C9&amp;IF(ISBLANK(D9),"","=")&amp;D9</f>
        <v>;CutterMotorPin must be greater than 16 on 4 motor board.</v>
      </c>
    </row>
    <row r="10" spans="1:25" x14ac:dyDescent="0.25">
      <c r="A10">
        <v>9</v>
      </c>
      <c r="B10" s="4"/>
      <c r="C10" s="45" t="s">
        <v>483</v>
      </c>
      <c r="E10" s="4"/>
      <c r="F10" s="4"/>
      <c r="G10" s="4"/>
      <c r="K10" s="50"/>
      <c r="Q10" s="51" t="str">
        <f>C10&amp;IF(ISBLANK(D10),"","=")&amp;D10</f>
        <v>;CutterMotorPin must be greater than 24 on 5 motor board.</v>
      </c>
    </row>
    <row r="11" spans="1:25" x14ac:dyDescent="0.25">
      <c r="A11">
        <v>10</v>
      </c>
      <c r="B11" s="4" t="s">
        <v>196</v>
      </c>
      <c r="C11" s="45" t="s">
        <v>335</v>
      </c>
      <c r="D11" s="45">
        <v>55</v>
      </c>
      <c r="E11" s="29">
        <v>104</v>
      </c>
      <c r="F11" s="29">
        <v>107</v>
      </c>
      <c r="G11" s="29">
        <v>24</v>
      </c>
      <c r="H11" s="59" t="str">
        <f>DEC2HEX(I11)</f>
        <v>AA</v>
      </c>
      <c r="I11" s="30">
        <v>170</v>
      </c>
      <c r="J11" s="30" t="str">
        <f>CHAR(I11)</f>
        <v>ª</v>
      </c>
      <c r="L11">
        <f>IF(ISBLANK(D11),IF(E11&gt;0,F11-E11+1,0),0)</f>
        <v>0</v>
      </c>
      <c r="M11" s="54">
        <f>IF(ISBLANK(D11),0,IF(G11=0,F11-E11+1,0))</f>
        <v>0</v>
      </c>
      <c r="Q11" s="51" t="str">
        <f>C11&amp;IF(ISBLANK(D11),"","=")&amp;D11</f>
        <v>CutterMotorPin=55</v>
      </c>
    </row>
    <row r="12" spans="1:25" x14ac:dyDescent="0.25">
      <c r="A12">
        <v>11</v>
      </c>
      <c r="B12" s="4" t="s">
        <v>196</v>
      </c>
      <c r="C12" s="45" t="s">
        <v>336</v>
      </c>
      <c r="D12" s="45">
        <v>0</v>
      </c>
      <c r="E12" s="29">
        <v>540</v>
      </c>
      <c r="F12" s="29">
        <v>543</v>
      </c>
      <c r="G12" s="29">
        <v>24</v>
      </c>
      <c r="H12" s="59" t="str">
        <f>DEC2HEX(I12)</f>
        <v>50</v>
      </c>
      <c r="I12" s="30">
        <v>80</v>
      </c>
      <c r="J12" s="30" t="str">
        <f>CHAR(I12)</f>
        <v>P</v>
      </c>
      <c r="L12">
        <f>IF(ISBLANK(D12),IF(E12&gt;0,F12-E12+1,0),0)</f>
        <v>0</v>
      </c>
      <c r="M12" s="54">
        <f>IF(ISBLANK(D12),0,IF(G12=0,F12-E12+1,0))</f>
        <v>0</v>
      </c>
      <c r="Q12" s="51" t="str">
        <f>C12&amp;IF(ISBLANK(D12),"","=")&amp;D12</f>
        <v>KeepSteppersEnabled=0</v>
      </c>
    </row>
    <row r="13" spans="1:25" x14ac:dyDescent="0.25">
      <c r="A13">
        <v>12</v>
      </c>
      <c r="B13" s="33"/>
      <c r="C13" s="58" t="s">
        <v>298</v>
      </c>
      <c r="E13" s="4"/>
      <c r="F13" s="4"/>
      <c r="G13" s="4"/>
      <c r="Q13" s="51" t="str">
        <f>C13&amp;IF(ISBLANK(D13),"","=")&amp;D13</f>
        <v>; Spindle</v>
      </c>
    </row>
    <row r="14" spans="1:25" x14ac:dyDescent="0.25">
      <c r="A14">
        <v>13</v>
      </c>
      <c r="B14" t="s">
        <v>8</v>
      </c>
      <c r="C14" s="45" t="s">
        <v>337</v>
      </c>
      <c r="D14" s="45">
        <v>32</v>
      </c>
      <c r="E14" s="29">
        <v>200</v>
      </c>
      <c r="F14" s="29">
        <v>203</v>
      </c>
      <c r="G14" s="29"/>
      <c r="H14" s="59" t="str">
        <f>DEC2HEX(I14)</f>
        <v>70</v>
      </c>
      <c r="I14" s="30">
        <v>112</v>
      </c>
      <c r="J14" s="30" t="str">
        <f>CHAR(I14)</f>
        <v>p</v>
      </c>
      <c r="L14">
        <f>IF(ISBLANK(D14),IF(E14&gt;0,F14-E14+1,0),0)</f>
        <v>0</v>
      </c>
      <c r="M14" s="54">
        <f>IF(ISBLANK(D14),0,IF(G14=0,F14-E14+1,0))</f>
        <v>4</v>
      </c>
      <c r="Q14" s="51" t="str">
        <f>C14&amp;IF(ISBLANK(D14),"","=")&amp;D14</f>
        <v>Microsteps_Spindle=32</v>
      </c>
    </row>
    <row r="15" spans="1:25" x14ac:dyDescent="0.25">
      <c r="A15">
        <v>14</v>
      </c>
      <c r="B15" t="s">
        <v>8</v>
      </c>
      <c r="C15" s="45" t="s">
        <v>338</v>
      </c>
      <c r="D15" s="45">
        <v>200</v>
      </c>
      <c r="E15" s="29">
        <v>80</v>
      </c>
      <c r="F15" s="29">
        <v>83</v>
      </c>
      <c r="G15" s="29"/>
      <c r="H15" s="59" t="str">
        <f>DEC2HEX(I15)</f>
        <v>72</v>
      </c>
      <c r="I15" s="30">
        <v>114</v>
      </c>
      <c r="J15" s="30" t="str">
        <f>CHAR(I15)</f>
        <v>r</v>
      </c>
      <c r="L15">
        <f>IF(ISBLANK(D15),IF(E15&gt;0,F15-E15+1,0),0)</f>
        <v>0</v>
      </c>
      <c r="M15" s="54">
        <f>IF(ISBLANK(D15),0,IF(G15=0,F15-E15+1,0))</f>
        <v>4</v>
      </c>
      <c r="Q15" s="51" t="str">
        <f>C15&amp;IF(ISBLANK(D15),"","=")&amp;D15</f>
        <v>StepsPer360_Spindle=200</v>
      </c>
    </row>
    <row r="16" spans="1:25" x14ac:dyDescent="0.25">
      <c r="A16">
        <v>15</v>
      </c>
      <c r="B16" t="s">
        <v>8</v>
      </c>
      <c r="C16" s="46" t="s">
        <v>339</v>
      </c>
      <c r="D16" s="45">
        <v>40</v>
      </c>
      <c r="E16" s="61">
        <v>268</v>
      </c>
      <c r="F16" s="61">
        <v>275</v>
      </c>
      <c r="G16" s="29"/>
      <c r="H16" s="59" t="str">
        <f>DEC2HEX(I16)</f>
        <v>73</v>
      </c>
      <c r="I16" s="30">
        <v>115</v>
      </c>
      <c r="J16" s="30" t="str">
        <f>CHAR(I16)</f>
        <v>s</v>
      </c>
      <c r="L16">
        <f>IF(ISBLANK(D16),IF(E16&gt;0,F16-E16+1,0),0)</f>
        <v>0</v>
      </c>
      <c r="M16" s="54">
        <f>IF(ISBLANK(D16),0,IF(G16=0,F16-E16+1,0))</f>
        <v>8</v>
      </c>
      <c r="Q16" s="51" t="str">
        <f>C16&amp;IF(ISBLANK(D16),"","=")&amp;D16</f>
        <v>GearRatio_Spindle=40</v>
      </c>
    </row>
    <row r="17" spans="1:20" x14ac:dyDescent="0.25">
      <c r="A17">
        <v>16</v>
      </c>
      <c r="B17" t="s">
        <v>8</v>
      </c>
      <c r="C17" s="46" t="s">
        <v>570</v>
      </c>
      <c r="E17" s="4"/>
      <c r="F17" s="4"/>
      <c r="G17" s="4"/>
      <c r="Q17" s="51" t="str">
        <f>C17&amp;IF(ISBLANK(D17),"","=")&amp;D17</f>
        <v>;Polarity: Low=1, High=0</v>
      </c>
    </row>
    <row r="18" spans="1:20" x14ac:dyDescent="0.25">
      <c r="A18">
        <v>17</v>
      </c>
      <c r="B18" t="s">
        <v>8</v>
      </c>
      <c r="C18" s="45" t="s">
        <v>340</v>
      </c>
      <c r="D18" s="45">
        <v>1</v>
      </c>
      <c r="E18" s="29">
        <v>460</v>
      </c>
      <c r="F18" s="29">
        <v>463</v>
      </c>
      <c r="G18" s="29">
        <v>16</v>
      </c>
      <c r="H18" s="59" t="str">
        <f>DEC2HEX(I18)</f>
        <v>D8</v>
      </c>
      <c r="I18" s="30">
        <v>216</v>
      </c>
      <c r="J18" s="30" t="str">
        <f>CHAR(I18)</f>
        <v>Ø</v>
      </c>
      <c r="K18" s="46"/>
      <c r="L18">
        <f>IF(ISBLANK(D18),IF(E18&gt;0,F18-E18+1,0),0)</f>
        <v>0</v>
      </c>
      <c r="M18" s="54">
        <f>IF(ISBLANK(D18),0,IF(G18=0,F18-E18+1,0))</f>
        <v>0</v>
      </c>
      <c r="Q18" s="51" t="str">
        <f>C18&amp;IF(ISBLANK(D18),"","=")&amp;D18</f>
        <v>Polarity_Spindle=1</v>
      </c>
    </row>
    <row r="19" spans="1:20" x14ac:dyDescent="0.25">
      <c r="A19">
        <v>18</v>
      </c>
      <c r="B19" s="33"/>
      <c r="C19" s="58" t="s">
        <v>299</v>
      </c>
      <c r="E19" s="4"/>
      <c r="F19" s="4"/>
      <c r="G19" s="4"/>
      <c r="Q19" s="51" t="str">
        <f>C19&amp;IF(ISBLANK(D19),"","=")&amp;D19</f>
        <v>;Z Axis</v>
      </c>
    </row>
    <row r="20" spans="1:20" x14ac:dyDescent="0.25">
      <c r="A20">
        <v>19</v>
      </c>
      <c r="B20" t="s">
        <v>41</v>
      </c>
      <c r="C20" s="45" t="s">
        <v>341</v>
      </c>
      <c r="D20" s="45">
        <v>32</v>
      </c>
      <c r="E20" s="30">
        <v>196</v>
      </c>
      <c r="F20" s="30">
        <v>199</v>
      </c>
      <c r="G20" s="29"/>
      <c r="H20" s="59" t="str">
        <f>DEC2HEX(I20)</f>
        <v>79</v>
      </c>
      <c r="I20" s="30">
        <v>121</v>
      </c>
      <c r="J20" s="30" t="str">
        <f>CHAR(I20)</f>
        <v>y</v>
      </c>
      <c r="L20">
        <f>IF(ISBLANK(D20),IF(E20&gt;0,F20-E20+1,0),0)</f>
        <v>0</v>
      </c>
      <c r="M20" s="54">
        <f>IF(ISBLANK(D20),0,IF(G20=0,F20-E20+1,0))</f>
        <v>4</v>
      </c>
      <c r="Q20" s="51" t="str">
        <f>C20&amp;IF(ISBLANK(D20),"","=")&amp;D20</f>
        <v>Microsteps_Z=32</v>
      </c>
    </row>
    <row r="21" spans="1:20" x14ac:dyDescent="0.25">
      <c r="A21">
        <v>20</v>
      </c>
      <c r="B21" t="s">
        <v>41</v>
      </c>
      <c r="C21" s="45" t="s">
        <v>342</v>
      </c>
      <c r="D21" s="45">
        <v>200</v>
      </c>
      <c r="E21" s="29">
        <v>468</v>
      </c>
      <c r="F21" s="29">
        <v>471</v>
      </c>
      <c r="G21" s="29"/>
      <c r="H21" s="59" t="str">
        <f>DEC2HEX(I21)</f>
        <v>7A</v>
      </c>
      <c r="I21" s="30">
        <v>122</v>
      </c>
      <c r="J21" s="30" t="str">
        <f>CHAR(I21)</f>
        <v>z</v>
      </c>
      <c r="L21">
        <f>IF(ISBLANK(D21),IF(E21&gt;0,F21-E21+1,0),0)</f>
        <v>0</v>
      </c>
      <c r="M21" s="54">
        <f>IF(ISBLANK(D21),0,IF(G21=0,F21-E21+1,0))</f>
        <v>4</v>
      </c>
      <c r="Q21" s="51" t="str">
        <f>C21&amp;IF(ISBLANK(D21),"","=")&amp;D21</f>
        <v>StepsPer360_Z=200</v>
      </c>
    </row>
    <row r="22" spans="1:20" x14ac:dyDescent="0.25">
      <c r="A22">
        <v>21</v>
      </c>
      <c r="B22" t="s">
        <v>41</v>
      </c>
      <c r="C22" s="45" t="s">
        <v>343</v>
      </c>
      <c r="D22" s="45">
        <v>1.5771E-2</v>
      </c>
      <c r="E22" s="29">
        <v>512</v>
      </c>
      <c r="F22" s="29">
        <v>519</v>
      </c>
      <c r="G22" s="29"/>
      <c r="H22" s="59" t="str">
        <f>DEC2HEX(I22)</f>
        <v>7B</v>
      </c>
      <c r="I22" s="30">
        <v>123</v>
      </c>
      <c r="J22" s="30" t="str">
        <f>CHAR(I22)</f>
        <v>{</v>
      </c>
      <c r="L22">
        <f>IF(ISBLANK(D22),IF(E22&gt;0,F22-E22+1,0),0)</f>
        <v>0</v>
      </c>
      <c r="M22" s="54">
        <f>IF(ISBLANK(D22),0,IF(G22=0,F22-E22+1,0))</f>
        <v>8</v>
      </c>
      <c r="Q22" s="51" t="str">
        <f>C22&amp;IF(ISBLANK(D22),"","=")&amp;D22</f>
        <v>DistancePer360_Z=0.015771</v>
      </c>
      <c r="R22" s="23"/>
    </row>
    <row r="23" spans="1:20" x14ac:dyDescent="0.25">
      <c r="A23">
        <v>22</v>
      </c>
      <c r="B23" t="s">
        <v>41</v>
      </c>
      <c r="C23" s="45" t="s">
        <v>344</v>
      </c>
      <c r="D23" s="45">
        <v>1</v>
      </c>
      <c r="E23" s="29">
        <v>460</v>
      </c>
      <c r="F23" s="29">
        <v>463</v>
      </c>
      <c r="G23" s="29">
        <v>0</v>
      </c>
      <c r="H23" s="59" t="str">
        <f>DEC2HEX(I23)</f>
        <v>D9</v>
      </c>
      <c r="I23" s="30">
        <v>217</v>
      </c>
      <c r="J23" s="30" t="str">
        <f>CHAR(I23)</f>
        <v>Ù</v>
      </c>
      <c r="K23" s="46"/>
      <c r="L23">
        <f>IF(ISBLANK(D23),IF(E23&gt;0,F23-E23+1,0),0)</f>
        <v>0</v>
      </c>
      <c r="M23" s="54">
        <f>IF(ISBLANK(D23),0,IF(G23=0,F23-E23+1,0))</f>
        <v>4</v>
      </c>
      <c r="Q23" s="51" t="str">
        <f>C23&amp;IF(ISBLANK(D23),"","=")&amp;D23</f>
        <v>Polarity_Z=1</v>
      </c>
    </row>
    <row r="24" spans="1:20" x14ac:dyDescent="0.25">
      <c r="A24">
        <v>23</v>
      </c>
      <c r="B24" t="s">
        <v>41</v>
      </c>
      <c r="C24" s="46" t="s">
        <v>568</v>
      </c>
      <c r="D24" s="45">
        <v>0</v>
      </c>
      <c r="E24" s="29">
        <v>252</v>
      </c>
      <c r="F24" s="29">
        <v>255</v>
      </c>
      <c r="G24" s="112">
        <v>0</v>
      </c>
      <c r="H24" s="59"/>
      <c r="I24" s="30"/>
      <c r="J24" s="30"/>
      <c r="K24" s="46"/>
      <c r="L24">
        <f>IF(ISBLANK(D24),IF(E24&gt;0,F24-E24+1,0),0)</f>
        <v>0</v>
      </c>
      <c r="M24" s="54">
        <f>IF(ISBLANK(D24),0,IF(G24=0,F24-E24+1,0))</f>
        <v>4</v>
      </c>
      <c r="Q24" s="51" t="str">
        <f>C24&amp;IF(ISBLANK(D24),"","=")&amp;D24</f>
        <v>Leadscrew_Hand=0</v>
      </c>
    </row>
    <row r="25" spans="1:20" x14ac:dyDescent="0.25">
      <c r="A25">
        <v>24</v>
      </c>
      <c r="B25" s="33"/>
      <c r="C25" s="58" t="s">
        <v>300</v>
      </c>
      <c r="E25" s="4"/>
      <c r="F25" s="4"/>
      <c r="G25" s="4"/>
      <c r="K25" s="50"/>
      <c r="Q25" s="51" t="str">
        <f>C25&amp;IF(ISBLANK(D25),"","=")&amp;D25</f>
        <v>;X Axis</v>
      </c>
    </row>
    <row r="26" spans="1:20" x14ac:dyDescent="0.25">
      <c r="A26">
        <v>25</v>
      </c>
      <c r="B26" t="s">
        <v>235</v>
      </c>
      <c r="C26" s="45" t="s">
        <v>345</v>
      </c>
      <c r="D26" s="45">
        <v>0</v>
      </c>
      <c r="E26" s="29">
        <v>188</v>
      </c>
      <c r="F26" s="29">
        <v>191</v>
      </c>
      <c r="G26" s="29"/>
      <c r="H26" s="59" t="str">
        <f>DEC2HEX(I26)</f>
        <v>F3</v>
      </c>
      <c r="I26" s="30">
        <v>243</v>
      </c>
      <c r="J26" s="30" t="str">
        <f>CHAR(I26)</f>
        <v>ó</v>
      </c>
      <c r="K26" s="46"/>
      <c r="L26">
        <f>IF(ISBLANK(D26),IF(E26&gt;0,F26-E26+1,0),0)</f>
        <v>0</v>
      </c>
      <c r="M26" s="54">
        <f>IF(ISBLANK(D26),0,IF(G26=0,F26-E26+1,0))</f>
        <v>4</v>
      </c>
      <c r="Q26" s="51" t="str">
        <f>C26&amp;IF(ISBLANK(D26),"","=")&amp;D26</f>
        <v>XorAltXSelected=0</v>
      </c>
    </row>
    <row r="27" spans="1:20" x14ac:dyDescent="0.25">
      <c r="A27">
        <v>26</v>
      </c>
      <c r="B27" t="s">
        <v>235</v>
      </c>
      <c r="C27" s="45" t="s">
        <v>346</v>
      </c>
      <c r="D27" s="45">
        <v>32</v>
      </c>
      <c r="E27" s="29">
        <v>564</v>
      </c>
      <c r="F27" s="29">
        <v>567</v>
      </c>
      <c r="G27" s="29"/>
      <c r="H27" s="59" t="str">
        <f>DEC2HEX(I27)</f>
        <v>BB</v>
      </c>
      <c r="I27" s="30">
        <v>187</v>
      </c>
      <c r="J27" s="30" t="str">
        <f>CHAR(I27)</f>
        <v>»</v>
      </c>
      <c r="K27" s="23"/>
      <c r="L27">
        <f>IF(ISBLANK(D27),IF(E27&gt;0,F27-E27+1,0),0)</f>
        <v>0</v>
      </c>
      <c r="M27" s="54">
        <f>IF(ISBLANK(D27),0,IF(G27=0,F27-E27+1,0))</f>
        <v>4</v>
      </c>
      <c r="Q27" s="51" t="str">
        <f>C27&amp;IF(ISBLANK(D27),"","=")&amp;D27</f>
        <v>Microsteps_X=32</v>
      </c>
    </row>
    <row r="28" spans="1:20" x14ac:dyDescent="0.25">
      <c r="A28">
        <v>27</v>
      </c>
      <c r="B28" t="s">
        <v>235</v>
      </c>
      <c r="C28" s="46" t="s">
        <v>347</v>
      </c>
      <c r="D28" s="45">
        <v>200</v>
      </c>
      <c r="E28" s="29">
        <v>484</v>
      </c>
      <c r="F28" s="29">
        <v>487</v>
      </c>
      <c r="G28" s="29"/>
      <c r="H28" s="59" t="str">
        <f>DEC2HEX(I28)</f>
        <v>BC</v>
      </c>
      <c r="I28" s="30">
        <v>188</v>
      </c>
      <c r="J28" s="30" t="str">
        <f>CHAR(I28)</f>
        <v>¼</v>
      </c>
      <c r="L28">
        <f>IF(ISBLANK(D28),IF(E28&gt;0,F28-E28+1,0),0)</f>
        <v>0</v>
      </c>
      <c r="M28" s="54">
        <f>IF(ISBLANK(D28),0,IF(G28=0,F28-E28+1,0))</f>
        <v>4</v>
      </c>
      <c r="Q28" s="51" t="str">
        <f>C28&amp;IF(ISBLANK(D28),"","=")&amp;D28</f>
        <v>StepsPer360_X=200</v>
      </c>
      <c r="R28" s="64"/>
      <c r="S28" s="5"/>
      <c r="T28" s="5"/>
    </row>
    <row r="29" spans="1:20" x14ac:dyDescent="0.25">
      <c r="A29">
        <v>28</v>
      </c>
      <c r="B29" t="s">
        <v>235</v>
      </c>
      <c r="C29" s="45" t="s">
        <v>348</v>
      </c>
      <c r="D29" s="45">
        <v>1.3100000000000001E-2</v>
      </c>
      <c r="E29" s="29">
        <v>488</v>
      </c>
      <c r="F29" s="29">
        <v>495</v>
      </c>
      <c r="G29" s="29"/>
      <c r="H29" s="59" t="str">
        <f>DEC2HEX(I29)</f>
        <v>BD</v>
      </c>
      <c r="I29" s="30">
        <v>189</v>
      </c>
      <c r="J29" s="30" t="str">
        <f>CHAR(I29)</f>
        <v>½</v>
      </c>
      <c r="L29">
        <f>IF(ISBLANK(D29),IF(E29&gt;0,F29-E29+1,0),0)</f>
        <v>0</v>
      </c>
      <c r="M29" s="54">
        <f>IF(ISBLANK(D29),0,IF(G29=0,F29-E29+1,0))</f>
        <v>8</v>
      </c>
      <c r="Q29" s="51" t="str">
        <f>C29&amp;IF(ISBLANK(D29),"","=")&amp;D29</f>
        <v>DistancePer360_X=0.0131</v>
      </c>
    </row>
    <row r="30" spans="1:20" x14ac:dyDescent="0.25">
      <c r="A30">
        <v>29</v>
      </c>
      <c r="B30" t="s">
        <v>235</v>
      </c>
      <c r="C30" s="45" t="s">
        <v>349</v>
      </c>
      <c r="D30" s="45">
        <v>1</v>
      </c>
      <c r="E30" s="29">
        <v>176</v>
      </c>
      <c r="F30" s="29">
        <v>179</v>
      </c>
      <c r="G30" s="29">
        <v>16</v>
      </c>
      <c r="H30" s="59" t="str">
        <f>DEC2HEX(I30)</f>
        <v>DA</v>
      </c>
      <c r="I30" s="30">
        <v>218</v>
      </c>
      <c r="J30" s="30" t="str">
        <f>CHAR(I30)</f>
        <v>Ú</v>
      </c>
      <c r="K30" s="46"/>
      <c r="L30">
        <f>IF(ISBLANK(D30),IF(E30&gt;0,F30-E30+1,0),0)</f>
        <v>0</v>
      </c>
      <c r="M30" s="54">
        <f>IF(ISBLANK(D30),0,IF(G30=0,F30-E30+1,0))</f>
        <v>0</v>
      </c>
      <c r="Q30" s="51" t="str">
        <f>C30&amp;IF(ISBLANK(D30),"","=")&amp;D30</f>
        <v>Polarity_X=1</v>
      </c>
    </row>
    <row r="31" spans="1:20" x14ac:dyDescent="0.25">
      <c r="A31">
        <v>30</v>
      </c>
      <c r="B31" t="s">
        <v>235</v>
      </c>
      <c r="C31" s="46" t="s">
        <v>568</v>
      </c>
      <c r="D31" s="45">
        <v>0</v>
      </c>
      <c r="E31" s="29">
        <v>252</v>
      </c>
      <c r="F31" s="29">
        <v>255</v>
      </c>
      <c r="G31" s="112">
        <v>8</v>
      </c>
      <c r="H31" s="59"/>
      <c r="I31" s="30"/>
      <c r="J31" s="30"/>
      <c r="K31" s="46"/>
      <c r="L31">
        <f>IF(ISBLANK(D31),IF(E31&gt;0,F31-E31+1,0),0)</f>
        <v>0</v>
      </c>
      <c r="M31" s="54">
        <f>IF(ISBLANK(D31),0,IF(G31=0,F31-E31+1,0))</f>
        <v>0</v>
      </c>
      <c r="Q31" s="51" t="str">
        <f>C31&amp;IF(ISBLANK(D31),"","=")&amp;D31</f>
        <v>Leadscrew_Hand=0</v>
      </c>
    </row>
    <row r="32" spans="1:20" x14ac:dyDescent="0.25">
      <c r="A32">
        <v>31</v>
      </c>
      <c r="B32" s="33"/>
      <c r="C32" s="58" t="s">
        <v>301</v>
      </c>
      <c r="D32" s="46"/>
      <c r="E32" s="4"/>
      <c r="F32" s="4"/>
      <c r="G32" s="4"/>
      <c r="K32" s="46"/>
      <c r="L32" s="4"/>
      <c r="M32" s="87"/>
      <c r="Q32" s="51" t="str">
        <f>C32&amp;IF(ISBLANK(D32),"","=")&amp;D32</f>
        <v>;Alternate X Axis</v>
      </c>
    </row>
    <row r="33" spans="1:18" x14ac:dyDescent="0.25">
      <c r="A33">
        <v>32</v>
      </c>
      <c r="B33" t="s">
        <v>463</v>
      </c>
      <c r="C33" s="45" t="s">
        <v>350</v>
      </c>
      <c r="D33" s="45">
        <v>32</v>
      </c>
      <c r="E33" s="29">
        <v>568</v>
      </c>
      <c r="F33" s="29">
        <v>571</v>
      </c>
      <c r="G33" s="29"/>
      <c r="H33" s="59" t="str">
        <f>DEC2HEX(I33)</f>
        <v>EF</v>
      </c>
      <c r="I33" s="30">
        <v>239</v>
      </c>
      <c r="J33" s="30" t="str">
        <f>CHAR(I33)</f>
        <v>ï</v>
      </c>
      <c r="L33">
        <f>IF(ISBLANK(D33),IF(E33&gt;0,F33-E33+1,0),0)</f>
        <v>0</v>
      </c>
      <c r="M33" s="54">
        <f>IF(ISBLANK(D33),0,IF(G33=0,F33-E33+1,0))</f>
        <v>4</v>
      </c>
      <c r="Q33" s="51" t="str">
        <f>C33&amp;IF(ISBLANK(D33),"","=")&amp;D33</f>
        <v>Microsteps_AltX=32</v>
      </c>
    </row>
    <row r="34" spans="1:18" x14ac:dyDescent="0.25">
      <c r="A34">
        <v>33</v>
      </c>
      <c r="B34" t="s">
        <v>463</v>
      </c>
      <c r="C34" s="46" t="s">
        <v>351</v>
      </c>
      <c r="D34" s="45">
        <v>200</v>
      </c>
      <c r="E34" s="29">
        <v>204</v>
      </c>
      <c r="F34" s="29">
        <v>207</v>
      </c>
      <c r="G34" s="29"/>
      <c r="H34" s="59" t="str">
        <f>DEC2HEX(I34)</f>
        <v>F0</v>
      </c>
      <c r="I34" s="30">
        <v>240</v>
      </c>
      <c r="J34" s="30" t="str">
        <f>CHAR(I34)</f>
        <v>ð</v>
      </c>
      <c r="L34">
        <f>IF(ISBLANK(D34),IF(E34&gt;0,F34-E34+1,0),0)</f>
        <v>0</v>
      </c>
      <c r="M34" s="54">
        <f>IF(ISBLANK(D34),0,IF(G34=0,F34-E34+1,0))</f>
        <v>4</v>
      </c>
      <c r="Q34" s="51" t="str">
        <f>C34&amp;IF(ISBLANK(D34),"","=")&amp;D34</f>
        <v>StepsPer360_AltX=200</v>
      </c>
    </row>
    <row r="35" spans="1:18" x14ac:dyDescent="0.25">
      <c r="A35">
        <v>34</v>
      </c>
      <c r="B35" t="s">
        <v>463</v>
      </c>
      <c r="C35" s="45" t="s">
        <v>352</v>
      </c>
      <c r="D35" s="45">
        <v>0.4</v>
      </c>
      <c r="E35" s="29">
        <v>216</v>
      </c>
      <c r="F35" s="29">
        <v>223</v>
      </c>
      <c r="G35" s="29"/>
      <c r="H35" s="59" t="str">
        <f>DEC2HEX(I35)</f>
        <v>4F</v>
      </c>
      <c r="I35" s="30">
        <v>79</v>
      </c>
      <c r="J35" s="30" t="str">
        <f>CHAR(I35)</f>
        <v>O</v>
      </c>
      <c r="L35">
        <f>IF(ISBLANK(D35),IF(E35&gt;0,F35-E35+1,0),0)</f>
        <v>0</v>
      </c>
      <c r="M35" s="54">
        <f>IF(ISBLANK(D35),0,IF(G35=0,F35-E35+1,0))</f>
        <v>8</v>
      </c>
      <c r="Q35" s="51" t="str">
        <f>C35&amp;IF(ISBLANK(D35),"","=")&amp;D35</f>
        <v>DistancePer360_AltX=0.4</v>
      </c>
    </row>
    <row r="36" spans="1:18" x14ac:dyDescent="0.25">
      <c r="A36">
        <v>35</v>
      </c>
      <c r="B36" t="s">
        <v>463</v>
      </c>
      <c r="C36" s="45" t="s">
        <v>353</v>
      </c>
      <c r="D36" s="45">
        <v>1</v>
      </c>
      <c r="E36" s="29">
        <v>176</v>
      </c>
      <c r="F36" s="29">
        <v>179</v>
      </c>
      <c r="G36" s="29">
        <v>0</v>
      </c>
      <c r="H36" s="59" t="str">
        <f>DEC2HEX(I36)</f>
        <v>F2</v>
      </c>
      <c r="I36" s="30">
        <v>242</v>
      </c>
      <c r="J36" s="30" t="str">
        <f>CHAR(I36)</f>
        <v>ò</v>
      </c>
      <c r="K36" s="46"/>
      <c r="L36">
        <f>IF(ISBLANK(D36),IF(E36&gt;0,F36-E36+1,0),0)</f>
        <v>0</v>
      </c>
      <c r="M36" s="54">
        <f>IF(ISBLANK(D36),0,IF(G36=0,F36-E36+1,0))</f>
        <v>4</v>
      </c>
      <c r="Q36" s="51" t="str">
        <f>C36&amp;IF(ISBLANK(D36),"","=")&amp;D36</f>
        <v>Polarity_AltX=1</v>
      </c>
    </row>
    <row r="37" spans="1:18" x14ac:dyDescent="0.25">
      <c r="A37">
        <v>36</v>
      </c>
      <c r="B37" t="s">
        <v>463</v>
      </c>
      <c r="C37" s="46" t="s">
        <v>568</v>
      </c>
      <c r="D37" s="45">
        <v>0</v>
      </c>
      <c r="E37" s="49">
        <v>252</v>
      </c>
      <c r="F37" s="49">
        <v>255</v>
      </c>
      <c r="G37" s="23">
        <v>16</v>
      </c>
      <c r="H37" s="57"/>
      <c r="I37" s="5"/>
      <c r="J37" s="5"/>
      <c r="K37" s="46"/>
      <c r="L37">
        <f>IF(ISBLANK(D37),IF(E37&gt;0,F37-E37+1,0),0)</f>
        <v>0</v>
      </c>
      <c r="M37" s="54">
        <f>IF(ISBLANK(D37),0,IF(G37=0,F37-E37+1,0))</f>
        <v>0</v>
      </c>
      <c r="Q37" s="51" t="str">
        <f>C37&amp;IF(ISBLANK(D37),"","=")&amp;D37</f>
        <v>Leadscrew_Hand=0</v>
      </c>
    </row>
    <row r="38" spans="1:18" x14ac:dyDescent="0.25">
      <c r="A38">
        <v>37</v>
      </c>
      <c r="B38" s="33"/>
      <c r="C38" s="58" t="s">
        <v>302</v>
      </c>
      <c r="E38" s="4"/>
      <c r="F38" s="4"/>
      <c r="G38" s="4"/>
      <c r="Q38" s="51" t="str">
        <f>C38&amp;IF(ISBLANK(D38),"","=")&amp;D38</f>
        <v>;M3 Axis</v>
      </c>
    </row>
    <row r="39" spans="1:18" x14ac:dyDescent="0.25">
      <c r="A39">
        <v>38</v>
      </c>
      <c r="B39" t="s">
        <v>252</v>
      </c>
      <c r="C39" s="45" t="s">
        <v>354</v>
      </c>
      <c r="D39" s="45">
        <v>32</v>
      </c>
      <c r="E39" s="61">
        <v>92</v>
      </c>
      <c r="F39" s="61">
        <v>95</v>
      </c>
      <c r="G39" s="107"/>
      <c r="H39" s="106" t="str">
        <f>DEC2HEX(I39)</f>
        <v>76</v>
      </c>
      <c r="I39" s="30">
        <v>118</v>
      </c>
      <c r="J39" s="30" t="str">
        <f>CHAR(I39)</f>
        <v>v</v>
      </c>
      <c r="L39">
        <f>IF(ISBLANK(D39),IF(E39&gt;0,F39-E39+1,0),0)</f>
        <v>0</v>
      </c>
      <c r="M39" s="54">
        <f>IF(ISBLANK(D39),0,IF(G39=0,F39-E39+1,0))</f>
        <v>4</v>
      </c>
      <c r="Q39" s="51" t="str">
        <f>C39&amp;IF(ISBLANK(D39),"","=")&amp;D39</f>
        <v>Microsteps_M3=32</v>
      </c>
    </row>
    <row r="40" spans="1:18" x14ac:dyDescent="0.25">
      <c r="A40">
        <v>39</v>
      </c>
      <c r="B40" t="s">
        <v>252</v>
      </c>
      <c r="C40" s="45" t="s">
        <v>355</v>
      </c>
      <c r="D40" s="45">
        <v>200</v>
      </c>
      <c r="E40" s="29">
        <v>544</v>
      </c>
      <c r="F40" s="29">
        <v>547</v>
      </c>
      <c r="G40" s="29"/>
      <c r="H40" s="62" t="str">
        <f>DEC2HEX(I40)</f>
        <v>77</v>
      </c>
      <c r="I40" s="63">
        <v>119</v>
      </c>
      <c r="J40" s="63" t="str">
        <f>CHAR(I40)</f>
        <v>w</v>
      </c>
      <c r="L40">
        <f>IF(ISBLANK(D40),IF(E40&gt;0,F40-E40+1,0),0)</f>
        <v>0</v>
      </c>
      <c r="M40" s="54">
        <f>IF(ISBLANK(D40),0,IF(G40=0,F40-E40+1,0))</f>
        <v>4</v>
      </c>
      <c r="Q40" s="51" t="str">
        <f>C40&amp;IF(ISBLANK(D40),"","=")&amp;D40</f>
        <v>StepsPer360_M3=200</v>
      </c>
      <c r="R40" s="23"/>
    </row>
    <row r="41" spans="1:18" x14ac:dyDescent="0.25">
      <c r="A41">
        <v>40</v>
      </c>
      <c r="B41" t="s">
        <v>252</v>
      </c>
      <c r="C41" s="45" t="s">
        <v>356</v>
      </c>
      <c r="D41" s="45">
        <v>30</v>
      </c>
      <c r="E41" s="29">
        <v>548</v>
      </c>
      <c r="F41" s="29">
        <v>555</v>
      </c>
      <c r="G41" s="29"/>
      <c r="H41" s="62" t="str">
        <f>DEC2HEX(I41)</f>
        <v>78</v>
      </c>
      <c r="I41" s="63">
        <v>120</v>
      </c>
      <c r="J41" s="63" t="str">
        <f>CHAR(I41)</f>
        <v>x</v>
      </c>
      <c r="L41">
        <f>IF(ISBLANK(D41),IF(E41&gt;0,F41-E41+1,0),0)</f>
        <v>0</v>
      </c>
      <c r="M41" s="54">
        <f>IF(ISBLANK(D41),0,IF(G41=0,F41-E41+1,0))</f>
        <v>8</v>
      </c>
      <c r="Q41" s="51" t="str">
        <f>C41&amp;IF(ISBLANK(D41),"","=")&amp;D41</f>
        <v>GearRatio_M3=30</v>
      </c>
      <c r="R41" s="23"/>
    </row>
    <row r="42" spans="1:18" x14ac:dyDescent="0.25">
      <c r="A42">
        <v>41</v>
      </c>
      <c r="B42" t="s">
        <v>252</v>
      </c>
      <c r="C42" s="45" t="s">
        <v>357</v>
      </c>
      <c r="D42" s="45">
        <v>1</v>
      </c>
      <c r="E42" s="29">
        <v>540</v>
      </c>
      <c r="F42" s="29">
        <v>543</v>
      </c>
      <c r="G42" s="29">
        <v>0</v>
      </c>
      <c r="H42" s="62" t="str">
        <f>DEC2HEX(I42)</f>
        <v>DB</v>
      </c>
      <c r="I42" s="63">
        <v>219</v>
      </c>
      <c r="J42" s="63" t="str">
        <f>CHAR(I42)</f>
        <v>Û</v>
      </c>
      <c r="L42">
        <f>IF(ISBLANK(D42),IF(E42&gt;0,F42-E42+1,0),0)</f>
        <v>0</v>
      </c>
      <c r="M42" s="54">
        <f>IF(ISBLANK(D42),0,IF(G42=0,F42-E42+1,0))</f>
        <v>4</v>
      </c>
      <c r="Q42" s="51" t="str">
        <f>C42&amp;IF(ISBLANK(D42),"","=")&amp;D42</f>
        <v>Polarity_M3=1</v>
      </c>
      <c r="R42" s="23"/>
    </row>
    <row r="43" spans="1:18" x14ac:dyDescent="0.25">
      <c r="A43">
        <v>42</v>
      </c>
      <c r="B43" t="s">
        <v>252</v>
      </c>
      <c r="C43" s="45" t="s">
        <v>358</v>
      </c>
      <c r="D43" s="45">
        <v>1.0235399999999999</v>
      </c>
      <c r="E43" s="29">
        <v>408</v>
      </c>
      <c r="F43" s="29">
        <v>415</v>
      </c>
      <c r="G43" s="29"/>
      <c r="H43" s="62" t="str">
        <f>DEC2HEX(I43)</f>
        <v>74</v>
      </c>
      <c r="I43" s="63">
        <v>116</v>
      </c>
      <c r="J43" s="63" t="str">
        <f>CHAR(I43)</f>
        <v>t</v>
      </c>
      <c r="L43">
        <f>IF(ISBLANK(D43),IF(E43&gt;0,F43-E43+1,0),0)</f>
        <v>0</v>
      </c>
      <c r="M43" s="54">
        <f>IF(ISBLANK(D43),0,IF(G43=0,F43-E43+1,0))</f>
        <v>8</v>
      </c>
      <c r="Q43" s="51" t="str">
        <f>C43&amp;IF(ISBLANK(D43),"","=")&amp;D43</f>
        <v>DistancePer360_M3=1.02354</v>
      </c>
    </row>
    <row r="44" spans="1:18" x14ac:dyDescent="0.25">
      <c r="A44">
        <v>43</v>
      </c>
      <c r="B44" t="s">
        <v>252</v>
      </c>
      <c r="C44" s="45" t="s">
        <v>487</v>
      </c>
      <c r="D44" s="45">
        <v>0</v>
      </c>
      <c r="E44" s="29">
        <v>540</v>
      </c>
      <c r="F44" s="29">
        <v>543</v>
      </c>
      <c r="G44" s="29">
        <v>16</v>
      </c>
      <c r="H44" s="62" t="str">
        <f>DEC2HEX(I44)</f>
        <v>C3</v>
      </c>
      <c r="I44" s="63">
        <v>195</v>
      </c>
      <c r="J44" s="63" t="str">
        <f>CHAR(I44)</f>
        <v>Ã</v>
      </c>
      <c r="L44">
        <f>IF(ISBLANK(D44),IF(E44&gt;0,F44-E44+1,0),0)</f>
        <v>0</v>
      </c>
      <c r="M44" s="54">
        <f>IF(ISBLANK(D44),0,IF(G44=0,F44-E44+1,0))</f>
        <v>0</v>
      </c>
      <c r="Q44" s="51" t="str">
        <f>C44&amp;IF(ISBLANK(D44),"","=")&amp;D44</f>
        <v>RadialOrLineal_M3=0</v>
      </c>
      <c r="R44" s="23"/>
    </row>
    <row r="45" spans="1:18" x14ac:dyDescent="0.25">
      <c r="A45">
        <v>44</v>
      </c>
      <c r="B45" t="s">
        <v>252</v>
      </c>
      <c r="C45" s="45" t="s">
        <v>359</v>
      </c>
      <c r="D45" s="45">
        <v>5.1239999999999997</v>
      </c>
      <c r="E45" s="29">
        <v>688</v>
      </c>
      <c r="F45" s="29">
        <v>695</v>
      </c>
      <c r="G45" s="29"/>
      <c r="H45" s="62" t="str">
        <f>DEC2HEX(I45)</f>
        <v>FE</v>
      </c>
      <c r="I45" s="63">
        <v>254</v>
      </c>
      <c r="J45" s="63" t="str">
        <f>CHAR(I45)</f>
        <v>þ</v>
      </c>
      <c r="L45">
        <f>IF(ISBLANK(D45),IF(E45&gt;0,F45-E45+1,0),0)</f>
        <v>0</v>
      </c>
      <c r="M45" s="54">
        <f>IF(ISBLANK(D45),0,IF(G45=0,F45-E45+1,0))</f>
        <v>8</v>
      </c>
      <c r="Q45" s="51" t="str">
        <f>C45&amp;IF(ISBLANK(D45),"","=")&amp;D45</f>
        <v>M3Radius=5.124</v>
      </c>
    </row>
    <row r="46" spans="1:18" x14ac:dyDescent="0.25">
      <c r="A46">
        <v>45</v>
      </c>
      <c r="B46" t="s">
        <v>252</v>
      </c>
      <c r="C46" s="46" t="s">
        <v>568</v>
      </c>
      <c r="D46" s="45">
        <v>0</v>
      </c>
      <c r="E46" s="29">
        <v>252</v>
      </c>
      <c r="F46" s="29">
        <v>255</v>
      </c>
      <c r="G46" s="112">
        <v>24</v>
      </c>
      <c r="H46" s="59"/>
      <c r="I46" s="30"/>
      <c r="J46" s="30"/>
      <c r="K46" s="46"/>
      <c r="L46">
        <f>IF(ISBLANK(D46),IF(E46&gt;0,F46-E46+1,0),0)</f>
        <v>0</v>
      </c>
      <c r="M46" s="54">
        <f>IF(ISBLANK(D46),0,IF(G46=0,F46-E46+1,0))</f>
        <v>0</v>
      </c>
      <c r="Q46" s="51" t="str">
        <f>C46&amp;IF(ISBLANK(D46),"","=")&amp;D46</f>
        <v>Leadscrew_Hand=0</v>
      </c>
    </row>
    <row r="47" spans="1:18" x14ac:dyDescent="0.25">
      <c r="A47">
        <v>46</v>
      </c>
      <c r="B47" s="33"/>
      <c r="C47" s="58" t="s">
        <v>303</v>
      </c>
      <c r="E47" s="4"/>
      <c r="F47" s="4"/>
      <c r="G47" s="4"/>
      <c r="Q47" s="51" t="str">
        <f>C47&amp;IF(ISBLANK(D47),"","=")&amp;D47</f>
        <v>;M4 Axis</v>
      </c>
    </row>
    <row r="48" spans="1:18" x14ac:dyDescent="0.25">
      <c r="A48">
        <v>47</v>
      </c>
      <c r="B48" t="s">
        <v>253</v>
      </c>
      <c r="C48" s="45" t="s">
        <v>360</v>
      </c>
      <c r="D48" s="45">
        <v>32</v>
      </c>
      <c r="E48" s="29">
        <v>96</v>
      </c>
      <c r="F48" s="29">
        <v>99</v>
      </c>
      <c r="G48" s="29"/>
      <c r="H48" s="59" t="str">
        <f>DEC2HEX(I48)</f>
        <v>71</v>
      </c>
      <c r="I48" s="30">
        <v>113</v>
      </c>
      <c r="J48" s="30" t="str">
        <f>CHAR(I48)</f>
        <v>q</v>
      </c>
      <c r="L48">
        <f>IF(ISBLANK(D48),IF(E48&gt;0,F48-E48+1,0),0)</f>
        <v>0</v>
      </c>
      <c r="M48" s="54">
        <f>IF(ISBLANK(D48),0,IF(G48=0,F48-E48+1,0))</f>
        <v>4</v>
      </c>
      <c r="Q48" s="51" t="str">
        <f>C48&amp;IF(ISBLANK(D48),"","=")&amp;D48</f>
        <v>Microsteps_M4=32</v>
      </c>
    </row>
    <row r="49" spans="1:25" x14ac:dyDescent="0.25">
      <c r="A49">
        <v>48</v>
      </c>
      <c r="B49" t="s">
        <v>253</v>
      </c>
      <c r="C49" s="45" t="s">
        <v>361</v>
      </c>
      <c r="D49" s="45">
        <v>200</v>
      </c>
      <c r="E49" s="29">
        <v>404</v>
      </c>
      <c r="F49" s="29">
        <v>407</v>
      </c>
      <c r="G49" s="29"/>
      <c r="H49" s="59" t="str">
        <f>DEC2HEX(I49)</f>
        <v>A7</v>
      </c>
      <c r="I49" s="30">
        <v>167</v>
      </c>
      <c r="J49" s="30" t="str">
        <f>CHAR(I49)</f>
        <v>§</v>
      </c>
      <c r="L49">
        <f>IF(ISBLANK(D49),IF(E49&gt;0,F49-E49+1,0),0)</f>
        <v>0</v>
      </c>
      <c r="M49" s="54">
        <f>IF(ISBLANK(D49),0,IF(G49=0,F49-E49+1,0))</f>
        <v>4</v>
      </c>
      <c r="Q49" s="51" t="str">
        <f>C49&amp;IF(ISBLANK(D49),"","=")&amp;D49</f>
        <v>StepsPer360_M4=200</v>
      </c>
    </row>
    <row r="50" spans="1:25" s="32" customFormat="1" x14ac:dyDescent="0.25">
      <c r="A50">
        <v>49</v>
      </c>
      <c r="B50" t="s">
        <v>253</v>
      </c>
      <c r="C50" s="45" t="s">
        <v>362</v>
      </c>
      <c r="D50" s="45">
        <v>30</v>
      </c>
      <c r="E50" s="29">
        <v>380</v>
      </c>
      <c r="F50" s="29">
        <v>387</v>
      </c>
      <c r="G50" s="29"/>
      <c r="H50" s="59" t="str">
        <f>DEC2HEX(I50)</f>
        <v>A9</v>
      </c>
      <c r="I50" s="30">
        <v>169</v>
      </c>
      <c r="J50" s="30" t="str">
        <f>CHAR(I50)</f>
        <v>©</v>
      </c>
      <c r="K50" s="45"/>
      <c r="L50">
        <f>IF(ISBLANK(D50),IF(E50&gt;0,F50-E50+1,0),0)</f>
        <v>0</v>
      </c>
      <c r="M50" s="54">
        <f>IF(ISBLANK(D50),0,IF(G50=0,F50-E50+1,0))</f>
        <v>8</v>
      </c>
      <c r="N50" s="75"/>
      <c r="O50" s="75"/>
      <c r="P50" s="75"/>
      <c r="Q50" s="51" t="str">
        <f>C50&amp;IF(ISBLANK(D50),"","=")&amp;D50</f>
        <v>GearRatio_M4=30</v>
      </c>
      <c r="R50" s="4"/>
      <c r="S50" s="4"/>
      <c r="T50" s="4"/>
      <c r="U50" s="4"/>
      <c r="V50" s="4"/>
      <c r="W50" s="4"/>
      <c r="X50" s="4"/>
      <c r="Y50" s="4"/>
    </row>
    <row r="51" spans="1:25" x14ac:dyDescent="0.25">
      <c r="A51">
        <v>50</v>
      </c>
      <c r="B51" t="s">
        <v>253</v>
      </c>
      <c r="C51" s="45" t="s">
        <v>363</v>
      </c>
      <c r="D51" s="45">
        <v>1</v>
      </c>
      <c r="E51" s="29">
        <v>460</v>
      </c>
      <c r="F51" s="29">
        <v>463</v>
      </c>
      <c r="G51" s="29">
        <v>24</v>
      </c>
      <c r="H51" s="59" t="str">
        <f>DEC2HEX(I51)</f>
        <v>75</v>
      </c>
      <c r="I51" s="30">
        <v>117</v>
      </c>
      <c r="J51" s="30" t="str">
        <f>CHAR(I51)</f>
        <v>u</v>
      </c>
      <c r="K51" s="46"/>
      <c r="L51">
        <f>IF(ISBLANK(D51),IF(E51&gt;0,F51-E51+1,0),0)</f>
        <v>0</v>
      </c>
      <c r="M51" s="54">
        <f>IF(ISBLANK(D51),0,IF(G51=0,F51-E51+1,0))</f>
        <v>0</v>
      </c>
      <c r="Q51" s="51" t="str">
        <f>C51&amp;IF(ISBLANK(D51),"","=")&amp;D51</f>
        <v>Polarity_M4=1</v>
      </c>
    </row>
    <row r="52" spans="1:25" x14ac:dyDescent="0.25">
      <c r="A52">
        <v>51</v>
      </c>
      <c r="B52" t="s">
        <v>253</v>
      </c>
      <c r="C52" s="45" t="s">
        <v>364</v>
      </c>
      <c r="D52" s="45">
        <v>2.5399999999999999E-2</v>
      </c>
      <c r="E52" s="29">
        <v>600</v>
      </c>
      <c r="F52" s="29">
        <v>607</v>
      </c>
      <c r="G52" s="29"/>
      <c r="H52" s="59" t="str">
        <f>DEC2HEX(I52)</f>
        <v>A8</v>
      </c>
      <c r="I52" s="30">
        <v>168</v>
      </c>
      <c r="J52" s="30" t="str">
        <f>CHAR(I52)</f>
        <v>¨</v>
      </c>
      <c r="L52">
        <f>IF(ISBLANK(D52),IF(E52&gt;0,F52-E52+1,0),0)</f>
        <v>0</v>
      </c>
      <c r="M52" s="54">
        <f>IF(ISBLANK(D52),0,IF(G52=0,F52-E52+1,0))</f>
        <v>8</v>
      </c>
      <c r="Q52" s="51" t="str">
        <f>C52&amp;IF(ISBLANK(D52),"","=")&amp;D52</f>
        <v>DistancePer360_M4=0.0254</v>
      </c>
    </row>
    <row r="53" spans="1:25" x14ac:dyDescent="0.25">
      <c r="A53">
        <v>52</v>
      </c>
      <c r="B53" t="s">
        <v>253</v>
      </c>
      <c r="C53" s="45" t="s">
        <v>486</v>
      </c>
      <c r="D53" s="45">
        <v>1</v>
      </c>
      <c r="E53" s="29">
        <v>460</v>
      </c>
      <c r="F53" s="29">
        <v>463</v>
      </c>
      <c r="G53" s="29">
        <v>8</v>
      </c>
      <c r="H53" s="59" t="str">
        <f>DEC2HEX(I53)</f>
        <v>A2</v>
      </c>
      <c r="I53" s="30">
        <v>162</v>
      </c>
      <c r="J53" s="30" t="str">
        <f>CHAR(I53)</f>
        <v>¢</v>
      </c>
      <c r="K53" s="46"/>
      <c r="L53">
        <f>IF(ISBLANK(D53),IF(E53&gt;0,F53-E53+1,0),0)</f>
        <v>0</v>
      </c>
      <c r="M53" s="54">
        <f>IF(ISBLANK(D53),0,IF(G53=0,F53-E53+1,0))</f>
        <v>0</v>
      </c>
      <c r="Q53" s="51" t="str">
        <f>C53&amp;IF(ISBLANK(D53),"","=")&amp;D53</f>
        <v>RadialOrLineal_M4=1</v>
      </c>
    </row>
    <row r="54" spans="1:25" x14ac:dyDescent="0.25">
      <c r="A54">
        <v>53</v>
      </c>
      <c r="B54" t="s">
        <v>253</v>
      </c>
      <c r="C54" s="45" t="s">
        <v>365</v>
      </c>
      <c r="D54" s="45">
        <v>11.257999999999999</v>
      </c>
      <c r="E54" s="29">
        <v>664</v>
      </c>
      <c r="F54" s="29">
        <v>671</v>
      </c>
      <c r="G54" s="29"/>
      <c r="H54" s="59" t="str">
        <f>DEC2HEX(I54)</f>
        <v>B0</v>
      </c>
      <c r="I54" s="30">
        <v>176</v>
      </c>
      <c r="J54" s="30" t="str">
        <f>CHAR(I54)</f>
        <v>°</v>
      </c>
      <c r="L54">
        <f>IF(ISBLANK(D54),IF(E54&gt;0,F54-E54+1,0),0)</f>
        <v>0</v>
      </c>
      <c r="M54" s="54">
        <f>IF(ISBLANK(D54),0,IF(G54=0,F54-E54+1,0))</f>
        <v>8</v>
      </c>
      <c r="Q54" s="51" t="str">
        <f>C54&amp;IF(ISBLANK(D54),"","=")&amp;D54</f>
        <v>M4Radius=11.258</v>
      </c>
    </row>
    <row r="55" spans="1:25" x14ac:dyDescent="0.25">
      <c r="A55">
        <v>54</v>
      </c>
      <c r="B55" t="s">
        <v>569</v>
      </c>
      <c r="C55" s="46" t="s">
        <v>568</v>
      </c>
      <c r="D55" s="45">
        <v>0</v>
      </c>
      <c r="E55" s="29">
        <v>264</v>
      </c>
      <c r="F55" s="29">
        <v>267</v>
      </c>
      <c r="G55" s="29"/>
      <c r="H55" s="59"/>
      <c r="I55" s="30"/>
      <c r="J55" s="30"/>
      <c r="K55" s="46"/>
      <c r="L55">
        <f>IF(ISBLANK(D31),IF(E55&gt;0,F55-E55+1,0),0)</f>
        <v>0</v>
      </c>
      <c r="M55" s="54">
        <f>IF(ISBLANK(D31),0,IF(G55=0,F55-E55+1,0))</f>
        <v>4</v>
      </c>
      <c r="Q55" s="51" t="str">
        <f>C55&amp;IF(ISBLANK(D55),"","=")&amp;D55</f>
        <v>Leadscrew_Hand=0</v>
      </c>
    </row>
    <row r="56" spans="1:25" x14ac:dyDescent="0.25">
      <c r="A56">
        <v>55</v>
      </c>
      <c r="C56" s="45" t="s">
        <v>242</v>
      </c>
      <c r="E56" s="4"/>
      <c r="F56" s="4"/>
      <c r="G56" s="4"/>
      <c r="Q56" s="51" t="str">
        <f>C56&amp;IF(ISBLANK(D56),"","=")&amp;D56</f>
        <v>;</v>
      </c>
    </row>
    <row r="57" spans="1:25" x14ac:dyDescent="0.25">
      <c r="A57">
        <v>56</v>
      </c>
      <c r="B57" s="32"/>
      <c r="C57" s="47" t="s">
        <v>304</v>
      </c>
      <c r="D57" s="47"/>
      <c r="E57" s="32"/>
      <c r="F57" s="32"/>
      <c r="G57" s="32"/>
      <c r="H57" s="44"/>
      <c r="I57" s="32"/>
      <c r="J57" s="32"/>
      <c r="K57" s="47"/>
      <c r="L57" s="32"/>
      <c r="M57" s="55"/>
      <c r="Q57" s="51" t="str">
        <f>C57&amp;IF(ISBLANK(D57),"","=")&amp;D57</f>
        <v>[Limits]</v>
      </c>
    </row>
    <row r="58" spans="1:25" x14ac:dyDescent="0.25">
      <c r="A58">
        <v>57</v>
      </c>
      <c r="C58" s="45" t="s">
        <v>242</v>
      </c>
      <c r="Q58" s="51" t="str">
        <f>C58&amp;IF(ISBLANK(D58),"","=")&amp;D58</f>
        <v>;</v>
      </c>
    </row>
    <row r="59" spans="1:25" x14ac:dyDescent="0.25">
      <c r="A59">
        <v>58</v>
      </c>
      <c r="C59" s="45" t="s">
        <v>484</v>
      </c>
      <c r="Q59" s="51" t="str">
        <f>C59&amp;IF(ISBLANK(D59),"","=")&amp;D59</f>
        <v>;Limit Switches and Stop pins must be greater than 16 on 4 motor board.</v>
      </c>
    </row>
    <row r="60" spans="1:25" x14ac:dyDescent="0.25">
      <c r="A60">
        <v>59</v>
      </c>
      <c r="C60" s="45" t="s">
        <v>485</v>
      </c>
      <c r="Q60" s="51" t="str">
        <f>C60&amp;IF(ISBLANK(D60),"","=")&amp;D60</f>
        <v>;Limit Switches and Stop pins must be greater than 24 on 5 motor board.</v>
      </c>
    </row>
    <row r="61" spans="1:25" x14ac:dyDescent="0.25">
      <c r="A61">
        <v>60</v>
      </c>
      <c r="B61" t="s">
        <v>194</v>
      </c>
      <c r="C61" s="45" t="s">
        <v>366</v>
      </c>
      <c r="D61" s="45">
        <v>39</v>
      </c>
      <c r="E61" s="29">
        <v>424</v>
      </c>
      <c r="F61" s="29">
        <v>427</v>
      </c>
      <c r="G61" s="29">
        <v>8</v>
      </c>
      <c r="H61" s="59" t="str">
        <f>DEC2HEX(I61)</f>
        <v>DC</v>
      </c>
      <c r="I61" s="30">
        <v>220</v>
      </c>
      <c r="J61" s="30" t="str">
        <f>CHAR(I61)</f>
        <v>Ü</v>
      </c>
      <c r="L61">
        <f>IF(ISBLANK(D61),IF(E61&gt;0,F61-E61+1,0),0)</f>
        <v>0</v>
      </c>
      <c r="M61" s="54">
        <f>IF(ISBLANK(D61),0,IF(G61=0,F61-E61+1,0))</f>
        <v>0</v>
      </c>
      <c r="Q61" s="51" t="str">
        <f>C61&amp;IF(ISBLANK(D61),"","=")&amp;D61</f>
        <v>Min_Z=39</v>
      </c>
    </row>
    <row r="62" spans="1:25" x14ac:dyDescent="0.25">
      <c r="A62">
        <v>61</v>
      </c>
      <c r="B62" t="s">
        <v>194</v>
      </c>
      <c r="C62" s="45" t="s">
        <v>367</v>
      </c>
      <c r="D62" s="45">
        <v>38</v>
      </c>
      <c r="E62" s="29">
        <v>424</v>
      </c>
      <c r="F62" s="29">
        <v>427</v>
      </c>
      <c r="G62" s="29">
        <v>0</v>
      </c>
      <c r="H62" s="59" t="str">
        <f>DEC2HEX(I62)</f>
        <v>DD</v>
      </c>
      <c r="I62" s="30">
        <v>221</v>
      </c>
      <c r="J62" s="30" t="str">
        <f>CHAR(I62)</f>
        <v>Ý</v>
      </c>
      <c r="L62">
        <f>IF(ISBLANK(D62),IF(E62&gt;0,F62-E62+1,0),0)</f>
        <v>0</v>
      </c>
      <c r="M62" s="54">
        <f>IF(ISBLANK(D62),0,IF(G62=0,F62-E62+1,0))</f>
        <v>4</v>
      </c>
      <c r="Q62" s="51" t="str">
        <f>C62&amp;IF(ISBLANK(D62),"","=")&amp;D62</f>
        <v>Max_Z=38</v>
      </c>
    </row>
    <row r="63" spans="1:25" x14ac:dyDescent="0.25">
      <c r="A63">
        <v>62</v>
      </c>
      <c r="B63" t="s">
        <v>194</v>
      </c>
      <c r="C63" s="45" t="s">
        <v>368</v>
      </c>
      <c r="D63" s="45">
        <v>39</v>
      </c>
      <c r="E63" s="29">
        <v>424</v>
      </c>
      <c r="F63" s="29">
        <v>427</v>
      </c>
      <c r="G63" s="29">
        <v>16</v>
      </c>
      <c r="H63" s="59" t="str">
        <f>DEC2HEX(I63)</f>
        <v>DE</v>
      </c>
      <c r="I63" s="30">
        <v>222</v>
      </c>
      <c r="J63" s="30" t="str">
        <f>CHAR(I63)</f>
        <v>Þ</v>
      </c>
      <c r="L63">
        <f>IF(ISBLANK(D63),IF(E63&gt;0,F63-E63+1,0),0)</f>
        <v>0</v>
      </c>
      <c r="M63" s="54">
        <f>IF(ISBLANK(D63),0,IF(G63=0,F63-E63+1,0))</f>
        <v>0</v>
      </c>
      <c r="Q63" s="51" t="str">
        <f>C63&amp;IF(ISBLANK(D63),"","=")&amp;D63</f>
        <v>Min_X=39</v>
      </c>
    </row>
    <row r="64" spans="1:25" x14ac:dyDescent="0.25">
      <c r="A64">
        <v>63</v>
      </c>
      <c r="B64" t="s">
        <v>194</v>
      </c>
      <c r="C64" s="45" t="s">
        <v>369</v>
      </c>
      <c r="D64" s="45">
        <v>38</v>
      </c>
      <c r="E64" s="29">
        <v>424</v>
      </c>
      <c r="F64" s="29">
        <v>427</v>
      </c>
      <c r="G64" s="29">
        <v>24</v>
      </c>
      <c r="H64" s="59" t="str">
        <f>DEC2HEX(I64)</f>
        <v>DF</v>
      </c>
      <c r="I64" s="30">
        <v>223</v>
      </c>
      <c r="J64" s="30" t="str">
        <f>CHAR(I64)</f>
        <v>ß</v>
      </c>
      <c r="L64">
        <f>IF(ISBLANK(D64),IF(E64&gt;0,F64-E64+1,0),0)</f>
        <v>0</v>
      </c>
      <c r="M64" s="54">
        <f>IF(ISBLANK(D64),0,IF(G64=0,F64-E64+1,0))</f>
        <v>0</v>
      </c>
      <c r="Q64" s="51" t="str">
        <f>C64&amp;IF(ISBLANK(D64),"","=")&amp;D64</f>
        <v>Max_X=38</v>
      </c>
    </row>
    <row r="65" spans="1:17" x14ac:dyDescent="0.25">
      <c r="A65">
        <v>64</v>
      </c>
      <c r="B65" t="s">
        <v>194</v>
      </c>
      <c r="C65" s="45" t="s">
        <v>370</v>
      </c>
      <c r="D65" s="45">
        <v>39</v>
      </c>
      <c r="E65" s="29">
        <v>576</v>
      </c>
      <c r="F65" s="29">
        <v>579</v>
      </c>
      <c r="G65" s="29">
        <v>0</v>
      </c>
      <c r="H65" s="59" t="str">
        <f>DEC2HEX(I65)</f>
        <v>E0</v>
      </c>
      <c r="I65" s="30">
        <v>224</v>
      </c>
      <c r="J65" s="30" t="str">
        <f>CHAR(I65)</f>
        <v>à</v>
      </c>
      <c r="L65">
        <f>IF(ISBLANK(D65),IF(E65&gt;0,F65-E65+1,0),0)</f>
        <v>0</v>
      </c>
      <c r="M65" s="54">
        <f>IF(ISBLANK(D65),0,IF(G65=0,F65-E65+1,0))</f>
        <v>4</v>
      </c>
      <c r="Q65" s="51" t="str">
        <f>C65&amp;IF(ISBLANK(D65),"","=")&amp;D65</f>
        <v>Min_M3=39</v>
      </c>
    </row>
    <row r="66" spans="1:17" x14ac:dyDescent="0.25">
      <c r="A66">
        <v>65</v>
      </c>
      <c r="B66" t="s">
        <v>194</v>
      </c>
      <c r="C66" s="45" t="s">
        <v>371</v>
      </c>
      <c r="D66" s="45">
        <v>38</v>
      </c>
      <c r="E66" s="29">
        <v>576</v>
      </c>
      <c r="F66" s="29">
        <v>579</v>
      </c>
      <c r="G66" s="29">
        <v>8</v>
      </c>
      <c r="H66" s="59" t="str">
        <f>DEC2HEX(I66)</f>
        <v>E1</v>
      </c>
      <c r="I66" s="30">
        <v>225</v>
      </c>
      <c r="J66" s="30" t="str">
        <f>CHAR(I66)</f>
        <v>á</v>
      </c>
      <c r="L66">
        <f>IF(ISBLANK(D66),IF(E66&gt;0,F66-E66+1,0),0)</f>
        <v>0</v>
      </c>
      <c r="M66" s="54">
        <f>IF(ISBLANK(D66),0,IF(G66=0,F66-E66+1,0))</f>
        <v>0</v>
      </c>
      <c r="Q66" s="51" t="str">
        <f>C66&amp;IF(ISBLANK(D66),"","=")&amp;D66</f>
        <v>Max_M3=38</v>
      </c>
    </row>
    <row r="67" spans="1:17" x14ac:dyDescent="0.25">
      <c r="A67">
        <v>66</v>
      </c>
      <c r="B67" t="s">
        <v>194</v>
      </c>
      <c r="C67" s="45" t="s">
        <v>372</v>
      </c>
      <c r="D67" s="45">
        <v>39</v>
      </c>
      <c r="E67" s="29">
        <v>368</v>
      </c>
      <c r="F67" s="29">
        <v>371</v>
      </c>
      <c r="G67" s="29">
        <v>0</v>
      </c>
      <c r="H67" s="59" t="str">
        <f>DEC2HEX(I67)</f>
        <v>AF</v>
      </c>
      <c r="I67" s="30">
        <v>175</v>
      </c>
      <c r="J67" s="30" t="str">
        <f>CHAR(I67)</f>
        <v>¯</v>
      </c>
      <c r="L67">
        <f>IF(ISBLANK(D67),IF(E67&gt;0,F67-E67+1,0),0)</f>
        <v>0</v>
      </c>
      <c r="M67" s="54">
        <f>IF(ISBLANK(D67),0,IF(G67=0,F67-E67+1,0))</f>
        <v>4</v>
      </c>
      <c r="Q67" s="51" t="str">
        <f>C67&amp;IF(ISBLANK(D67),"","=")&amp;D67</f>
        <v>Min_M4=39</v>
      </c>
    </row>
    <row r="68" spans="1:17" x14ac:dyDescent="0.25">
      <c r="A68">
        <v>67</v>
      </c>
      <c r="B68" t="s">
        <v>194</v>
      </c>
      <c r="C68" s="45" t="s">
        <v>373</v>
      </c>
      <c r="D68" s="45">
        <v>38</v>
      </c>
      <c r="E68" s="29">
        <v>368</v>
      </c>
      <c r="F68" s="29">
        <v>371</v>
      </c>
      <c r="G68" s="29">
        <v>8</v>
      </c>
      <c r="H68" s="59" t="str">
        <f>DEC2HEX(I68)</f>
        <v>AE</v>
      </c>
      <c r="I68" s="30">
        <v>174</v>
      </c>
      <c r="J68" s="30" t="str">
        <f>CHAR(I68)</f>
        <v>®</v>
      </c>
      <c r="L68">
        <f>IF(ISBLANK(D68),IF(E68&gt;0,F68-E68+1,0),0)</f>
        <v>0</v>
      </c>
      <c r="M68" s="54">
        <f>IF(ISBLANK(D68),0,IF(G68=0,F68-E68+1,0))</f>
        <v>0</v>
      </c>
      <c r="Q68" s="51" t="str">
        <f>C68&amp;IF(ISBLANK(D68),"","=")&amp;D68</f>
        <v>Max_M4=38</v>
      </c>
    </row>
    <row r="69" spans="1:17" x14ac:dyDescent="0.25">
      <c r="A69">
        <v>68</v>
      </c>
      <c r="C69" s="45" t="s">
        <v>305</v>
      </c>
      <c r="Q69" s="51" t="str">
        <f>C69&amp;IF(ISBLANK(D69),"","=")&amp;D69</f>
        <v>;Stop spindle when limit hit = 0.  Leave spindle running =1</v>
      </c>
    </row>
    <row r="70" spans="1:17" x14ac:dyDescent="0.25">
      <c r="A70">
        <v>69</v>
      </c>
      <c r="B70" t="s">
        <v>194</v>
      </c>
      <c r="C70" s="45" t="s">
        <v>374</v>
      </c>
      <c r="D70" s="45">
        <v>1</v>
      </c>
      <c r="E70" s="29">
        <v>576</v>
      </c>
      <c r="F70" s="29">
        <v>579</v>
      </c>
      <c r="G70" s="29">
        <v>24</v>
      </c>
      <c r="H70" s="59" t="str">
        <f>DEC2HEX(I70)</f>
        <v>56</v>
      </c>
      <c r="I70" s="30">
        <v>86</v>
      </c>
      <c r="J70" s="30" t="str">
        <f>CHAR(I70)</f>
        <v>V</v>
      </c>
      <c r="L70">
        <f>IF(ISBLANK(D70),IF(E70&gt;0,F70-E70+1,0),0)</f>
        <v>0</v>
      </c>
      <c r="M70" s="54">
        <f>IF(ISBLANK(D70),0,IF(G70=0,F70-E70+1,0))</f>
        <v>0</v>
      </c>
      <c r="Q70" s="51" t="str">
        <f>C70&amp;IF(ISBLANK(D70),"","=")&amp;D70</f>
        <v>StopSpindle=1</v>
      </c>
    </row>
    <row r="71" spans="1:17" x14ac:dyDescent="0.25">
      <c r="A71">
        <v>70</v>
      </c>
      <c r="B71" t="s">
        <v>194</v>
      </c>
      <c r="C71" s="45" t="s">
        <v>375</v>
      </c>
      <c r="D71" s="45">
        <v>56</v>
      </c>
      <c r="E71" s="29">
        <v>576</v>
      </c>
      <c r="F71" s="29">
        <v>579</v>
      </c>
      <c r="G71" s="29">
        <v>16</v>
      </c>
      <c r="H71" s="59" t="str">
        <f>DEC2HEX(I71)</f>
        <v>47</v>
      </c>
      <c r="I71" s="30">
        <v>71</v>
      </c>
      <c r="J71" s="30" t="str">
        <f>CHAR(I71)</f>
        <v>G</v>
      </c>
      <c r="L71">
        <f>IF(ISBLANK(D71),IF(E71&gt;0,F71-E71+1,0),0)</f>
        <v>0</v>
      </c>
      <c r="M71" s="54">
        <f>IF(ISBLANK(D71),0,IF(G71=0,F71-E71+1,0))</f>
        <v>0</v>
      </c>
      <c r="Q71" s="51" t="str">
        <f>C71&amp;IF(ISBLANK(D71),"","=")&amp;D71</f>
        <v>Stop=56</v>
      </c>
    </row>
    <row r="72" spans="1:17" x14ac:dyDescent="0.25">
      <c r="A72">
        <v>71</v>
      </c>
      <c r="C72" s="45" t="s">
        <v>546</v>
      </c>
      <c r="Q72" s="51" t="str">
        <f>C72&amp;IF(ISBLANK(D72),"","=")&amp;D72</f>
        <v>;Normally Closed=0, Normally Open=1</v>
      </c>
    </row>
    <row r="73" spans="1:17" x14ac:dyDescent="0.25">
      <c r="A73">
        <v>72</v>
      </c>
      <c r="B73" t="s">
        <v>194</v>
      </c>
      <c r="C73" s="45" t="s">
        <v>376</v>
      </c>
      <c r="D73" s="45">
        <v>1</v>
      </c>
      <c r="E73" s="29">
        <v>540</v>
      </c>
      <c r="F73" s="29">
        <v>543</v>
      </c>
      <c r="G73" s="29">
        <v>8</v>
      </c>
      <c r="H73" s="59" t="str">
        <f>DEC2HEX(I73)</f>
        <v>A1</v>
      </c>
      <c r="I73" s="30">
        <v>161</v>
      </c>
      <c r="J73" s="30" t="str">
        <f>CHAR(I73)</f>
        <v>¡</v>
      </c>
      <c r="L73">
        <f>IF(ISBLANK(D73),IF(E73&gt;0,F73-E73+1,0),0)</f>
        <v>0</v>
      </c>
      <c r="M73" s="54">
        <f>IF(ISBLANK(D73),0,IF(G73=0,F73-E73+1,0))</f>
        <v>0</v>
      </c>
      <c r="Q73" s="51" t="str">
        <f>C73&amp;IF(ISBLANK(D73),"","=")&amp;D73</f>
        <v>NC-NO=1</v>
      </c>
    </row>
    <row r="74" spans="1:17" x14ac:dyDescent="0.25">
      <c r="A74">
        <v>73</v>
      </c>
      <c r="C74" s="45" t="s">
        <v>242</v>
      </c>
      <c r="Q74" s="51" t="str">
        <f>C74&amp;IF(ISBLANK(D74),"","=")&amp;D74</f>
        <v>;</v>
      </c>
    </row>
    <row r="75" spans="1:17" x14ac:dyDescent="0.25">
      <c r="A75">
        <v>74</v>
      </c>
      <c r="B75" s="32"/>
      <c r="C75" s="47" t="s">
        <v>306</v>
      </c>
      <c r="D75" s="47"/>
      <c r="E75" s="32"/>
      <c r="F75" s="32"/>
      <c r="G75" s="32"/>
      <c r="H75" s="44"/>
      <c r="I75" s="32"/>
      <c r="J75" s="32"/>
      <c r="K75" s="47"/>
      <c r="L75" s="32"/>
      <c r="M75" s="55"/>
      <c r="Q75" s="51" t="str">
        <f>C75&amp;IF(ISBLANK(D75),"","=")&amp;D75</f>
        <v>[Returns]</v>
      </c>
    </row>
    <row r="76" spans="1:17" x14ac:dyDescent="0.25">
      <c r="A76">
        <v>75</v>
      </c>
      <c r="C76" s="45" t="s">
        <v>242</v>
      </c>
      <c r="E76" s="4"/>
      <c r="F76" s="4"/>
      <c r="G76" s="4"/>
      <c r="Q76" s="51" t="str">
        <f>C76&amp;IF(ISBLANK(D76),"","=")&amp;D76</f>
        <v>;</v>
      </c>
    </row>
    <row r="77" spans="1:17" x14ac:dyDescent="0.25">
      <c r="A77">
        <v>76</v>
      </c>
      <c r="C77" s="45" t="s">
        <v>307</v>
      </c>
      <c r="E77" s="4"/>
      <c r="F77" s="4"/>
      <c r="G77" s="4"/>
      <c r="Q77" s="51" t="str">
        <f>C77&amp;IF(ISBLANK(D77),"","=")&amp;D77</f>
        <v>;Return</v>
      </c>
    </row>
    <row r="78" spans="1:17" x14ac:dyDescent="0.25">
      <c r="A78">
        <v>77</v>
      </c>
      <c r="C78" s="45" t="s">
        <v>308</v>
      </c>
      <c r="E78" s="4"/>
      <c r="F78" s="4"/>
      <c r="G78" s="4"/>
      <c r="Q78" s="51" t="str">
        <f>C78&amp;IF(ISBLANK(D78),"","=")&amp;D78</f>
        <v>; All speeds and accellerations are in steps per second</v>
      </c>
    </row>
    <row r="79" spans="1:17" x14ac:dyDescent="0.25">
      <c r="A79">
        <v>78</v>
      </c>
      <c r="B79" t="s">
        <v>195</v>
      </c>
      <c r="C79" s="45" t="s">
        <v>377</v>
      </c>
      <c r="D79" s="45">
        <v>30000</v>
      </c>
      <c r="E79" s="29">
        <v>760</v>
      </c>
      <c r="F79" s="29">
        <v>763</v>
      </c>
      <c r="G79" s="29"/>
      <c r="H79" s="59" t="str">
        <f>DEC2HEX(I79)</f>
        <v>E8</v>
      </c>
      <c r="I79" s="30">
        <v>232</v>
      </c>
      <c r="J79" s="30" t="str">
        <f>CHAR(I79)</f>
        <v>è</v>
      </c>
      <c r="L79">
        <f>IF(ISBLANK(D79),IF(E79&gt;0,F79-E79+1,0),0)</f>
        <v>0</v>
      </c>
      <c r="M79" s="54">
        <f>IF(ISBLANK(D79),0,IF(G79=0,F79-E79+1,0))</f>
        <v>4</v>
      </c>
      <c r="Q79" s="51" t="str">
        <f>C79&amp;IF(ISBLANK(D79),"","=")&amp;D79</f>
        <v>MaxSpeed_Spindle=30000</v>
      </c>
    </row>
    <row r="80" spans="1:17" x14ac:dyDescent="0.25">
      <c r="A80">
        <v>79</v>
      </c>
      <c r="B80" t="s">
        <v>195</v>
      </c>
      <c r="C80" s="45" t="s">
        <v>378</v>
      </c>
      <c r="D80" s="45">
        <v>15000</v>
      </c>
      <c r="E80" s="30">
        <v>764</v>
      </c>
      <c r="F80" s="30">
        <v>767</v>
      </c>
      <c r="G80" s="29"/>
      <c r="H80" s="59" t="str">
        <f>DEC2HEX(I80)</f>
        <v>E9</v>
      </c>
      <c r="I80" s="30">
        <v>233</v>
      </c>
      <c r="J80" s="30" t="str">
        <f>CHAR(I80)</f>
        <v>é</v>
      </c>
      <c r="L80">
        <f>IF(ISBLANK(D80),IF(E80&gt;0,F80-E80+1,0),0)</f>
        <v>0</v>
      </c>
      <c r="M80" s="54">
        <f>IF(ISBLANK(D80),0,IF(G80=0,F80-E80+1,0))</f>
        <v>4</v>
      </c>
      <c r="Q80" s="51" t="str">
        <f>C80&amp;IF(ISBLANK(D80),"","=")&amp;D80</f>
        <v>Accel_Spindle=15000</v>
      </c>
    </row>
    <row r="81" spans="1:25" x14ac:dyDescent="0.25">
      <c r="A81">
        <v>80</v>
      </c>
      <c r="B81" t="s">
        <v>195</v>
      </c>
      <c r="C81" s="45" t="s">
        <v>379</v>
      </c>
      <c r="D81" s="45">
        <v>30000</v>
      </c>
      <c r="E81" s="29">
        <v>768</v>
      </c>
      <c r="F81" s="29">
        <v>771</v>
      </c>
      <c r="G81" s="29"/>
      <c r="H81" s="59" t="str">
        <f>DEC2HEX(I81)</f>
        <v>EA</v>
      </c>
      <c r="I81" s="30">
        <v>234</v>
      </c>
      <c r="J81" s="30" t="str">
        <f>CHAR(I81)</f>
        <v>ê</v>
      </c>
      <c r="L81">
        <f>IF(ISBLANK(D81),IF(E81&gt;0,F81-E81+1,0),0)</f>
        <v>0</v>
      </c>
      <c r="M81" s="54">
        <f>IF(ISBLANK(D81),0,IF(G81=0,F81-E81+1,0))</f>
        <v>4</v>
      </c>
      <c r="Q81" s="51" t="str">
        <f>C81&amp;IF(ISBLANK(D81),"","=")&amp;D81</f>
        <v>MaxSpeed_Axis_Z=30000</v>
      </c>
    </row>
    <row r="82" spans="1:25" x14ac:dyDescent="0.25">
      <c r="A82">
        <v>81</v>
      </c>
      <c r="B82" t="s">
        <v>195</v>
      </c>
      <c r="C82" s="45" t="s">
        <v>380</v>
      </c>
      <c r="D82" s="45">
        <v>15000</v>
      </c>
      <c r="E82" s="29">
        <v>772</v>
      </c>
      <c r="F82" s="29">
        <v>775</v>
      </c>
      <c r="G82" s="29"/>
      <c r="H82" s="59" t="str">
        <f>DEC2HEX(I82)</f>
        <v>EB</v>
      </c>
      <c r="I82" s="30">
        <v>235</v>
      </c>
      <c r="J82" s="30" t="str">
        <f>CHAR(I82)</f>
        <v>ë</v>
      </c>
      <c r="L82">
        <f>IF(ISBLANK(D82),IF(E82&gt;0,F82-E82+1,0),0)</f>
        <v>0</v>
      </c>
      <c r="M82" s="54">
        <f>IF(ISBLANK(D82),0,IF(G82=0,F82-E82+1,0))</f>
        <v>4</v>
      </c>
      <c r="Q82" s="51" t="str">
        <f>C82&amp;IF(ISBLANK(D82),"","=")&amp;D82</f>
        <v>Accel_Axis_Z=15000</v>
      </c>
    </row>
    <row r="83" spans="1:25" s="32" customFormat="1" x14ac:dyDescent="0.25">
      <c r="A83">
        <v>82</v>
      </c>
      <c r="B83" t="s">
        <v>195</v>
      </c>
      <c r="C83" s="45" t="s">
        <v>381</v>
      </c>
      <c r="D83" s="45">
        <v>30000</v>
      </c>
      <c r="E83" s="29">
        <v>784</v>
      </c>
      <c r="F83" s="29">
        <v>787</v>
      </c>
      <c r="G83" s="29"/>
      <c r="H83" s="59" t="str">
        <f>DEC2HEX(I83)</f>
        <v>EA</v>
      </c>
      <c r="I83" s="30">
        <v>234</v>
      </c>
      <c r="J83" s="30" t="str">
        <f>CHAR(I83)</f>
        <v>ê</v>
      </c>
      <c r="K83" s="45"/>
      <c r="L83">
        <f>IF(ISBLANK(D83),IF(E83&gt;0,F83-E83+1,0),0)</f>
        <v>0</v>
      </c>
      <c r="M83" s="54">
        <f>IF(ISBLANK(D83),0,IF(G83=0,F83-E83+1,0))</f>
        <v>4</v>
      </c>
      <c r="N83" s="75"/>
      <c r="O83" s="75"/>
      <c r="P83" s="75"/>
      <c r="Q83" s="51" t="str">
        <f>C83&amp;IF(ISBLANK(D83),"","=")&amp;D83</f>
        <v>MaxSpeed_Axis_X=30000</v>
      </c>
      <c r="R83" s="4"/>
      <c r="S83" s="4"/>
      <c r="T83" s="4"/>
      <c r="U83" s="4"/>
      <c r="V83" s="4"/>
      <c r="W83" s="4"/>
      <c r="X83" s="4"/>
      <c r="Y83" s="4"/>
    </row>
    <row r="84" spans="1:25" x14ac:dyDescent="0.25">
      <c r="A84">
        <v>83</v>
      </c>
      <c r="B84" t="s">
        <v>195</v>
      </c>
      <c r="C84" s="45" t="s">
        <v>382</v>
      </c>
      <c r="D84" s="45">
        <v>15000</v>
      </c>
      <c r="E84" s="29">
        <v>788</v>
      </c>
      <c r="F84" s="29">
        <v>791</v>
      </c>
      <c r="G84" s="29"/>
      <c r="H84" s="59" t="str">
        <f>DEC2HEX(I84)</f>
        <v>EB</v>
      </c>
      <c r="I84" s="30">
        <v>235</v>
      </c>
      <c r="J84" s="30" t="str">
        <f>CHAR(I84)</f>
        <v>ë</v>
      </c>
      <c r="L84">
        <f>IF(ISBLANK(D84),IF(E84&gt;0,F84-E84+1,0),0)</f>
        <v>0</v>
      </c>
      <c r="M84" s="54">
        <f>IF(ISBLANK(D84),0,IF(G84=0,F84-E84+1,0))</f>
        <v>4</v>
      </c>
      <c r="Q84" s="51" t="str">
        <f>C84&amp;IF(ISBLANK(D84),"","=")&amp;D84</f>
        <v>Accel_Axis_X=15000</v>
      </c>
    </row>
    <row r="85" spans="1:25" x14ac:dyDescent="0.25">
      <c r="A85">
        <v>84</v>
      </c>
      <c r="B85" t="s">
        <v>195</v>
      </c>
      <c r="C85" s="45" t="s">
        <v>383</v>
      </c>
      <c r="D85" s="45">
        <v>30000</v>
      </c>
      <c r="E85" s="29">
        <v>776</v>
      </c>
      <c r="F85" s="29">
        <v>779</v>
      </c>
      <c r="G85" s="29"/>
      <c r="H85" s="59" t="str">
        <f>DEC2HEX(I85)</f>
        <v>EA</v>
      </c>
      <c r="I85" s="30">
        <v>234</v>
      </c>
      <c r="J85" s="30" t="str">
        <f>CHAR(I85)</f>
        <v>ê</v>
      </c>
      <c r="L85">
        <f>IF(ISBLANK(D85),IF(E85&gt;0,F85-E85+1,0),0)</f>
        <v>0</v>
      </c>
      <c r="M85" s="54">
        <f>IF(ISBLANK(D85),0,IF(G85=0,F85-E85+1,0))</f>
        <v>4</v>
      </c>
      <c r="Q85" s="51" t="str">
        <f>C85&amp;IF(ISBLANK(D85),"","=")&amp;D85</f>
        <v>MaxSpeed_Axis_M3=30000</v>
      </c>
    </row>
    <row r="86" spans="1:25" x14ac:dyDescent="0.25">
      <c r="A86">
        <v>85</v>
      </c>
      <c r="B86" t="s">
        <v>195</v>
      </c>
      <c r="C86" s="45" t="s">
        <v>384</v>
      </c>
      <c r="D86" s="45">
        <v>15000</v>
      </c>
      <c r="E86" s="29">
        <v>780</v>
      </c>
      <c r="F86" s="29">
        <v>783</v>
      </c>
      <c r="G86" s="29"/>
      <c r="H86" s="59" t="str">
        <f>DEC2HEX(I86)</f>
        <v>EB</v>
      </c>
      <c r="I86" s="30">
        <v>235</v>
      </c>
      <c r="J86" s="30" t="str">
        <f>CHAR(I86)</f>
        <v>ë</v>
      </c>
      <c r="L86">
        <f>IF(ISBLANK(D86),IF(E86&gt;0,F86-E86+1,0),0)</f>
        <v>0</v>
      </c>
      <c r="M86" s="54">
        <f>IF(ISBLANK(D86),0,IF(G86=0,F86-E86+1,0))</f>
        <v>4</v>
      </c>
      <c r="Q86" s="51" t="str">
        <f>C86&amp;IF(ISBLANK(D86),"","=")&amp;D86</f>
        <v>Accel_Axis_M3=15000</v>
      </c>
    </row>
    <row r="87" spans="1:25" x14ac:dyDescent="0.25">
      <c r="A87">
        <v>86</v>
      </c>
      <c r="B87" t="s">
        <v>195</v>
      </c>
      <c r="C87" s="45" t="s">
        <v>385</v>
      </c>
      <c r="D87" s="45">
        <v>30000</v>
      </c>
      <c r="E87" s="29">
        <v>56</v>
      </c>
      <c r="F87" s="29">
        <v>59</v>
      </c>
      <c r="G87" s="29"/>
      <c r="H87" s="59" t="str">
        <f>DEC2HEX(I87)</f>
        <v>EA</v>
      </c>
      <c r="I87" s="30">
        <v>234</v>
      </c>
      <c r="J87" s="30" t="str">
        <f>CHAR(I87)</f>
        <v>ê</v>
      </c>
      <c r="L87">
        <f>IF(ISBLANK(D87),IF(E87&gt;0,F87-E87+1,0),0)</f>
        <v>0</v>
      </c>
      <c r="M87" s="54">
        <f>IF(ISBLANK(D87),0,IF(G87=0,F87-E87+1,0))</f>
        <v>4</v>
      </c>
      <c r="Q87" s="51" t="str">
        <f>C87&amp;IF(ISBLANK(D87),"","=")&amp;D87</f>
        <v>MaxSpeed_Axis_M4=30000</v>
      </c>
    </row>
    <row r="88" spans="1:25" x14ac:dyDescent="0.25">
      <c r="A88">
        <v>87</v>
      </c>
      <c r="B88" t="s">
        <v>195</v>
      </c>
      <c r="C88" s="45" t="s">
        <v>386</v>
      </c>
      <c r="D88" s="45">
        <v>15000</v>
      </c>
      <c r="E88" s="29">
        <v>84</v>
      </c>
      <c r="F88" s="29">
        <v>87</v>
      </c>
      <c r="G88" s="29"/>
      <c r="H88" s="59" t="str">
        <f>DEC2HEX(I88)</f>
        <v>EB</v>
      </c>
      <c r="I88" s="30">
        <v>235</v>
      </c>
      <c r="J88" s="30" t="str">
        <f>CHAR(I88)</f>
        <v>ë</v>
      </c>
      <c r="L88">
        <f>IF(ISBLANK(D88),IF(E88&gt;0,F88-E88+1,0),0)</f>
        <v>0</v>
      </c>
      <c r="M88" s="54">
        <f>IF(ISBLANK(D88),0,IF(G88=0,F88-E88+1,0))</f>
        <v>4</v>
      </c>
      <c r="Q88" s="51" t="str">
        <f>C88&amp;IF(ISBLANK(D88),"","=")&amp;D88</f>
        <v>Accel_Axis_M4=15000</v>
      </c>
    </row>
    <row r="89" spans="1:25" x14ac:dyDescent="0.25">
      <c r="A89">
        <v>88</v>
      </c>
      <c r="C89" s="45" t="s">
        <v>242</v>
      </c>
      <c r="E89" s="4"/>
      <c r="F89" s="4"/>
      <c r="G89" s="4"/>
      <c r="Q89" s="51" t="str">
        <f>C89&amp;IF(ISBLANK(D89),"","=")&amp;D89</f>
        <v>;</v>
      </c>
    </row>
    <row r="90" spans="1:25" x14ac:dyDescent="0.25">
      <c r="A90">
        <v>89</v>
      </c>
      <c r="B90" s="32"/>
      <c r="C90" s="47" t="s">
        <v>309</v>
      </c>
      <c r="D90" s="47"/>
      <c r="E90" s="32"/>
      <c r="F90" s="32"/>
      <c r="G90" s="32"/>
      <c r="H90" s="44"/>
      <c r="I90" s="32"/>
      <c r="J90" s="32"/>
      <c r="K90" s="47"/>
      <c r="L90" s="32"/>
      <c r="M90" s="55"/>
      <c r="Q90" s="51" t="str">
        <f>C90&amp;IF(ISBLANK(D90),"","=")&amp;D90</f>
        <v>[Main]</v>
      </c>
    </row>
    <row r="91" spans="1:25" x14ac:dyDescent="0.25">
      <c r="A91">
        <v>90</v>
      </c>
      <c r="C91" s="45" t="s">
        <v>242</v>
      </c>
      <c r="E91" s="4"/>
      <c r="F91" s="4"/>
      <c r="G91" s="4"/>
      <c r="Q91" s="51" t="str">
        <f>C91&amp;IF(ISBLANK(D91),"","=")&amp;D91</f>
        <v>;</v>
      </c>
    </row>
    <row r="92" spans="1:25" x14ac:dyDescent="0.25">
      <c r="A92">
        <v>91</v>
      </c>
      <c r="C92" s="45" t="s">
        <v>310</v>
      </c>
      <c r="E92" s="4"/>
      <c r="F92" s="4"/>
      <c r="G92" s="4"/>
      <c r="Q92" s="51" t="str">
        <f>C92&amp;IF(ISBLANK(D92),"","=")&amp;D92</f>
        <v>;Axis Ids:</v>
      </c>
    </row>
    <row r="93" spans="1:25" x14ac:dyDescent="0.25">
      <c r="A93">
        <v>92</v>
      </c>
      <c r="C93" s="45" t="s">
        <v>311</v>
      </c>
      <c r="E93" s="4"/>
      <c r="F93" s="4"/>
      <c r="G93" s="4"/>
      <c r="Q93" s="51" t="str">
        <f>C93&amp;IF(ISBLANK(D93),"","=")&amp;D93</f>
        <v>;-----------------</v>
      </c>
    </row>
    <row r="94" spans="1:25" x14ac:dyDescent="0.25">
      <c r="A94">
        <v>93</v>
      </c>
      <c r="C94" s="45" t="s">
        <v>550</v>
      </c>
      <c r="E94" s="4"/>
      <c r="F94" s="4"/>
      <c r="G94" s="4"/>
      <c r="Q94" s="51" t="str">
        <f>C94&amp;IF(ISBLANK(D94),"","=")&amp;D94</f>
        <v>;Z=1</v>
      </c>
    </row>
    <row r="95" spans="1:25" x14ac:dyDescent="0.25">
      <c r="A95">
        <v>94</v>
      </c>
      <c r="C95" s="45" t="s">
        <v>551</v>
      </c>
      <c r="E95" s="4"/>
      <c r="F95" s="4"/>
      <c r="G95" s="4"/>
      <c r="Q95" s="51" t="str">
        <f>C95&amp;IF(ISBLANK(D95),"","=")&amp;D95</f>
        <v>;X=2</v>
      </c>
    </row>
    <row r="96" spans="1:25" x14ac:dyDescent="0.25">
      <c r="A96">
        <v>95</v>
      </c>
      <c r="C96" s="45" t="s">
        <v>552</v>
      </c>
      <c r="E96" s="4"/>
      <c r="F96" s="4"/>
      <c r="G96" s="4"/>
      <c r="Q96" s="51" t="str">
        <f>C96&amp;IF(ISBLANK(D96),"","=")&amp;D96</f>
        <v>;M3=3</v>
      </c>
    </row>
    <row r="97" spans="1:18" x14ac:dyDescent="0.25">
      <c r="A97">
        <v>96</v>
      </c>
      <c r="C97" s="45" t="s">
        <v>553</v>
      </c>
      <c r="E97" s="4"/>
      <c r="F97" s="4"/>
      <c r="G97" s="4"/>
      <c r="Q97" s="51" t="str">
        <f>C97&amp;IF(ISBLANK(D97),"","=")&amp;D97</f>
        <v>;M4=4</v>
      </c>
    </row>
    <row r="98" spans="1:18" x14ac:dyDescent="0.25">
      <c r="A98">
        <v>97</v>
      </c>
      <c r="C98" s="45" t="s">
        <v>549</v>
      </c>
      <c r="E98" s="4"/>
      <c r="F98" s="4"/>
      <c r="G98" s="4"/>
      <c r="Q98" s="51" t="str">
        <f>C98&amp;IF(ISBLANK(D98),"","=")&amp;D98</f>
        <v>;Spindle=0</v>
      </c>
    </row>
    <row r="99" spans="1:18" x14ac:dyDescent="0.25">
      <c r="A99">
        <v>98</v>
      </c>
      <c r="C99" s="45" t="s">
        <v>311</v>
      </c>
      <c r="E99" s="4"/>
      <c r="F99" s="4"/>
      <c r="G99" s="4"/>
      <c r="Q99" s="51" t="str">
        <f>C99&amp;IF(ISBLANK(D99),"","=")&amp;D99</f>
        <v>;-----------------</v>
      </c>
      <c r="R99" s="23"/>
    </row>
    <row r="100" spans="1:18" x14ac:dyDescent="0.25">
      <c r="A100">
        <v>99</v>
      </c>
      <c r="B100" t="s">
        <v>5</v>
      </c>
      <c r="C100" s="45" t="s">
        <v>280</v>
      </c>
      <c r="D100" s="45">
        <v>1</v>
      </c>
      <c r="E100" s="29">
        <v>0</v>
      </c>
      <c r="F100" s="29">
        <v>3</v>
      </c>
      <c r="G100" s="29">
        <v>8</v>
      </c>
      <c r="H100" s="59" t="str">
        <f>DEC2HEX(I100)</f>
        <v>42</v>
      </c>
      <c r="I100" s="30">
        <v>66</v>
      </c>
      <c r="J100" s="30" t="str">
        <f>CHAR(I100)</f>
        <v>B</v>
      </c>
      <c r="L100">
        <f>IF(ISBLANK(D100),IF(E100&gt;0,F100-E100+1,0),0)</f>
        <v>0</v>
      </c>
      <c r="M100" s="54">
        <f>IF(ISBLANK(D100),0,IF(G100=0,F100-E100+1,0))</f>
        <v>0</v>
      </c>
      <c r="Q100" s="51" t="str">
        <f>C100&amp;IF(ISBLANK(D100),"","=")&amp;D100</f>
        <v>AxisId=1</v>
      </c>
    </row>
    <row r="101" spans="1:18" x14ac:dyDescent="0.25">
      <c r="A101">
        <v>100</v>
      </c>
      <c r="C101" s="45" t="s">
        <v>312</v>
      </c>
      <c r="E101" s="4"/>
      <c r="F101" s="4"/>
      <c r="G101" s="4"/>
      <c r="Q101" s="51" t="str">
        <f>C101&amp;IF(ISBLANK(D101),"","=")&amp;D101</f>
        <v>;Spindle</v>
      </c>
    </row>
    <row r="102" spans="1:18" x14ac:dyDescent="0.25">
      <c r="A102">
        <v>101</v>
      </c>
      <c r="B102" t="s">
        <v>5</v>
      </c>
      <c r="C102" s="45" t="s">
        <v>377</v>
      </c>
      <c r="D102" s="45">
        <v>15000</v>
      </c>
      <c r="E102" s="29">
        <v>872</v>
      </c>
      <c r="F102" s="29">
        <v>875</v>
      </c>
      <c r="G102" s="29"/>
      <c r="H102" s="59" t="str">
        <f>DEC2HEX(I102)</f>
        <v>3A</v>
      </c>
      <c r="I102" s="30">
        <v>58</v>
      </c>
      <c r="J102" s="30" t="str">
        <f>CHAR(I102)</f>
        <v>:</v>
      </c>
      <c r="L102">
        <f>IF(ISBLANK(D102),IF(E102&gt;0,F102-E102+1,0),0)</f>
        <v>0</v>
      </c>
      <c r="M102" s="54">
        <f>IF(ISBLANK(D102),0,IF(G102=0,F102-E102+1,0))</f>
        <v>4</v>
      </c>
      <c r="Q102" s="51" t="str">
        <f>C102&amp;IF(ISBLANK(D102),"","=")&amp;D102</f>
        <v>MaxSpeed_Spindle=15000</v>
      </c>
    </row>
    <row r="103" spans="1:18" x14ac:dyDescent="0.25">
      <c r="A103">
        <v>102</v>
      </c>
      <c r="B103" t="s">
        <v>5</v>
      </c>
      <c r="C103" s="45" t="s">
        <v>378</v>
      </c>
      <c r="D103" s="45">
        <v>15001</v>
      </c>
      <c r="E103" s="29">
        <v>912</v>
      </c>
      <c r="F103" s="29">
        <v>915</v>
      </c>
      <c r="G103" s="29"/>
      <c r="H103" s="59" t="str">
        <f>DEC2HEX(I103)</f>
        <v>3B</v>
      </c>
      <c r="I103" s="30">
        <v>59</v>
      </c>
      <c r="J103" s="30" t="str">
        <f>CHAR(I103)</f>
        <v>;</v>
      </c>
      <c r="K103" s="50"/>
      <c r="L103">
        <f>IF(ISBLANK(D103),IF(E103&gt;0,F103-E103+1,0),0)</f>
        <v>0</v>
      </c>
      <c r="M103" s="54">
        <f>IF(ISBLANK(D103),0,IF(G103=0,F103-E103+1,0))</f>
        <v>4</v>
      </c>
      <c r="Q103" s="51" t="str">
        <f>C103&amp;IF(ISBLANK(D103),"","=")&amp;D103</f>
        <v>Accel_Spindle=15001</v>
      </c>
    </row>
    <row r="104" spans="1:18" x14ac:dyDescent="0.25">
      <c r="A104">
        <v>103</v>
      </c>
      <c r="B104" t="s">
        <v>5</v>
      </c>
      <c r="C104" s="45" t="s">
        <v>387</v>
      </c>
      <c r="D104" s="45">
        <v>51</v>
      </c>
      <c r="E104" s="29">
        <v>0</v>
      </c>
      <c r="F104" s="29">
        <v>3</v>
      </c>
      <c r="G104" s="29">
        <v>0</v>
      </c>
      <c r="H104" s="59" t="str">
        <f>DEC2HEX(I104)</f>
        <v>6E</v>
      </c>
      <c r="I104" s="30">
        <v>110</v>
      </c>
      <c r="J104" s="30" t="str">
        <f>CHAR(I104)</f>
        <v>n</v>
      </c>
      <c r="K104" s="50"/>
      <c r="L104">
        <f>IF(ISBLANK(D104),IF(E104&gt;0,F104-E104+1,0),0)</f>
        <v>0</v>
      </c>
      <c r="M104" s="54">
        <f>IF(ISBLANK(D104),0,IF(G104=0,F104-E104+1,0))</f>
        <v>4</v>
      </c>
      <c r="Q104" s="51" t="str">
        <f>C104&amp;IF(ISBLANK(D104),"","=")&amp;D104</f>
        <v>SpeedPercentage_Spindle=51</v>
      </c>
    </row>
    <row r="105" spans="1:18" x14ac:dyDescent="0.25">
      <c r="A105">
        <v>104</v>
      </c>
      <c r="C105" s="45" t="s">
        <v>299</v>
      </c>
      <c r="E105" s="4"/>
      <c r="F105" s="4"/>
      <c r="G105" s="4"/>
      <c r="K105" s="50"/>
      <c r="Q105" s="51" t="str">
        <f>C105&amp;IF(ISBLANK(D105),"","=")&amp;D105</f>
        <v>;Z Axis</v>
      </c>
    </row>
    <row r="106" spans="1:18" x14ac:dyDescent="0.25">
      <c r="A106">
        <v>105</v>
      </c>
      <c r="B106" t="s">
        <v>5</v>
      </c>
      <c r="C106" s="45" t="s">
        <v>388</v>
      </c>
      <c r="D106" s="45">
        <v>4001</v>
      </c>
      <c r="E106" s="29">
        <v>952</v>
      </c>
      <c r="F106" s="29">
        <v>955</v>
      </c>
      <c r="G106" s="29"/>
      <c r="H106" s="59" t="str">
        <f>DEC2HEX(I106)</f>
        <v>B9</v>
      </c>
      <c r="I106" s="30">
        <v>185</v>
      </c>
      <c r="J106" s="30" t="str">
        <f>CHAR(I106)</f>
        <v>¹</v>
      </c>
      <c r="L106">
        <f>IF(ISBLANK(D106),IF(E106&gt;0,F106-E106+1,0),0)</f>
        <v>0</v>
      </c>
      <c r="M106" s="54">
        <f>IF(ISBLANK(D106),0,IF(G106=0,F106-E106+1,0))</f>
        <v>4</v>
      </c>
      <c r="Q106" s="51" t="str">
        <f>C106&amp;IF(ISBLANK(D106),"","=")&amp;D106</f>
        <v>MaxSpeed_Z=4001</v>
      </c>
    </row>
    <row r="107" spans="1:18" x14ac:dyDescent="0.25">
      <c r="A107">
        <v>106</v>
      </c>
      <c r="B107" t="s">
        <v>5</v>
      </c>
      <c r="C107" s="45" t="s">
        <v>389</v>
      </c>
      <c r="D107" s="45">
        <v>5002</v>
      </c>
      <c r="E107" s="29">
        <v>972</v>
      </c>
      <c r="F107" s="29">
        <v>975</v>
      </c>
      <c r="G107" s="29"/>
      <c r="H107" s="59" t="str">
        <f>DEC2HEX(I107)</f>
        <v>BA</v>
      </c>
      <c r="I107" s="30">
        <v>186</v>
      </c>
      <c r="J107" s="30" t="str">
        <f>CHAR(I107)</f>
        <v>º</v>
      </c>
      <c r="L107">
        <f>IF(ISBLANK(D107),IF(E107&gt;0,F107-E107+1,0),0)</f>
        <v>0</v>
      </c>
      <c r="M107" s="54">
        <f>IF(ISBLANK(D107),0,IF(G107=0,F107-E107+1,0))</f>
        <v>4</v>
      </c>
      <c r="Q107" s="51" t="str">
        <f>C107&amp;IF(ISBLANK(D107),"","=")&amp;D107</f>
        <v>Accel_Z=5002</v>
      </c>
    </row>
    <row r="108" spans="1:18" x14ac:dyDescent="0.25">
      <c r="A108">
        <v>107</v>
      </c>
      <c r="B108" t="s">
        <v>5</v>
      </c>
      <c r="C108" s="45" t="s">
        <v>390</v>
      </c>
      <c r="D108" s="45">
        <v>53</v>
      </c>
      <c r="E108" s="29">
        <v>8</v>
      </c>
      <c r="F108" s="29">
        <v>11</v>
      </c>
      <c r="G108" s="29">
        <v>0</v>
      </c>
      <c r="H108" s="59" t="str">
        <f>DEC2HEX(I108)</f>
        <v>6F</v>
      </c>
      <c r="I108" s="29">
        <v>111</v>
      </c>
      <c r="J108" s="30" t="str">
        <f>CHAR(I108)</f>
        <v>o</v>
      </c>
      <c r="L108">
        <f>IF(ISBLANK(D108),IF(E108&gt;0,F108-E108+1,0),0)</f>
        <v>0</v>
      </c>
      <c r="M108" s="54">
        <f>IF(ISBLANK(D108),0,IF(G108=0,F108-E108+1,0))</f>
        <v>4</v>
      </c>
      <c r="Q108" s="51" t="str">
        <f>C108&amp;IF(ISBLANK(D108),"","=")&amp;D108</f>
        <v>SpeedPercentage_Z=53</v>
      </c>
    </row>
    <row r="109" spans="1:18" x14ac:dyDescent="0.25">
      <c r="A109">
        <v>108</v>
      </c>
      <c r="C109" s="45" t="s">
        <v>300</v>
      </c>
      <c r="E109" s="4"/>
      <c r="F109" s="4"/>
      <c r="G109" s="4"/>
      <c r="Q109" s="51" t="str">
        <f>C109&amp;IF(ISBLANK(D109),"","=")&amp;D109</f>
        <v>;X Axis</v>
      </c>
    </row>
    <row r="110" spans="1:18" x14ac:dyDescent="0.25">
      <c r="A110">
        <v>109</v>
      </c>
      <c r="B110" t="s">
        <v>5</v>
      </c>
      <c r="C110" s="45" t="s">
        <v>391</v>
      </c>
      <c r="D110" s="45">
        <v>4000</v>
      </c>
      <c r="E110" s="29">
        <v>992</v>
      </c>
      <c r="F110" s="29">
        <v>995</v>
      </c>
      <c r="G110" s="29"/>
      <c r="H110" s="59" t="str">
        <f>DEC2HEX(I110)</f>
        <v>B9</v>
      </c>
      <c r="I110" s="30">
        <v>185</v>
      </c>
      <c r="J110" s="30" t="str">
        <f>CHAR(I110)</f>
        <v>¹</v>
      </c>
      <c r="L110">
        <f>IF(ISBLANK(D110),IF(E110&gt;0,F110-E110+1,0),0)</f>
        <v>0</v>
      </c>
      <c r="M110" s="54">
        <f>IF(ISBLANK(D110),0,IF(G110=0,F110-E110+1,0))</f>
        <v>4</v>
      </c>
      <c r="Q110" s="51" t="str">
        <f>C110&amp;IF(ISBLANK(D110),"","=")&amp;D110</f>
        <v>MaxSpeed_X=4000</v>
      </c>
    </row>
    <row r="111" spans="1:18" x14ac:dyDescent="0.25">
      <c r="A111">
        <v>110</v>
      </c>
      <c r="B111" t="s">
        <v>5</v>
      </c>
      <c r="C111" s="45" t="s">
        <v>392</v>
      </c>
      <c r="D111" s="45">
        <v>5005</v>
      </c>
      <c r="E111" s="29">
        <v>1004</v>
      </c>
      <c r="F111" s="29">
        <v>1007</v>
      </c>
      <c r="G111" s="29"/>
      <c r="H111" s="59" t="str">
        <f>DEC2HEX(I111)</f>
        <v>BA</v>
      </c>
      <c r="I111" s="30">
        <v>186</v>
      </c>
      <c r="J111" s="30" t="str">
        <f>CHAR(I111)</f>
        <v>º</v>
      </c>
      <c r="L111">
        <f>IF(ISBLANK(D111),IF(E111&gt;0,F111-E111+1,0),0)</f>
        <v>0</v>
      </c>
      <c r="M111" s="54">
        <f>IF(ISBLANK(D111),0,IF(G111=0,F111-E111+1,0))</f>
        <v>4</v>
      </c>
      <c r="Q111" s="51" t="str">
        <f>C111&amp;IF(ISBLANK(D111),"","=")&amp;D111</f>
        <v>Accel_X=5005</v>
      </c>
    </row>
    <row r="112" spans="1:18" x14ac:dyDescent="0.25">
      <c r="A112">
        <v>111</v>
      </c>
      <c r="B112" t="s">
        <v>5</v>
      </c>
      <c r="C112" s="45" t="s">
        <v>393</v>
      </c>
      <c r="D112" s="45">
        <v>90</v>
      </c>
      <c r="E112" s="29">
        <v>8</v>
      </c>
      <c r="F112" s="29">
        <v>11</v>
      </c>
      <c r="G112" s="29">
        <v>8</v>
      </c>
      <c r="H112" s="59" t="str">
        <f>DEC2HEX(I112)</f>
        <v>6F</v>
      </c>
      <c r="I112" s="29">
        <v>111</v>
      </c>
      <c r="J112" s="30" t="str">
        <f>CHAR(I112)</f>
        <v>o</v>
      </c>
      <c r="L112">
        <f>IF(ISBLANK(D112),IF(E112&gt;0,F112-E112+1,0),0)</f>
        <v>0</v>
      </c>
      <c r="M112" s="54">
        <f>IF(ISBLANK(D112),0,IF(G112=0,F112-E112+1,0))</f>
        <v>0</v>
      </c>
      <c r="Q112" s="51" t="str">
        <f>C112&amp;IF(ISBLANK(D112),"","=")&amp;D112</f>
        <v>SpeedPercentage_X=90</v>
      </c>
      <c r="R112" s="4" t="s">
        <v>477</v>
      </c>
    </row>
    <row r="113" spans="1:25" x14ac:dyDescent="0.25">
      <c r="A113">
        <v>112</v>
      </c>
      <c r="C113" s="45" t="s">
        <v>302</v>
      </c>
      <c r="E113" s="4"/>
      <c r="F113" s="4"/>
      <c r="G113" s="4"/>
      <c r="Q113" s="51" t="str">
        <f>C113&amp;IF(ISBLANK(D113),"","=")&amp;D113</f>
        <v>;M3 Axis</v>
      </c>
      <c r="R113" s="23"/>
    </row>
    <row r="114" spans="1:25" x14ac:dyDescent="0.25">
      <c r="A114">
        <v>113</v>
      </c>
      <c r="B114" t="s">
        <v>5</v>
      </c>
      <c r="C114" s="50" t="s">
        <v>394</v>
      </c>
      <c r="D114" s="50">
        <v>5007</v>
      </c>
      <c r="E114" s="29">
        <v>1016</v>
      </c>
      <c r="F114" s="29">
        <v>1019</v>
      </c>
      <c r="G114" s="29"/>
      <c r="H114" s="81" t="str">
        <f>DEC2HEX(I114)</f>
        <v>B9</v>
      </c>
      <c r="I114" s="30">
        <v>185</v>
      </c>
      <c r="J114" s="30" t="str">
        <f>CHAR(I114)</f>
        <v>¹</v>
      </c>
      <c r="L114">
        <f>IF(ISBLANK(D114),IF(E114&gt;0,F114-E114+1,0),0)</f>
        <v>0</v>
      </c>
      <c r="M114" s="54">
        <f>IF(ISBLANK(D114),0,IF(G114=0,F114-E114+1,0))</f>
        <v>4</v>
      </c>
      <c r="Q114" s="51" t="str">
        <f>C114&amp;IF(ISBLANK(D114),"","=")&amp;D114</f>
        <v>MaxSpeed_M3 =5007</v>
      </c>
    </row>
    <row r="115" spans="1:25" x14ac:dyDescent="0.25">
      <c r="A115">
        <v>114</v>
      </c>
      <c r="B115" t="s">
        <v>5</v>
      </c>
      <c r="C115" s="45" t="s">
        <v>395</v>
      </c>
      <c r="D115" s="45">
        <v>5008</v>
      </c>
      <c r="E115" s="29">
        <v>1020</v>
      </c>
      <c r="F115" s="29">
        <v>1023</v>
      </c>
      <c r="G115" s="29"/>
      <c r="H115" s="81" t="str">
        <f>DEC2HEX(I115)</f>
        <v>BA</v>
      </c>
      <c r="I115" s="30">
        <v>186</v>
      </c>
      <c r="J115" s="30" t="str">
        <f>CHAR(I115)</f>
        <v>º</v>
      </c>
      <c r="L115">
        <f>IF(ISBLANK(D115),IF(E115&gt;0,F115-E115+1,0),0)</f>
        <v>0</v>
      </c>
      <c r="M115" s="54">
        <f>IF(ISBLANK(D115),0,IF(G115=0,F115-E115+1,0))</f>
        <v>4</v>
      </c>
      <c r="Q115" s="51" t="str">
        <f>C115&amp;IF(ISBLANK(D115),"","=")&amp;D115</f>
        <v>Accel_M3 =5008</v>
      </c>
    </row>
    <row r="116" spans="1:25" x14ac:dyDescent="0.25">
      <c r="A116">
        <v>115</v>
      </c>
      <c r="B116" t="s">
        <v>5</v>
      </c>
      <c r="C116" s="45" t="s">
        <v>396</v>
      </c>
      <c r="D116" s="45">
        <v>59</v>
      </c>
      <c r="E116" s="29">
        <v>8</v>
      </c>
      <c r="F116" s="29">
        <v>11</v>
      </c>
      <c r="G116" s="29">
        <v>16</v>
      </c>
      <c r="H116" s="59" t="str">
        <f>DEC2HEX(I116)</f>
        <v>6F</v>
      </c>
      <c r="I116" s="29">
        <v>111</v>
      </c>
      <c r="J116" s="30" t="str">
        <f>CHAR(I116)</f>
        <v>o</v>
      </c>
      <c r="L116">
        <f>IF(ISBLANK(D116),IF(E116&gt;0,F116-E116+1,0),0)</f>
        <v>0</v>
      </c>
      <c r="M116" s="54">
        <f>IF(ISBLANK(D116),0,IF(G116=0,F116-E116+1,0))</f>
        <v>0</v>
      </c>
      <c r="Q116" s="51" t="str">
        <f>C116&amp;IF(ISBLANK(D116),"","=")&amp;D116</f>
        <v>SpeedPercentage_M3 =59</v>
      </c>
    </row>
    <row r="117" spans="1:25" x14ac:dyDescent="0.25">
      <c r="A117">
        <v>116</v>
      </c>
      <c r="C117" s="45" t="s">
        <v>303</v>
      </c>
      <c r="E117" s="4"/>
      <c r="F117" s="4"/>
      <c r="G117" s="4"/>
      <c r="Q117" s="51" t="str">
        <f>C117&amp;IF(ISBLANK(D117),"","=")&amp;D117</f>
        <v>;M4 Axis</v>
      </c>
      <c r="R117" s="23"/>
    </row>
    <row r="118" spans="1:25" s="32" customFormat="1" x14ac:dyDescent="0.25">
      <c r="A118">
        <v>117</v>
      </c>
      <c r="B118" t="s">
        <v>5</v>
      </c>
      <c r="C118" s="45" t="s">
        <v>397</v>
      </c>
      <c r="D118" s="45">
        <v>5007</v>
      </c>
      <c r="E118" s="29">
        <v>916</v>
      </c>
      <c r="F118" s="29">
        <v>919</v>
      </c>
      <c r="G118" s="29"/>
      <c r="H118" s="59" t="str">
        <f>DEC2HEX(I118)</f>
        <v>B9</v>
      </c>
      <c r="I118" s="30">
        <v>185</v>
      </c>
      <c r="J118" s="30" t="str">
        <f>CHAR(I118)</f>
        <v>¹</v>
      </c>
      <c r="K118" s="45"/>
      <c r="L118">
        <f>IF(ISBLANK(D118),IF(E118&gt;0,F118-E118+1,0),0)</f>
        <v>0</v>
      </c>
      <c r="M118" s="54">
        <f>IF(ISBLANK(D118),0,IF(G118=0,F118-E118+1,0))</f>
        <v>4</v>
      </c>
      <c r="N118" s="75"/>
      <c r="O118" s="75"/>
      <c r="P118" s="75"/>
      <c r="Q118" s="51" t="str">
        <f>C118&amp;IF(ISBLANK(D118),"","=")&amp;D118</f>
        <v>MaxSpeed_M4 =5007</v>
      </c>
      <c r="R118" s="4"/>
      <c r="S118" s="4"/>
      <c r="T118" s="4"/>
      <c r="U118" s="4"/>
      <c r="V118" s="4"/>
      <c r="W118" s="4"/>
      <c r="X118" s="4"/>
      <c r="Y118" s="4"/>
    </row>
    <row r="119" spans="1:25" x14ac:dyDescent="0.25">
      <c r="A119">
        <v>118</v>
      </c>
      <c r="B119" t="s">
        <v>5</v>
      </c>
      <c r="C119" s="45" t="s">
        <v>398</v>
      </c>
      <c r="D119" s="45">
        <v>5008</v>
      </c>
      <c r="E119" s="29">
        <v>920</v>
      </c>
      <c r="F119" s="29">
        <v>923</v>
      </c>
      <c r="G119" s="29"/>
      <c r="H119" s="59" t="str">
        <f>DEC2HEX(I119)</f>
        <v>BA</v>
      </c>
      <c r="I119" s="30">
        <v>186</v>
      </c>
      <c r="J119" s="30" t="str">
        <f>CHAR(I119)</f>
        <v>º</v>
      </c>
      <c r="L119">
        <f>IF(ISBLANK(D119),IF(E119&gt;0,F119-E119+1,0),0)</f>
        <v>0</v>
      </c>
      <c r="M119" s="54">
        <f>IF(ISBLANK(D119),0,IF(G119=0,F119-E119+1,0))</f>
        <v>4</v>
      </c>
      <c r="Q119" s="51" t="str">
        <f>C119&amp;IF(ISBLANK(D119),"","=")&amp;D119</f>
        <v>Accel_M4 =5008</v>
      </c>
    </row>
    <row r="120" spans="1:25" x14ac:dyDescent="0.25">
      <c r="A120">
        <v>119</v>
      </c>
      <c r="B120" t="s">
        <v>5</v>
      </c>
      <c r="C120" s="45" t="s">
        <v>399</v>
      </c>
      <c r="D120" s="45">
        <v>59</v>
      </c>
      <c r="E120" s="29">
        <v>8</v>
      </c>
      <c r="F120" s="29">
        <v>11</v>
      </c>
      <c r="G120" s="29">
        <v>24</v>
      </c>
      <c r="H120" s="59" t="str">
        <f>DEC2HEX(I120)</f>
        <v>6F</v>
      </c>
      <c r="I120" s="29">
        <v>111</v>
      </c>
      <c r="J120" s="30" t="str">
        <f>CHAR(I120)</f>
        <v>o</v>
      </c>
      <c r="L120">
        <f>IF(ISBLANK(D120),IF(E120&gt;0,F120-E120+1,0),0)</f>
        <v>0</v>
      </c>
      <c r="M120" s="54">
        <f>IF(ISBLANK(D120),0,IF(G120=0,F120-E120+1,0))</f>
        <v>0</v>
      </c>
      <c r="Q120" s="51" t="str">
        <f>C120&amp;IF(ISBLANK(D120),"","=")&amp;D120</f>
        <v>SpeedPercentage_M4 =59</v>
      </c>
    </row>
    <row r="121" spans="1:25" x14ac:dyDescent="0.25">
      <c r="A121">
        <v>120</v>
      </c>
      <c r="C121" s="45" t="s">
        <v>242</v>
      </c>
      <c r="E121" s="4"/>
      <c r="F121" s="4"/>
      <c r="G121" s="4"/>
      <c r="Q121" s="51" t="str">
        <f>C121&amp;IF(ISBLANK(D121),"","=")&amp;D121</f>
        <v>;</v>
      </c>
      <c r="R121" s="23"/>
    </row>
    <row r="122" spans="1:25" x14ac:dyDescent="0.25">
      <c r="A122">
        <v>121</v>
      </c>
      <c r="B122" s="32"/>
      <c r="C122" s="47" t="s">
        <v>313</v>
      </c>
      <c r="D122" s="47"/>
      <c r="E122" s="32"/>
      <c r="F122" s="32"/>
      <c r="G122" s="32"/>
      <c r="H122" s="44"/>
      <c r="I122" s="32"/>
      <c r="J122" s="32"/>
      <c r="K122" s="47"/>
      <c r="L122" s="32"/>
      <c r="M122" s="55"/>
      <c r="Q122" s="51" t="str">
        <f>C122&amp;IF(ISBLANK(D122),"","=")&amp;D122</f>
        <v>[Multi]</v>
      </c>
    </row>
    <row r="123" spans="1:25" x14ac:dyDescent="0.25">
      <c r="A123">
        <v>122</v>
      </c>
      <c r="C123" s="45" t="s">
        <v>242</v>
      </c>
      <c r="Q123" s="51" t="str">
        <f>C123&amp;IF(ISBLANK(D123),"","=")&amp;D123</f>
        <v>;</v>
      </c>
    </row>
    <row r="124" spans="1:25" x14ac:dyDescent="0.25">
      <c r="A124">
        <v>123</v>
      </c>
      <c r="B124" t="s">
        <v>254</v>
      </c>
      <c r="C124" s="45" t="s">
        <v>280</v>
      </c>
      <c r="D124" s="46">
        <v>1</v>
      </c>
      <c r="E124" s="29">
        <v>88</v>
      </c>
      <c r="F124" s="29">
        <v>91</v>
      </c>
      <c r="G124" s="29">
        <v>8</v>
      </c>
      <c r="H124" s="59" t="str">
        <f>DEC2HEX(I124)</f>
        <v>42</v>
      </c>
      <c r="I124" s="30">
        <v>66</v>
      </c>
      <c r="J124" s="30" t="str">
        <f>CHAR(I124)</f>
        <v>B</v>
      </c>
      <c r="L124">
        <f>IF(ISBLANK(D124),IF(E124&gt;0,F124-E124+1,0),0)</f>
        <v>0</v>
      </c>
      <c r="M124" s="54">
        <f>IF(ISBLANK(D124),0,IF(G124=0,F124-E124+1,0))</f>
        <v>0</v>
      </c>
      <c r="Q124" s="51" t="str">
        <f>C124&amp;IF(ISBLANK(D124),"","=")&amp;D124</f>
        <v>AxisId=1</v>
      </c>
    </row>
    <row r="125" spans="1:25" x14ac:dyDescent="0.25">
      <c r="A125">
        <v>124</v>
      </c>
      <c r="C125" s="45" t="s">
        <v>489</v>
      </c>
      <c r="D125" s="46"/>
      <c r="E125" s="29"/>
      <c r="F125" s="29"/>
      <c r="G125" s="29"/>
      <c r="H125" s="59"/>
      <c r="I125" s="30"/>
      <c r="J125" s="30"/>
      <c r="Q125" s="51" t="str">
        <f>C125&amp;IF(ISBLANK(D125),"","=")&amp;D125</f>
        <v>; MultiAxesRun and Direction values are ANDed together.</v>
      </c>
    </row>
    <row r="126" spans="1:25" x14ac:dyDescent="0.25">
      <c r="A126">
        <v>125</v>
      </c>
      <c r="B126" t="s">
        <v>254</v>
      </c>
      <c r="C126" s="45" t="s">
        <v>528</v>
      </c>
      <c r="D126" s="46">
        <v>0</v>
      </c>
      <c r="E126" s="29">
        <v>88</v>
      </c>
      <c r="F126" s="29">
        <v>91</v>
      </c>
      <c r="G126" s="29">
        <v>16</v>
      </c>
      <c r="H126" s="59" t="str">
        <f>DEC2HEX(I126)</f>
        <v>C8</v>
      </c>
      <c r="I126" s="30">
        <v>200</v>
      </c>
      <c r="J126" s="30" t="str">
        <f>CHAR(I126)</f>
        <v>È</v>
      </c>
      <c r="K126" s="45" t="s">
        <v>462</v>
      </c>
      <c r="L126">
        <f>IF(ISBLANK(D126),IF(E126&gt;0,F126-E126+1,0),0)</f>
        <v>0</v>
      </c>
      <c r="M126" s="54">
        <f>IF(ISBLANK(D126),0,IF(G126=0,F126-E126+1,0))</f>
        <v>0</v>
      </c>
      <c r="Q126" s="51" t="str">
        <f>C126&amp;IF(ISBLANK(D126),"","=")&amp;D126</f>
        <v>MultiAxesIDs=0</v>
      </c>
    </row>
    <row r="127" spans="1:25" x14ac:dyDescent="0.25">
      <c r="A127">
        <v>126</v>
      </c>
      <c r="B127" t="s">
        <v>254</v>
      </c>
      <c r="C127" s="45" t="s">
        <v>460</v>
      </c>
      <c r="D127" s="46">
        <v>0</v>
      </c>
      <c r="E127" s="29">
        <v>88</v>
      </c>
      <c r="F127" s="29">
        <v>91</v>
      </c>
      <c r="G127" s="29">
        <v>24</v>
      </c>
      <c r="H127" s="59" t="str">
        <f>DEC2HEX(I127)</f>
        <v>C2</v>
      </c>
      <c r="I127" s="30">
        <v>194</v>
      </c>
      <c r="J127" s="30" t="str">
        <f>CHAR(I127)</f>
        <v>Â</v>
      </c>
      <c r="K127" s="45" t="s">
        <v>462</v>
      </c>
      <c r="L127">
        <f>IF(ISBLANK(D127),IF(E127&gt;0,F127-E127+1,0),0)</f>
        <v>0</v>
      </c>
      <c r="M127" s="54">
        <f>IF(ISBLANK(D127),0,IF(G127=0,F127-E127+1,0))</f>
        <v>0</v>
      </c>
      <c r="Q127" s="51" t="str">
        <f>C127&amp;IF(ISBLANK(D127),"","=")&amp;D127</f>
        <v>Direction=0</v>
      </c>
    </row>
    <row r="128" spans="1:25" x14ac:dyDescent="0.25">
      <c r="A128">
        <v>127</v>
      </c>
      <c r="C128" s="45" t="s">
        <v>312</v>
      </c>
      <c r="D128" s="46"/>
      <c r="E128" s="4"/>
      <c r="F128" s="4"/>
      <c r="G128" s="4"/>
      <c r="Q128" s="51" t="str">
        <f>C128&amp;IF(ISBLANK(D128),"","=")&amp;D128</f>
        <v>;Spindle</v>
      </c>
    </row>
    <row r="129" spans="1:18" x14ac:dyDescent="0.25">
      <c r="A129">
        <v>128</v>
      </c>
      <c r="B129" t="s">
        <v>254</v>
      </c>
      <c r="C129" s="45" t="s">
        <v>377</v>
      </c>
      <c r="D129" s="46">
        <v>25060</v>
      </c>
      <c r="E129" s="29">
        <v>480</v>
      </c>
      <c r="F129" s="29">
        <v>483</v>
      </c>
      <c r="G129" s="29"/>
      <c r="H129" s="59" t="str">
        <f>DEC2HEX(I129)</f>
        <v>3A</v>
      </c>
      <c r="I129" s="30">
        <v>58</v>
      </c>
      <c r="J129" s="30" t="str">
        <f>CHAR(I129)</f>
        <v>:</v>
      </c>
      <c r="L129">
        <f>IF(ISBLANK(D129),IF(E129&gt;0,F129-E129+1,0),0)</f>
        <v>0</v>
      </c>
      <c r="M129" s="54">
        <f>IF(ISBLANK(D129),0,IF(G129=0,F129-E129+1,0))</f>
        <v>4</v>
      </c>
      <c r="Q129" s="51" t="str">
        <f>C129&amp;IF(ISBLANK(D129),"","=")&amp;D129</f>
        <v>MaxSpeed_Spindle=25060</v>
      </c>
      <c r="R129" s="23"/>
    </row>
    <row r="130" spans="1:18" x14ac:dyDescent="0.25">
      <c r="A130">
        <v>129</v>
      </c>
      <c r="B130" t="s">
        <v>254</v>
      </c>
      <c r="C130" s="45" t="s">
        <v>378</v>
      </c>
      <c r="D130" s="46">
        <v>20061</v>
      </c>
      <c r="E130" s="29">
        <v>648</v>
      </c>
      <c r="F130" s="29">
        <v>651</v>
      </c>
      <c r="G130" s="29"/>
      <c r="H130" s="59" t="str">
        <f>DEC2HEX(I130)</f>
        <v>3B</v>
      </c>
      <c r="I130" s="30">
        <v>59</v>
      </c>
      <c r="J130" s="30" t="str">
        <f>CHAR(I130)</f>
        <v>;</v>
      </c>
      <c r="L130">
        <f>IF(ISBLANK(D130),IF(E130&gt;0,F130-E130+1,0),0)</f>
        <v>0</v>
      </c>
      <c r="M130" s="54">
        <f>IF(ISBLANK(D130),0,IF(G130=0,F130-E130+1,0))</f>
        <v>4</v>
      </c>
      <c r="Q130" s="51" t="str">
        <f>C130&amp;IF(ISBLANK(D130),"","=")&amp;D130</f>
        <v>Accel_Spindle=20061</v>
      </c>
      <c r="R130" s="23"/>
    </row>
    <row r="131" spans="1:18" x14ac:dyDescent="0.25">
      <c r="A131">
        <v>130</v>
      </c>
      <c r="B131" t="s">
        <v>254</v>
      </c>
      <c r="C131" s="45" t="s">
        <v>387</v>
      </c>
      <c r="D131" s="46">
        <v>61</v>
      </c>
      <c r="E131" s="29">
        <v>88</v>
      </c>
      <c r="F131" s="29">
        <v>91</v>
      </c>
      <c r="G131" s="29">
        <v>0</v>
      </c>
      <c r="H131" s="59" t="str">
        <f>DEC2HEX(I131)</f>
        <v>6E</v>
      </c>
      <c r="I131" s="30">
        <v>110</v>
      </c>
      <c r="J131" s="30" t="str">
        <f>CHAR(I131)</f>
        <v>n</v>
      </c>
      <c r="L131">
        <f>IF(ISBLANK(D131),IF(E131&gt;0,F131-E131+1,0),0)</f>
        <v>0</v>
      </c>
      <c r="M131" s="54">
        <f>IF(ISBLANK(D131),0,IF(G131=0,F131-E131+1,0))</f>
        <v>4</v>
      </c>
      <c r="Q131" s="51" t="str">
        <f>C131&amp;IF(ISBLANK(D131),"","=")&amp;D131</f>
        <v>SpeedPercentage_Spindle=61</v>
      </c>
    </row>
    <row r="132" spans="1:18" x14ac:dyDescent="0.25">
      <c r="A132">
        <v>131</v>
      </c>
      <c r="B132" t="s">
        <v>254</v>
      </c>
      <c r="C132" s="45" t="s">
        <v>471</v>
      </c>
      <c r="D132" s="46">
        <v>39.450000000000003</v>
      </c>
      <c r="E132" s="61">
        <v>388</v>
      </c>
      <c r="F132" s="61">
        <v>395</v>
      </c>
      <c r="G132" s="29"/>
      <c r="H132" s="59" t="str">
        <f>DEC2HEX(I132)</f>
        <v>7E</v>
      </c>
      <c r="I132" s="30">
        <v>126</v>
      </c>
      <c r="J132" s="30" t="str">
        <f>CHAR(I132)</f>
        <v>~</v>
      </c>
      <c r="L132">
        <f>IF(ISBLANK(D132),IF(E132&gt;0,F132-E132+1,0),0)</f>
        <v>0</v>
      </c>
      <c r="M132" s="54">
        <f>IF(ISBLANK(D132),0,IF(G132=0,F132-E132+1,0))</f>
        <v>8</v>
      </c>
      <c r="Q132" s="51" t="str">
        <f>C132&amp;IF(ISBLANK(D132),"","=")&amp;D132</f>
        <v>TargetDistance_Spindle=39.45</v>
      </c>
      <c r="R132" s="23"/>
    </row>
    <row r="133" spans="1:18" x14ac:dyDescent="0.25">
      <c r="A133">
        <v>132</v>
      </c>
      <c r="C133" s="45" t="s">
        <v>299</v>
      </c>
      <c r="D133" s="46"/>
      <c r="E133" s="4"/>
      <c r="F133" s="4"/>
      <c r="G133" s="4"/>
      <c r="Q133" s="51" t="str">
        <f>C133&amp;IF(ISBLANK(D133),"","=")&amp;D133</f>
        <v>;Z Axis</v>
      </c>
    </row>
    <row r="134" spans="1:18" x14ac:dyDescent="0.25">
      <c r="A134">
        <v>133</v>
      </c>
      <c r="B134" t="s">
        <v>254</v>
      </c>
      <c r="C134" s="45" t="s">
        <v>388</v>
      </c>
      <c r="D134" s="46">
        <v>5062</v>
      </c>
      <c r="E134" s="29">
        <v>148</v>
      </c>
      <c r="F134" s="29">
        <v>151</v>
      </c>
      <c r="G134" s="29"/>
      <c r="H134" s="59" t="str">
        <f>DEC2HEX(I134)</f>
        <v>B9</v>
      </c>
      <c r="I134" s="30">
        <v>185</v>
      </c>
      <c r="J134" s="30" t="str">
        <f>CHAR(I134)</f>
        <v>¹</v>
      </c>
      <c r="K134" s="46"/>
      <c r="L134">
        <f>IF(ISBLANK(D134),IF(E134&gt;0,F134-E134+1,0),0)</f>
        <v>0</v>
      </c>
      <c r="M134" s="54">
        <f>IF(ISBLANK(D134),0,IF(G134=0,F134-E134+1,0))</f>
        <v>4</v>
      </c>
      <c r="Q134" s="51" t="str">
        <f>C134&amp;IF(ISBLANK(D134),"","=")&amp;D134</f>
        <v>MaxSpeed_Z=5062</v>
      </c>
      <c r="R134" s="23"/>
    </row>
    <row r="135" spans="1:18" x14ac:dyDescent="0.25">
      <c r="A135">
        <v>134</v>
      </c>
      <c r="B135" t="s">
        <v>254</v>
      </c>
      <c r="C135" s="45" t="s">
        <v>389</v>
      </c>
      <c r="D135" s="46">
        <v>5063</v>
      </c>
      <c r="E135" s="30">
        <v>432</v>
      </c>
      <c r="F135" s="30">
        <v>435</v>
      </c>
      <c r="G135" s="30"/>
      <c r="H135" s="59" t="str">
        <f>DEC2HEX(I135)</f>
        <v>BA</v>
      </c>
      <c r="I135" s="30">
        <v>186</v>
      </c>
      <c r="J135" s="30" t="str">
        <f>CHAR(I135)</f>
        <v>º</v>
      </c>
      <c r="K135" s="46"/>
      <c r="L135">
        <f>IF(ISBLANK(D135),IF(E135&gt;0,F135-E135+1,0),0)</f>
        <v>0</v>
      </c>
      <c r="M135" s="54">
        <f>IF(ISBLANK(D135),0,IF(G135=0,F135-E135+1,0))</f>
        <v>4</v>
      </c>
      <c r="Q135" s="51" t="str">
        <f>C135&amp;IF(ISBLANK(D135),"","=")&amp;D135</f>
        <v>Accel_Z=5063</v>
      </c>
      <c r="R135" s="23"/>
    </row>
    <row r="136" spans="1:18" x14ac:dyDescent="0.25">
      <c r="A136">
        <v>135</v>
      </c>
      <c r="B136" t="s">
        <v>254</v>
      </c>
      <c r="C136" s="45" t="s">
        <v>390</v>
      </c>
      <c r="D136" s="46">
        <v>64</v>
      </c>
      <c r="E136" s="29">
        <v>76</v>
      </c>
      <c r="F136" s="29">
        <v>79</v>
      </c>
      <c r="G136" s="29">
        <v>0</v>
      </c>
      <c r="H136" s="59" t="str">
        <f>DEC2HEX(I136)</f>
        <v>6F</v>
      </c>
      <c r="I136" s="29">
        <v>111</v>
      </c>
      <c r="J136" s="30" t="str">
        <f>CHAR(I136)</f>
        <v>o</v>
      </c>
      <c r="L136">
        <f>IF(ISBLANK(D136),IF(E136&gt;0,F136-E136+1,0),0)</f>
        <v>0</v>
      </c>
      <c r="M136" s="54">
        <f>IF(ISBLANK(D136),0,IF(G136=0,F136-E136+1,0))</f>
        <v>4</v>
      </c>
      <c r="Q136" s="51" t="str">
        <f>C136&amp;IF(ISBLANK(D136),"","=")&amp;D136</f>
        <v>SpeedPercentage_Z=64</v>
      </c>
    </row>
    <row r="137" spans="1:18" x14ac:dyDescent="0.25">
      <c r="A137">
        <v>136</v>
      </c>
      <c r="B137" t="s">
        <v>254</v>
      </c>
      <c r="C137" s="45" t="s">
        <v>472</v>
      </c>
      <c r="D137" s="46">
        <v>2.1230000000000002</v>
      </c>
      <c r="E137" s="30">
        <v>652</v>
      </c>
      <c r="F137" s="30">
        <v>659</v>
      </c>
      <c r="G137" s="29"/>
      <c r="H137" s="59" t="str">
        <f>DEC2HEX(I137)</f>
        <v>67</v>
      </c>
      <c r="I137" s="30">
        <v>103</v>
      </c>
      <c r="J137" s="30" t="str">
        <f>CHAR(I137)</f>
        <v>g</v>
      </c>
      <c r="L137">
        <f>IF(ISBLANK(D137),IF(E137&gt;0,F137-E137+1,0),0)</f>
        <v>0</v>
      </c>
      <c r="M137" s="54">
        <f>IF(ISBLANK(D137),0,IF(G137=0,F137-E137+1,0))</f>
        <v>8</v>
      </c>
      <c r="Q137" s="51" t="str">
        <f>C137&amp;IF(ISBLANK(D137),"","=")&amp;D137</f>
        <v>TargetDistance_Z=2.123</v>
      </c>
    </row>
    <row r="138" spans="1:18" x14ac:dyDescent="0.25">
      <c r="A138">
        <v>137</v>
      </c>
      <c r="C138" s="45" t="s">
        <v>300</v>
      </c>
      <c r="D138" s="46"/>
      <c r="E138" s="4"/>
      <c r="F138" s="4"/>
      <c r="G138" s="4"/>
      <c r="Q138" s="51" t="str">
        <f>C138&amp;IF(ISBLANK(D138),"","=")&amp;D138</f>
        <v>;X Axis</v>
      </c>
    </row>
    <row r="139" spans="1:18" x14ac:dyDescent="0.25">
      <c r="A139">
        <v>138</v>
      </c>
      <c r="B139" t="s">
        <v>254</v>
      </c>
      <c r="C139" s="45" t="s">
        <v>391</v>
      </c>
      <c r="D139" s="46">
        <v>5065</v>
      </c>
      <c r="E139" s="29">
        <v>164</v>
      </c>
      <c r="F139" s="29">
        <v>167</v>
      </c>
      <c r="G139" s="29"/>
      <c r="H139" s="59" t="str">
        <f>DEC2HEX(I139)</f>
        <v>B9</v>
      </c>
      <c r="I139" s="30">
        <v>185</v>
      </c>
      <c r="J139" s="30" t="str">
        <f>CHAR(I139)</f>
        <v>¹</v>
      </c>
      <c r="K139" s="46"/>
      <c r="L139">
        <f>IF(ISBLANK(D139),IF(E139&gt;0,F139-E139+1,0),0)</f>
        <v>0</v>
      </c>
      <c r="M139" s="54">
        <f>IF(ISBLANK(D139),0,IF(G139=0,F139-E139+1,0))</f>
        <v>4</v>
      </c>
      <c r="Q139" s="51" t="str">
        <f>C139&amp;IF(ISBLANK(D139),"","=")&amp;D139</f>
        <v>MaxSpeed_X=5065</v>
      </c>
      <c r="R139" s="43"/>
    </row>
    <row r="140" spans="1:18" x14ac:dyDescent="0.25">
      <c r="A140">
        <v>139</v>
      </c>
      <c r="B140" t="s">
        <v>254</v>
      </c>
      <c r="C140" s="45" t="s">
        <v>392</v>
      </c>
      <c r="D140" s="46">
        <v>5066</v>
      </c>
      <c r="E140" s="29">
        <v>456</v>
      </c>
      <c r="F140" s="29">
        <v>459</v>
      </c>
      <c r="G140" s="29"/>
      <c r="H140" s="59" t="str">
        <f>DEC2HEX(I140)</f>
        <v>BA</v>
      </c>
      <c r="I140" s="30">
        <v>186</v>
      </c>
      <c r="J140" s="30" t="str">
        <f>CHAR(I140)</f>
        <v>º</v>
      </c>
      <c r="K140" s="46"/>
      <c r="L140">
        <f>IF(ISBLANK(D140),IF(E140&gt;0,F140-E140+1,0),0)</f>
        <v>0</v>
      </c>
      <c r="M140" s="54">
        <f>IF(ISBLANK(D140),0,IF(G140=0,F140-E140+1,0))</f>
        <v>4</v>
      </c>
      <c r="Q140" s="51" t="str">
        <f>C140&amp;IF(ISBLANK(D140),"","=")&amp;D140</f>
        <v>Accel_X=5066</v>
      </c>
      <c r="R140" s="23"/>
    </row>
    <row r="141" spans="1:18" x14ac:dyDescent="0.25">
      <c r="A141">
        <v>140</v>
      </c>
      <c r="B141" t="s">
        <v>254</v>
      </c>
      <c r="C141" s="45" t="s">
        <v>393</v>
      </c>
      <c r="D141" s="46">
        <v>67</v>
      </c>
      <c r="E141" s="29">
        <v>76</v>
      </c>
      <c r="F141" s="29">
        <v>79</v>
      </c>
      <c r="G141" s="29">
        <v>8</v>
      </c>
      <c r="H141" s="59" t="str">
        <f>DEC2HEX(I141)</f>
        <v>6F</v>
      </c>
      <c r="I141" s="29">
        <v>111</v>
      </c>
      <c r="J141" s="30" t="str">
        <f>CHAR(I141)</f>
        <v>o</v>
      </c>
      <c r="L141">
        <f>IF(ISBLANK(D141),IF(E141&gt;0,F141-E141+1,0),0)</f>
        <v>0</v>
      </c>
      <c r="M141" s="54">
        <f>IF(ISBLANK(D141),0,IF(G141=0,F141-E141+1,0))</f>
        <v>0</v>
      </c>
      <c r="Q141" s="51" t="str">
        <f>C141&amp;IF(ISBLANK(D141),"","=")&amp;D141</f>
        <v>SpeedPercentage_X=67</v>
      </c>
    </row>
    <row r="142" spans="1:18" x14ac:dyDescent="0.25">
      <c r="A142">
        <v>141</v>
      </c>
      <c r="B142" t="s">
        <v>254</v>
      </c>
      <c r="C142" s="45" t="s">
        <v>473</v>
      </c>
      <c r="D142" s="46">
        <v>3.5139999999999998</v>
      </c>
      <c r="E142" s="29">
        <v>140</v>
      </c>
      <c r="F142" s="29">
        <v>147</v>
      </c>
      <c r="G142" s="29"/>
      <c r="H142" s="59" t="str">
        <f>DEC2HEX(I142)</f>
        <v>68</v>
      </c>
      <c r="I142" s="30">
        <v>104</v>
      </c>
      <c r="J142" s="30" t="str">
        <f>CHAR(I142)</f>
        <v>h</v>
      </c>
      <c r="L142">
        <f>IF(ISBLANK(D142),IF(E142&gt;0,F142-E142+1,0),0)</f>
        <v>0</v>
      </c>
      <c r="M142" s="54">
        <f>IF(ISBLANK(D142),0,IF(G142=0,F142-E142+1,0))</f>
        <v>8</v>
      </c>
      <c r="Q142" s="51" t="str">
        <f>C142&amp;IF(ISBLANK(D142),"","=")&amp;D142</f>
        <v>TargetDistance_X=3.514</v>
      </c>
    </row>
    <row r="143" spans="1:18" x14ac:dyDescent="0.25">
      <c r="A143">
        <v>142</v>
      </c>
      <c r="C143" s="45" t="s">
        <v>302</v>
      </c>
      <c r="D143" s="46"/>
      <c r="E143" s="4"/>
      <c r="F143" s="4"/>
      <c r="G143" s="4"/>
      <c r="Q143" s="51" t="str">
        <f>C143&amp;IF(ISBLANK(D143),"","=")&amp;D143</f>
        <v>;M3 Axis</v>
      </c>
    </row>
    <row r="144" spans="1:18" x14ac:dyDescent="0.25">
      <c r="A144">
        <v>143</v>
      </c>
      <c r="B144" t="s">
        <v>254</v>
      </c>
      <c r="C144" s="45" t="s">
        <v>400</v>
      </c>
      <c r="D144" s="46">
        <v>5068</v>
      </c>
      <c r="E144" s="29">
        <v>108</v>
      </c>
      <c r="F144" s="30">
        <v>111</v>
      </c>
      <c r="G144" s="29"/>
      <c r="H144" s="59" t="str">
        <f>DEC2HEX(I144)</f>
        <v>B9</v>
      </c>
      <c r="I144" s="30">
        <v>185</v>
      </c>
      <c r="J144" s="30" t="str">
        <f>CHAR(I144)</f>
        <v>¹</v>
      </c>
      <c r="L144">
        <f>IF(ISBLANK(D144),IF(E144&gt;0,F144-E144+1,0),0)</f>
        <v>0</v>
      </c>
      <c r="M144" s="54">
        <f>IF(ISBLANK(D144),0,IF(G144=0,F144-E144+1,0))</f>
        <v>4</v>
      </c>
      <c r="Q144" s="51" t="str">
        <f>C144&amp;IF(ISBLANK(D144),"","=")&amp;D144</f>
        <v>MaxSpeed_M3=5068</v>
      </c>
    </row>
    <row r="145" spans="1:25" s="32" customFormat="1" x14ac:dyDescent="0.25">
      <c r="A145">
        <v>144</v>
      </c>
      <c r="B145" t="s">
        <v>254</v>
      </c>
      <c r="C145" s="45" t="s">
        <v>401</v>
      </c>
      <c r="D145" s="46">
        <v>5069</v>
      </c>
      <c r="E145" s="29">
        <v>476</v>
      </c>
      <c r="F145" s="29">
        <v>479</v>
      </c>
      <c r="G145" s="29"/>
      <c r="H145" s="59" t="str">
        <f>DEC2HEX(I145)</f>
        <v>BA</v>
      </c>
      <c r="I145" s="30">
        <v>186</v>
      </c>
      <c r="J145" s="30" t="str">
        <f>CHAR(I145)</f>
        <v>º</v>
      </c>
      <c r="K145" s="45"/>
      <c r="L145">
        <f>IF(ISBLANK(D145),IF(E145&gt;0,F145-E145+1,0),0)</f>
        <v>0</v>
      </c>
      <c r="M145" s="54">
        <f>IF(ISBLANK(D145),0,IF(G145=0,F145-E145+1,0))</f>
        <v>4</v>
      </c>
      <c r="N145" s="75"/>
      <c r="O145" s="75"/>
      <c r="P145" s="75"/>
      <c r="Q145" s="51" t="str">
        <f>C145&amp;IF(ISBLANK(D145),"","=")&amp;D145</f>
        <v>Accel_M3=5069</v>
      </c>
      <c r="R145" s="23"/>
      <c r="S145" s="4"/>
      <c r="T145" s="4"/>
      <c r="U145" s="4"/>
      <c r="V145" s="4"/>
      <c r="W145" s="4"/>
      <c r="X145" s="4"/>
      <c r="Y145" s="4"/>
    </row>
    <row r="146" spans="1:25" x14ac:dyDescent="0.25">
      <c r="A146">
        <v>145</v>
      </c>
      <c r="B146" t="s">
        <v>254</v>
      </c>
      <c r="C146" s="45" t="s">
        <v>402</v>
      </c>
      <c r="D146" s="46">
        <v>70</v>
      </c>
      <c r="E146" s="29">
        <v>76</v>
      </c>
      <c r="F146" s="29">
        <v>79</v>
      </c>
      <c r="G146" s="29">
        <v>16</v>
      </c>
      <c r="H146" s="59" t="str">
        <f>DEC2HEX(I146)</f>
        <v>6F</v>
      </c>
      <c r="I146" s="29">
        <v>111</v>
      </c>
      <c r="J146" s="30" t="str">
        <f>CHAR(I146)</f>
        <v>o</v>
      </c>
      <c r="L146">
        <f>IF(ISBLANK(D146),IF(E146&gt;0,F146-E146+1,0),0)</f>
        <v>0</v>
      </c>
      <c r="M146" s="54">
        <f>IF(ISBLANK(D146),0,IF(G146=0,F146-E146+1,0))</f>
        <v>0</v>
      </c>
      <c r="Q146" s="51" t="str">
        <f>C146&amp;IF(ISBLANK(D146),"","=")&amp;D146</f>
        <v>SpeedPercentage_M3=70</v>
      </c>
    </row>
    <row r="147" spans="1:25" x14ac:dyDescent="0.25">
      <c r="A147">
        <v>146</v>
      </c>
      <c r="B147" t="s">
        <v>254</v>
      </c>
      <c r="C147" s="45" t="s">
        <v>474</v>
      </c>
      <c r="D147" s="46">
        <v>1.369</v>
      </c>
      <c r="E147" s="29">
        <v>244</v>
      </c>
      <c r="F147" s="29">
        <v>251</v>
      </c>
      <c r="G147" s="29"/>
      <c r="H147" s="59" t="str">
        <f>DEC2HEX(I147)</f>
        <v>6A</v>
      </c>
      <c r="I147" s="30">
        <v>106</v>
      </c>
      <c r="J147" s="30" t="str">
        <f>CHAR(I147)</f>
        <v>j</v>
      </c>
      <c r="L147">
        <f>IF(ISBLANK(D147),IF(E147&gt;0,F147-E147+1,0),0)</f>
        <v>0</v>
      </c>
      <c r="M147" s="54">
        <f>IF(ISBLANK(D147),0,IF(G147=0,F147-E147+1,0))</f>
        <v>8</v>
      </c>
      <c r="Q147" s="51" t="str">
        <f>C147&amp;IF(ISBLANK(D147),"","=")&amp;D147</f>
        <v>TargetDistance_M3=1.369</v>
      </c>
      <c r="R147" s="23"/>
    </row>
    <row r="148" spans="1:25" x14ac:dyDescent="0.25">
      <c r="A148">
        <v>147</v>
      </c>
      <c r="C148" s="45" t="s">
        <v>303</v>
      </c>
      <c r="D148" s="46"/>
      <c r="E148" s="4"/>
      <c r="F148" s="4"/>
      <c r="G148" s="4"/>
      <c r="H148" s="57"/>
      <c r="I148" s="5"/>
      <c r="J148" s="5"/>
      <c r="Q148" s="51" t="str">
        <f>C148&amp;IF(ISBLANK(D148),"","=")&amp;D148</f>
        <v>;M4 Axis</v>
      </c>
    </row>
    <row r="149" spans="1:25" x14ac:dyDescent="0.25">
      <c r="A149">
        <v>148</v>
      </c>
      <c r="B149" t="s">
        <v>254</v>
      </c>
      <c r="C149" s="45" t="s">
        <v>403</v>
      </c>
      <c r="D149" s="46">
        <v>5068</v>
      </c>
      <c r="E149" s="30">
        <v>376</v>
      </c>
      <c r="F149" s="30">
        <v>379</v>
      </c>
      <c r="G149" s="30"/>
      <c r="H149" s="59" t="str">
        <f>DEC2HEX(I149)</f>
        <v>B9</v>
      </c>
      <c r="I149" s="30">
        <v>185</v>
      </c>
      <c r="J149" s="30" t="str">
        <f>CHAR(I149)</f>
        <v>¹</v>
      </c>
      <c r="L149">
        <f>IF(ISBLANK(D149),IF(E149&gt;0,F149-E149+1,0),0)</f>
        <v>0</v>
      </c>
      <c r="M149" s="54">
        <f>IF(ISBLANK(D149),0,IF(G149=0,F149-E149+1,0))</f>
        <v>4</v>
      </c>
      <c r="Q149" s="51" t="str">
        <f>C149&amp;IF(ISBLANK(D149),"","=")&amp;D149</f>
        <v>MaxSpeed_M4=5068</v>
      </c>
      <c r="R149" s="23"/>
    </row>
    <row r="150" spans="1:25" x14ac:dyDescent="0.25">
      <c r="A150">
        <v>149</v>
      </c>
      <c r="B150" t="s">
        <v>254</v>
      </c>
      <c r="C150" s="45" t="s">
        <v>404</v>
      </c>
      <c r="D150" s="46">
        <v>5069</v>
      </c>
      <c r="E150" s="30">
        <v>644</v>
      </c>
      <c r="F150" s="30">
        <v>647</v>
      </c>
      <c r="G150" s="30"/>
      <c r="H150" s="59" t="str">
        <f>DEC2HEX(I150)</f>
        <v>BA</v>
      </c>
      <c r="I150" s="30">
        <v>186</v>
      </c>
      <c r="J150" s="30" t="str">
        <f>CHAR(I150)</f>
        <v>º</v>
      </c>
      <c r="L150">
        <f>IF(ISBLANK(D150),IF(E150&gt;0,F150-E150+1,0),0)</f>
        <v>0</v>
      </c>
      <c r="M150" s="54">
        <f>IF(ISBLANK(D150),0,IF(G150=0,F150-E150+1,0))</f>
        <v>4</v>
      </c>
      <c r="Q150" s="51" t="str">
        <f>C150&amp;IF(ISBLANK(D150),"","=")&amp;D150</f>
        <v>Accel_M4=5069</v>
      </c>
      <c r="R150" s="23"/>
    </row>
    <row r="151" spans="1:25" x14ac:dyDescent="0.25">
      <c r="A151">
        <v>150</v>
      </c>
      <c r="B151" t="s">
        <v>254</v>
      </c>
      <c r="C151" s="45" t="s">
        <v>405</v>
      </c>
      <c r="D151" s="46">
        <v>70</v>
      </c>
      <c r="E151" s="29">
        <v>76</v>
      </c>
      <c r="F151" s="29">
        <v>79</v>
      </c>
      <c r="G151" s="29">
        <v>24</v>
      </c>
      <c r="H151" s="59" t="str">
        <f>DEC2HEX(I151)</f>
        <v>6F</v>
      </c>
      <c r="I151" s="29">
        <v>111</v>
      </c>
      <c r="J151" s="30" t="str">
        <f>CHAR(I151)</f>
        <v>o</v>
      </c>
      <c r="L151">
        <f>IF(ISBLANK(D151),IF(E151&gt;0,F151-E151+1,0),0)</f>
        <v>0</v>
      </c>
      <c r="M151" s="54">
        <f>IF(ISBLANK(D151),0,IF(G151=0,F151-E151+1,0))</f>
        <v>0</v>
      </c>
      <c r="Q151" s="51" t="str">
        <f>C151&amp;IF(ISBLANK(D151),"","=")&amp;D151</f>
        <v>SpeedPercentage_M4=70</v>
      </c>
    </row>
    <row r="152" spans="1:25" x14ac:dyDescent="0.25">
      <c r="A152">
        <v>151</v>
      </c>
      <c r="B152" t="s">
        <v>254</v>
      </c>
      <c r="C152" s="45" t="s">
        <v>475</v>
      </c>
      <c r="D152" s="46">
        <v>0.47799999999999998</v>
      </c>
      <c r="E152" s="29">
        <v>256</v>
      </c>
      <c r="F152" s="29">
        <v>263</v>
      </c>
      <c r="G152" s="29"/>
      <c r="H152" s="59" t="str">
        <f>DEC2HEX(I152)</f>
        <v>C7</v>
      </c>
      <c r="I152" s="30">
        <v>199</v>
      </c>
      <c r="J152" s="30" t="str">
        <f>CHAR(I152)</f>
        <v>Ç</v>
      </c>
      <c r="L152">
        <f>IF(ISBLANK(D152),IF(E152&gt;0,F152-E152+1,0),0)</f>
        <v>0</v>
      </c>
      <c r="M152" s="54">
        <f>IF(ISBLANK(D152),0,IF(G152=0,F152-E152+1,0))</f>
        <v>8</v>
      </c>
      <c r="Q152" s="51" t="str">
        <f>C152&amp;IF(ISBLANK(D152),"","=")&amp;D152</f>
        <v>TargetDistance_M4=0.478</v>
      </c>
      <c r="R152" s="23"/>
    </row>
    <row r="153" spans="1:25" x14ac:dyDescent="0.25">
      <c r="A153">
        <v>152</v>
      </c>
      <c r="C153" s="45" t="s">
        <v>242</v>
      </c>
      <c r="D153" s="46"/>
      <c r="E153" s="4"/>
      <c r="F153" s="4"/>
      <c r="G153" s="4"/>
      <c r="Q153" s="51" t="str">
        <f>C153&amp;IF(ISBLANK(D153),"","=")&amp;D153</f>
        <v>;</v>
      </c>
    </row>
    <row r="154" spans="1:25" x14ac:dyDescent="0.25">
      <c r="A154">
        <v>153</v>
      </c>
      <c r="B154" s="32"/>
      <c r="C154" s="47" t="s">
        <v>314</v>
      </c>
      <c r="D154" s="47"/>
      <c r="E154" s="32"/>
      <c r="F154" s="32"/>
      <c r="G154" s="32"/>
      <c r="H154" s="44"/>
      <c r="I154" s="32"/>
      <c r="J154" s="32"/>
      <c r="K154" s="47"/>
      <c r="L154" s="32"/>
      <c r="M154" s="55"/>
      <c r="Q154" s="51" t="str">
        <f>C154&amp;IF(ISBLANK(D154),"","=")&amp;D154</f>
        <v>[Index]</v>
      </c>
    </row>
    <row r="155" spans="1:25" x14ac:dyDescent="0.25">
      <c r="A155">
        <v>154</v>
      </c>
      <c r="C155" s="45" t="s">
        <v>242</v>
      </c>
      <c r="D155" s="46"/>
      <c r="E155" s="4"/>
      <c r="F155" s="4"/>
      <c r="G155" s="4"/>
      <c r="Q155" s="51" t="str">
        <f>C155&amp;IF(ISBLANK(D155),"","=")&amp;D155</f>
        <v>;</v>
      </c>
    </row>
    <row r="156" spans="1:25" x14ac:dyDescent="0.25">
      <c r="A156">
        <v>155</v>
      </c>
      <c r="C156" s="45" t="s">
        <v>310</v>
      </c>
      <c r="D156" s="46"/>
      <c r="E156" s="4"/>
      <c r="F156" s="4"/>
      <c r="G156" s="4"/>
      <c r="Q156" s="51" t="str">
        <f>C156&amp;IF(ISBLANK(D156),"","=")&amp;D156</f>
        <v>;Axis Ids:</v>
      </c>
    </row>
    <row r="157" spans="1:25" x14ac:dyDescent="0.25">
      <c r="A157">
        <v>156</v>
      </c>
      <c r="C157" s="45" t="s">
        <v>311</v>
      </c>
      <c r="D157" s="46"/>
      <c r="E157" s="4"/>
      <c r="F157" s="4"/>
      <c r="G157" s="4"/>
      <c r="Q157" s="51" t="str">
        <f>C157&amp;IF(ISBLANK(D157),"","=")&amp;D157</f>
        <v>;-----------------</v>
      </c>
    </row>
    <row r="158" spans="1:25" x14ac:dyDescent="0.25">
      <c r="A158">
        <v>157</v>
      </c>
      <c r="C158" s="45" t="s">
        <v>552</v>
      </c>
      <c r="D158" s="46"/>
      <c r="E158" s="4"/>
      <c r="F158" s="4"/>
      <c r="G158" s="4"/>
      <c r="Q158" s="51" t="str">
        <f>C158&amp;IF(ISBLANK(D158),"","=")&amp;D158</f>
        <v>;M3=3</v>
      </c>
    </row>
    <row r="159" spans="1:25" x14ac:dyDescent="0.25">
      <c r="A159">
        <v>158</v>
      </c>
      <c r="C159" s="45" t="s">
        <v>553</v>
      </c>
      <c r="D159" s="46"/>
      <c r="E159" s="4"/>
      <c r="F159" s="4"/>
      <c r="G159" s="4"/>
      <c r="Q159" s="51" t="str">
        <f>C159&amp;IF(ISBLANK(D159),"","=")&amp;D159</f>
        <v>;M4=4</v>
      </c>
    </row>
    <row r="160" spans="1:25" x14ac:dyDescent="0.25">
      <c r="A160">
        <v>159</v>
      </c>
      <c r="C160" s="45" t="s">
        <v>549</v>
      </c>
      <c r="D160" s="46"/>
      <c r="E160" s="4"/>
      <c r="F160" s="4"/>
      <c r="G160" s="4"/>
      <c r="Q160" s="51" t="str">
        <f>C160&amp;IF(ISBLANK(D160),"","=")&amp;D160</f>
        <v>;Spindle=0</v>
      </c>
    </row>
    <row r="161" spans="1:17" x14ac:dyDescent="0.25">
      <c r="A161">
        <v>160</v>
      </c>
      <c r="C161" s="45" t="s">
        <v>311</v>
      </c>
      <c r="D161" s="46"/>
      <c r="E161" s="4"/>
      <c r="F161" s="4"/>
      <c r="G161" s="4"/>
      <c r="Q161" s="51" t="str">
        <f>C161&amp;IF(ISBLANK(D161),"","=")&amp;D161</f>
        <v>;-----------------</v>
      </c>
    </row>
    <row r="162" spans="1:17" x14ac:dyDescent="0.25">
      <c r="A162">
        <v>161</v>
      </c>
      <c r="B162" t="s">
        <v>0</v>
      </c>
      <c r="C162" s="45" t="s">
        <v>280</v>
      </c>
      <c r="D162" s="46">
        <v>0</v>
      </c>
      <c r="E162" s="29">
        <v>104</v>
      </c>
      <c r="F162" s="29">
        <v>107</v>
      </c>
      <c r="G162" s="29">
        <v>8</v>
      </c>
      <c r="H162" s="59" t="str">
        <f>DEC2HEX(I162)</f>
        <v>42</v>
      </c>
      <c r="I162" s="30">
        <v>66</v>
      </c>
      <c r="J162" s="30" t="str">
        <f>CHAR(I162)</f>
        <v>B</v>
      </c>
      <c r="L162">
        <f>IF(ISBLANK(D162),IF(E162&gt;0,F162-E162+1,0),0)</f>
        <v>0</v>
      </c>
      <c r="M162" s="54">
        <f>IF(ISBLANK(D162),0,IF(G162=0,F162-E162+1,0))</f>
        <v>0</v>
      </c>
      <c r="Q162" s="51" t="str">
        <f>C162&amp;IF(ISBLANK(D162),"","=")&amp;D162</f>
        <v>AxisId=0</v>
      </c>
    </row>
    <row r="163" spans="1:17" x14ac:dyDescent="0.25">
      <c r="A163">
        <v>162</v>
      </c>
      <c r="B163" t="s">
        <v>0</v>
      </c>
      <c r="C163" s="45" t="s">
        <v>34</v>
      </c>
      <c r="D163" s="46">
        <v>1</v>
      </c>
      <c r="E163" s="29">
        <v>104</v>
      </c>
      <c r="F163" s="29">
        <v>107</v>
      </c>
      <c r="G163" s="29">
        <v>16</v>
      </c>
      <c r="H163" s="59" t="str">
        <f>DEC2HEX(I163)</f>
        <v>F6</v>
      </c>
      <c r="I163" s="30">
        <v>246</v>
      </c>
      <c r="J163" s="30" t="str">
        <f>CHAR(I163)</f>
        <v>ö</v>
      </c>
      <c r="L163">
        <f>IF(ISBLANK(D163),IF(E163&gt;0,F163-E163+1,0),0)</f>
        <v>0</v>
      </c>
      <c r="M163" s="54">
        <f>IF(ISBLANK(D163),0,IF(G163=0,F163-E163+1,0))</f>
        <v>0</v>
      </c>
      <c r="Q163" s="51" t="str">
        <f>C163&amp;IF(ISBLANK(D163),"","=")&amp;D163</f>
        <v>IndexId=1</v>
      </c>
    </row>
    <row r="164" spans="1:17" x14ac:dyDescent="0.25">
      <c r="A164">
        <v>163</v>
      </c>
      <c r="C164" s="45" t="s">
        <v>298</v>
      </c>
      <c r="D164" s="46"/>
      <c r="E164" s="4"/>
      <c r="F164" s="4"/>
      <c r="G164" s="4"/>
      <c r="Q164" s="51" t="str">
        <f>C164&amp;IF(ISBLANK(D164),"","=")&amp;D164</f>
        <v>; Spindle</v>
      </c>
    </row>
    <row r="165" spans="1:17" x14ac:dyDescent="0.25">
      <c r="A165">
        <v>164</v>
      </c>
      <c r="B165" t="s">
        <v>0</v>
      </c>
      <c r="C165" s="45" t="s">
        <v>377</v>
      </c>
      <c r="D165" s="46">
        <v>5070</v>
      </c>
      <c r="E165" s="29">
        <v>904</v>
      </c>
      <c r="F165" s="29">
        <v>907</v>
      </c>
      <c r="G165" s="29"/>
      <c r="H165" s="59" t="str">
        <f>DEC2HEX(I165)</f>
        <v>3A</v>
      </c>
      <c r="I165" s="30">
        <v>58</v>
      </c>
      <c r="J165" s="30" t="str">
        <f>CHAR(I165)</f>
        <v>:</v>
      </c>
      <c r="L165">
        <f>IF(ISBLANK(D165),IF(E165&gt;0,F165-E165+1,0),0)</f>
        <v>0</v>
      </c>
      <c r="M165" s="54">
        <f>IF(ISBLANK(D165),0,IF(G165=0,F165-E165+1,0))</f>
        <v>4</v>
      </c>
      <c r="Q165" s="51" t="str">
        <f>C165&amp;IF(ISBLANK(D165),"","=")&amp;D165</f>
        <v>MaxSpeed_Spindle=5070</v>
      </c>
    </row>
    <row r="166" spans="1:17" x14ac:dyDescent="0.25">
      <c r="A166">
        <v>165</v>
      </c>
      <c r="B166" t="s">
        <v>0</v>
      </c>
      <c r="C166" s="45" t="s">
        <v>378</v>
      </c>
      <c r="D166" s="46">
        <v>5071</v>
      </c>
      <c r="E166" s="29">
        <v>944</v>
      </c>
      <c r="F166" s="29">
        <v>947</v>
      </c>
      <c r="G166" s="29"/>
      <c r="H166" s="59" t="str">
        <f>DEC2HEX(I166)</f>
        <v>3B</v>
      </c>
      <c r="I166" s="30">
        <v>59</v>
      </c>
      <c r="J166" s="30" t="str">
        <f>CHAR(I166)</f>
        <v>;</v>
      </c>
      <c r="L166">
        <f>IF(ISBLANK(D166),IF(E166&gt;0,F166-E166+1,0),0)</f>
        <v>0</v>
      </c>
      <c r="M166" s="54">
        <f>IF(ISBLANK(D166),0,IF(G166=0,F166-E166+1,0))</f>
        <v>4</v>
      </c>
      <c r="Q166" s="51" t="str">
        <f>C166&amp;IF(ISBLANK(D166),"","=")&amp;D166</f>
        <v>Accel_Spindle=5071</v>
      </c>
    </row>
    <row r="167" spans="1:17" x14ac:dyDescent="0.25">
      <c r="A167">
        <v>166</v>
      </c>
      <c r="B167" t="s">
        <v>0</v>
      </c>
      <c r="C167" s="45" t="s">
        <v>387</v>
      </c>
      <c r="D167" s="46">
        <v>72</v>
      </c>
      <c r="E167" s="29">
        <v>104</v>
      </c>
      <c r="F167" s="29">
        <v>107</v>
      </c>
      <c r="G167" s="29">
        <v>0</v>
      </c>
      <c r="H167" s="59" t="str">
        <f>DEC2HEX(I167)</f>
        <v>6E</v>
      </c>
      <c r="I167" s="30">
        <v>110</v>
      </c>
      <c r="J167" s="30" t="str">
        <f>CHAR(I167)</f>
        <v>n</v>
      </c>
      <c r="L167">
        <f>IF(ISBLANK(D167),IF(E167&gt;0,F167-E167+1,0),0)</f>
        <v>0</v>
      </c>
      <c r="M167" s="54">
        <f>IF(ISBLANK(D167),0,IF(G167=0,F167-E167+1,0))</f>
        <v>4</v>
      </c>
      <c r="Q167" s="51" t="str">
        <f>C167&amp;IF(ISBLANK(D167),"","=")&amp;D167</f>
        <v>SpeedPercentage_Spindle=72</v>
      </c>
    </row>
    <row r="168" spans="1:17" x14ac:dyDescent="0.25">
      <c r="A168">
        <v>167</v>
      </c>
      <c r="C168" s="45" t="s">
        <v>315</v>
      </c>
      <c r="D168" s="46"/>
      <c r="E168" s="4"/>
      <c r="F168" s="4"/>
      <c r="G168" s="4"/>
      <c r="Q168" s="51" t="str">
        <f>C168&amp;IF(ISBLANK(D168),"","=")&amp;D168</f>
        <v>; M3</v>
      </c>
    </row>
    <row r="169" spans="1:17" x14ac:dyDescent="0.25">
      <c r="A169">
        <v>168</v>
      </c>
      <c r="B169" t="s">
        <v>0</v>
      </c>
      <c r="C169" s="45" t="s">
        <v>400</v>
      </c>
      <c r="D169" s="46">
        <v>5072</v>
      </c>
      <c r="E169" s="29">
        <v>32</v>
      </c>
      <c r="F169" s="29">
        <v>35</v>
      </c>
      <c r="G169" s="29"/>
      <c r="H169" s="59" t="str">
        <f>DEC2HEX(I169)</f>
        <v>B9</v>
      </c>
      <c r="I169" s="30">
        <v>185</v>
      </c>
      <c r="J169" s="30" t="str">
        <f>CHAR(I169)</f>
        <v>¹</v>
      </c>
      <c r="L169">
        <f>IF(ISBLANK(D169),IF(E169&gt;0,F169-E169+1,0),0)</f>
        <v>0</v>
      </c>
      <c r="M169" s="54">
        <f>IF(ISBLANK(D169),0,IF(G169=0,F169-E169+1,0))</f>
        <v>4</v>
      </c>
      <c r="Q169" s="51" t="str">
        <f>C169&amp;IF(ISBLANK(D169),"","=")&amp;D169</f>
        <v>MaxSpeed_M3=5072</v>
      </c>
    </row>
    <row r="170" spans="1:17" x14ac:dyDescent="0.25">
      <c r="A170">
        <v>169</v>
      </c>
      <c r="B170" t="s">
        <v>0</v>
      </c>
      <c r="C170" s="45" t="s">
        <v>401</v>
      </c>
      <c r="D170" s="46">
        <v>5073</v>
      </c>
      <c r="E170" s="29">
        <v>44</v>
      </c>
      <c r="F170" s="29">
        <v>47</v>
      </c>
      <c r="G170" s="29"/>
      <c r="H170" s="59" t="str">
        <f>DEC2HEX(I170)</f>
        <v>BA</v>
      </c>
      <c r="I170" s="30">
        <v>186</v>
      </c>
      <c r="J170" s="30" t="str">
        <f>CHAR(I170)</f>
        <v>º</v>
      </c>
      <c r="L170">
        <f>IF(ISBLANK(D170),IF(E170&gt;0,F170-E170+1,0),0)</f>
        <v>0</v>
      </c>
      <c r="M170" s="54">
        <f>IF(ISBLANK(D170),0,IF(G170=0,F170-E170+1,0))</f>
        <v>4</v>
      </c>
      <c r="Q170" s="51" t="str">
        <f>C170&amp;IF(ISBLANK(D170),"","=")&amp;D170</f>
        <v>Accel_M3=5073</v>
      </c>
    </row>
    <row r="171" spans="1:17" x14ac:dyDescent="0.25">
      <c r="A171">
        <v>170</v>
      </c>
      <c r="B171" t="s">
        <v>0</v>
      </c>
      <c r="C171" s="45" t="s">
        <v>402</v>
      </c>
      <c r="D171" s="46">
        <v>73</v>
      </c>
      <c r="E171" s="29">
        <v>368</v>
      </c>
      <c r="F171" s="29">
        <v>371</v>
      </c>
      <c r="G171" s="29">
        <v>16</v>
      </c>
      <c r="H171" s="59" t="str">
        <f>DEC2HEX(I171)</f>
        <v>6F</v>
      </c>
      <c r="I171" s="29">
        <v>111</v>
      </c>
      <c r="J171" s="30" t="str">
        <f>CHAR(I171)</f>
        <v>o</v>
      </c>
      <c r="L171">
        <f>IF(ISBLANK(D171),IF(E171&gt;0,F171-E171+1,0),0)</f>
        <v>0</v>
      </c>
      <c r="M171" s="54">
        <f>IF(ISBLANK(D171),0,IF(G171=0,F171-E171+1,0))</f>
        <v>0</v>
      </c>
      <c r="Q171" s="51" t="str">
        <f>C171&amp;IF(ISBLANK(D171),"","=")&amp;D171</f>
        <v>SpeedPercentage_M3=73</v>
      </c>
    </row>
    <row r="172" spans="1:17" x14ac:dyDescent="0.25">
      <c r="A172">
        <v>171</v>
      </c>
      <c r="C172" s="45" t="s">
        <v>316</v>
      </c>
      <c r="D172" s="46"/>
      <c r="E172" s="4"/>
      <c r="F172" s="4"/>
      <c r="G172" s="4"/>
      <c r="Q172" s="51" t="str">
        <f>C172&amp;IF(ISBLANK(D172),"","=")&amp;D172</f>
        <v>; M4</v>
      </c>
    </row>
    <row r="173" spans="1:17" x14ac:dyDescent="0.25">
      <c r="A173">
        <v>172</v>
      </c>
      <c r="B173" t="s">
        <v>0</v>
      </c>
      <c r="C173" s="45" t="s">
        <v>403</v>
      </c>
      <c r="D173" s="46">
        <v>5072</v>
      </c>
      <c r="E173" s="30">
        <v>508</v>
      </c>
      <c r="F173" s="30">
        <v>511</v>
      </c>
      <c r="G173" s="30"/>
      <c r="H173" s="59" t="str">
        <f>DEC2HEX(I173)</f>
        <v>B9</v>
      </c>
      <c r="I173" s="30">
        <v>185</v>
      </c>
      <c r="J173" s="30" t="str">
        <f>CHAR(I173)</f>
        <v>¹</v>
      </c>
      <c r="L173">
        <f>IF(ISBLANK(D173),IF(E173&gt;0,F173-E173+1,0),0)</f>
        <v>0</v>
      </c>
      <c r="M173" s="54">
        <f>IF(ISBLANK(D173),0,IF(G173=0,F173-E173+1,0))</f>
        <v>4</v>
      </c>
      <c r="Q173" s="51" t="str">
        <f>C173&amp;IF(ISBLANK(D173),"","=")&amp;D173</f>
        <v>MaxSpeed_M4=5072</v>
      </c>
    </row>
    <row r="174" spans="1:17" x14ac:dyDescent="0.25">
      <c r="A174">
        <v>173</v>
      </c>
      <c r="B174" t="s">
        <v>0</v>
      </c>
      <c r="C174" s="45" t="s">
        <v>404</v>
      </c>
      <c r="D174" s="46">
        <v>5073</v>
      </c>
      <c r="E174" s="29">
        <v>560</v>
      </c>
      <c r="F174" s="29">
        <v>563</v>
      </c>
      <c r="G174" s="29"/>
      <c r="H174" s="59" t="str">
        <f>DEC2HEX(I174)</f>
        <v>BA</v>
      </c>
      <c r="I174" s="30">
        <v>186</v>
      </c>
      <c r="J174" s="30" t="str">
        <f>CHAR(I174)</f>
        <v>º</v>
      </c>
      <c r="L174">
        <f>IF(ISBLANK(D174),IF(E174&gt;0,F174-E174+1,0),0)</f>
        <v>0</v>
      </c>
      <c r="M174" s="54">
        <f>IF(ISBLANK(D174),0,IF(G174=0,F174-E174+1,0))</f>
        <v>4</v>
      </c>
      <c r="Q174" s="51" t="str">
        <f>C174&amp;IF(ISBLANK(D174),"","=")&amp;D174</f>
        <v>Accel_M4=5073</v>
      </c>
    </row>
    <row r="175" spans="1:17" x14ac:dyDescent="0.25">
      <c r="A175">
        <v>174</v>
      </c>
      <c r="B175" t="s">
        <v>0</v>
      </c>
      <c r="C175" s="45" t="s">
        <v>405</v>
      </c>
      <c r="D175" s="46">
        <v>85</v>
      </c>
      <c r="E175" s="29">
        <v>368</v>
      </c>
      <c r="F175" s="29">
        <v>371</v>
      </c>
      <c r="G175" s="29">
        <v>24</v>
      </c>
      <c r="H175" s="59" t="str">
        <f>DEC2HEX(I175)</f>
        <v>6F</v>
      </c>
      <c r="I175" s="29">
        <v>111</v>
      </c>
      <c r="J175" s="30" t="str">
        <f>CHAR(I175)</f>
        <v>o</v>
      </c>
      <c r="L175">
        <f>IF(ISBLANK(D175),IF(E175&gt;0,F175-E175+1,0),0)</f>
        <v>0</v>
      </c>
      <c r="M175" s="54">
        <f>IF(ISBLANK(D175),0,IF(G175=0,F175-E175+1,0))</f>
        <v>0</v>
      </c>
      <c r="Q175" s="51" t="str">
        <f>C175&amp;IF(ISBLANK(D175),"","=")&amp;D175</f>
        <v>SpeedPercentage_M4=85</v>
      </c>
    </row>
    <row r="176" spans="1:17" x14ac:dyDescent="0.25">
      <c r="A176">
        <v>175</v>
      </c>
      <c r="C176" s="45" t="s">
        <v>311</v>
      </c>
      <c r="D176" s="46"/>
      <c r="E176" s="4"/>
      <c r="F176" s="4"/>
      <c r="G176" s="4"/>
      <c r="Q176" s="51" t="str">
        <f>C176&amp;IF(ISBLANK(D176),"","=")&amp;D176</f>
        <v>;-----------------</v>
      </c>
    </row>
    <row r="177" spans="1:17" x14ac:dyDescent="0.25">
      <c r="A177">
        <v>176</v>
      </c>
      <c r="C177" s="45" t="s">
        <v>317</v>
      </c>
      <c r="D177" s="46"/>
      <c r="E177" s="4"/>
      <c r="F177" s="4"/>
      <c r="G177" s="4"/>
      <c r="Q177" s="51" t="str">
        <f>C177&amp;IF(ISBLANK(D177),"","=")&amp;D177</f>
        <v>;Division:0  Degrees:2</v>
      </c>
    </row>
    <row r="178" spans="1:17" x14ac:dyDescent="0.25">
      <c r="A178">
        <v>177</v>
      </c>
      <c r="C178" s="45" t="s">
        <v>318</v>
      </c>
      <c r="D178" s="46"/>
      <c r="E178" s="4"/>
      <c r="F178" s="4"/>
      <c r="G178" s="4"/>
      <c r="Q178" s="51" t="str">
        <f>C178&amp;IF(ISBLANK(D178),"","=")&amp;D178</f>
        <v>;Fixed:0  File:1</v>
      </c>
    </row>
    <row r="179" spans="1:17" x14ac:dyDescent="0.25">
      <c r="A179">
        <v>178</v>
      </c>
      <c r="C179" s="45" t="s">
        <v>311</v>
      </c>
      <c r="D179" s="46"/>
      <c r="E179" s="4"/>
      <c r="F179" s="4"/>
      <c r="G179" s="4"/>
      <c r="Q179" s="51" t="str">
        <f>C179&amp;IF(ISBLANK(D179),"","=")&amp;D179</f>
        <v>;-----------------</v>
      </c>
    </row>
    <row r="180" spans="1:17" x14ac:dyDescent="0.25">
      <c r="A180">
        <v>179</v>
      </c>
      <c r="C180" s="45" t="s">
        <v>319</v>
      </c>
      <c r="D180" s="46"/>
      <c r="E180" s="4"/>
      <c r="F180" s="4"/>
      <c r="G180" s="4"/>
      <c r="Q180" s="51" t="str">
        <f>C180&amp;IF(ISBLANK(D180),"","=")&amp;D180</f>
        <v>;Index 1</v>
      </c>
    </row>
    <row r="181" spans="1:17" x14ac:dyDescent="0.25">
      <c r="A181">
        <v>180</v>
      </c>
      <c r="B181" t="s">
        <v>0</v>
      </c>
      <c r="C181" s="45" t="s">
        <v>406</v>
      </c>
      <c r="D181" s="46">
        <v>0</v>
      </c>
      <c r="E181" s="30">
        <v>192</v>
      </c>
      <c r="F181" s="30">
        <v>195</v>
      </c>
      <c r="G181" s="29"/>
      <c r="H181" s="59" t="str">
        <f>DEC2HEX(I181)</f>
        <v>45</v>
      </c>
      <c r="I181" s="30">
        <v>69</v>
      </c>
      <c r="J181" s="30" t="str">
        <f>CHAR(I181)</f>
        <v>E</v>
      </c>
      <c r="L181">
        <f>IF(ISBLANK(D181),IF(E181&gt;0,F181-E181+1,0),0)</f>
        <v>0</v>
      </c>
      <c r="M181" s="54">
        <f>IF(ISBLANK(D181),0,IF(G181=0,F181-E181+1,0))</f>
        <v>4</v>
      </c>
      <c r="Q181" s="51" t="str">
        <f>C181&amp;IF(ISBLANK(D181),"","=")&amp;D181</f>
        <v>DivisionsOrDegrees_1=0</v>
      </c>
    </row>
    <row r="182" spans="1:17" x14ac:dyDescent="0.25">
      <c r="A182">
        <v>181</v>
      </c>
      <c r="B182" t="s">
        <v>0</v>
      </c>
      <c r="C182" s="45" t="s">
        <v>407</v>
      </c>
      <c r="D182" s="46">
        <v>0</v>
      </c>
      <c r="E182" s="29">
        <v>572</v>
      </c>
      <c r="F182" s="29">
        <v>575</v>
      </c>
      <c r="G182" s="29"/>
      <c r="H182" s="59" t="str">
        <f>DEC2HEX(I182)</f>
        <v>C4</v>
      </c>
      <c r="I182" s="30">
        <v>196</v>
      </c>
      <c r="J182" s="30" t="str">
        <f>CHAR(I182)</f>
        <v>Ä</v>
      </c>
      <c r="L182">
        <f>IF(ISBLANK(D182),IF(E182&gt;0,F182-E182+1,0),0)</f>
        <v>0</v>
      </c>
      <c r="M182" s="54">
        <f>IF(ISBLANK(D182),0,IF(G182=0,F182-E182+1,0))</f>
        <v>4</v>
      </c>
      <c r="Q182" s="51" t="str">
        <f>C182&amp;IF(ISBLANK(D182),"","=")&amp;D182</f>
        <v>FixedOrFile_1=0</v>
      </c>
    </row>
    <row r="183" spans="1:17" x14ac:dyDescent="0.25">
      <c r="A183">
        <v>182</v>
      </c>
      <c r="B183" t="s">
        <v>0</v>
      </c>
      <c r="C183" s="45" t="s">
        <v>408</v>
      </c>
      <c r="D183" s="46">
        <v>60.35</v>
      </c>
      <c r="E183" s="29">
        <v>352</v>
      </c>
      <c r="F183" s="29">
        <v>359</v>
      </c>
      <c r="G183" s="29"/>
      <c r="H183" s="59" t="str">
        <f>DEC2HEX(I183)</f>
        <v>BF</v>
      </c>
      <c r="I183" s="30">
        <v>191</v>
      </c>
      <c r="J183" s="30" t="str">
        <f>CHAR(I183)</f>
        <v>¿</v>
      </c>
      <c r="L183">
        <f>IF(ISBLANK(D183),IF(E183&gt;0,F183-E183+1,0),0)</f>
        <v>0</v>
      </c>
      <c r="M183" s="54">
        <f>IF(ISBLANK(D183),0,IF(G183=0,F183-E183+1,0))</f>
        <v>8</v>
      </c>
      <c r="Q183" s="51" t="str">
        <f>C183&amp;IF(ISBLANK(D183),"","=")&amp;D183</f>
        <v>Size_1=60.35</v>
      </c>
    </row>
    <row r="184" spans="1:17" x14ac:dyDescent="0.25">
      <c r="A184">
        <v>183</v>
      </c>
      <c r="C184" s="45" t="s">
        <v>320</v>
      </c>
      <c r="D184" s="46"/>
      <c r="E184" s="4"/>
      <c r="F184" s="4"/>
      <c r="G184" s="4"/>
      <c r="Q184" s="51" t="str">
        <f>C184&amp;IF(ISBLANK(D184),"","=")&amp;D184</f>
        <v>;Index 2</v>
      </c>
    </row>
    <row r="185" spans="1:17" x14ac:dyDescent="0.25">
      <c r="A185">
        <v>184</v>
      </c>
      <c r="B185" t="s">
        <v>0</v>
      </c>
      <c r="C185" s="45" t="s">
        <v>409</v>
      </c>
      <c r="D185" s="46">
        <v>2</v>
      </c>
      <c r="E185" s="29">
        <v>160</v>
      </c>
      <c r="F185" s="29">
        <v>163</v>
      </c>
      <c r="G185" s="29"/>
      <c r="H185" s="59" t="str">
        <f>DEC2HEX(I185)</f>
        <v>45</v>
      </c>
      <c r="I185" s="30">
        <v>69</v>
      </c>
      <c r="J185" s="30" t="str">
        <f>CHAR(I185)</f>
        <v>E</v>
      </c>
      <c r="K185" s="46"/>
      <c r="L185">
        <f>IF(ISBLANK(D185),IF(E185&gt;0,F185-E185+1,0),0)</f>
        <v>0</v>
      </c>
      <c r="M185" s="54">
        <f>IF(ISBLANK(D185),0,IF(G185=0,F185-E185+1,0))</f>
        <v>4</v>
      </c>
      <c r="Q185" s="51" t="str">
        <f>C185&amp;IF(ISBLANK(D185),"","=")&amp;D185</f>
        <v>DivisionsOrDegrees_2=2</v>
      </c>
    </row>
    <row r="186" spans="1:17" x14ac:dyDescent="0.25">
      <c r="A186">
        <v>185</v>
      </c>
      <c r="B186" t="s">
        <v>0</v>
      </c>
      <c r="C186" s="45" t="s">
        <v>410</v>
      </c>
      <c r="D186" s="46">
        <v>0</v>
      </c>
      <c r="E186" s="29">
        <v>708</v>
      </c>
      <c r="F186" s="29">
        <v>711</v>
      </c>
      <c r="G186" s="29"/>
      <c r="H186" s="59" t="str">
        <f>DEC2HEX(I186)</f>
        <v>C4</v>
      </c>
      <c r="I186" s="30">
        <v>196</v>
      </c>
      <c r="J186" s="30" t="str">
        <f>CHAR(I186)</f>
        <v>Ä</v>
      </c>
      <c r="L186">
        <f>IF(ISBLANK(D186),IF(E186&gt;0,F186-E186+1,0),0)</f>
        <v>0</v>
      </c>
      <c r="M186" s="54">
        <f>IF(ISBLANK(D186),0,IF(G186=0,F186-E186+1,0))</f>
        <v>4</v>
      </c>
      <c r="Q186" s="51" t="str">
        <f>C186&amp;IF(ISBLANK(D186),"","=")&amp;D186</f>
        <v>FixedOrFile_2=0</v>
      </c>
    </row>
    <row r="187" spans="1:17" x14ac:dyDescent="0.25">
      <c r="A187">
        <v>186</v>
      </c>
      <c r="B187" t="s">
        <v>0</v>
      </c>
      <c r="C187" s="45" t="s">
        <v>411</v>
      </c>
      <c r="D187" s="46">
        <v>22.5</v>
      </c>
      <c r="E187" s="29">
        <v>360</v>
      </c>
      <c r="F187" s="29">
        <v>367</v>
      </c>
      <c r="G187" s="29"/>
      <c r="H187" s="59" t="str">
        <f>DEC2HEX(I187)</f>
        <v>BF</v>
      </c>
      <c r="I187" s="30">
        <v>191</v>
      </c>
      <c r="J187" s="30" t="str">
        <f>CHAR(I187)</f>
        <v>¿</v>
      </c>
      <c r="L187">
        <f>IF(ISBLANK(D187),IF(E187&gt;0,F187-E187+1,0),0)</f>
        <v>0</v>
      </c>
      <c r="M187" s="54">
        <f>IF(ISBLANK(D187),0,IF(G187=0,F187-E187+1,0))</f>
        <v>8</v>
      </c>
      <c r="Q187" s="51" t="str">
        <f>C187&amp;IF(ISBLANK(D187),"","=")&amp;D187</f>
        <v>Size_2=22.5</v>
      </c>
    </row>
    <row r="188" spans="1:17" x14ac:dyDescent="0.25">
      <c r="A188">
        <v>187</v>
      </c>
      <c r="C188" s="45" t="s">
        <v>321</v>
      </c>
      <c r="D188" s="46"/>
      <c r="E188" s="4"/>
      <c r="F188" s="4"/>
      <c r="G188" s="4"/>
      <c r="Q188" s="51" t="str">
        <f>C188&amp;IF(ISBLANK(D188),"","=")&amp;D188</f>
        <v>;Index 3</v>
      </c>
    </row>
    <row r="189" spans="1:17" x14ac:dyDescent="0.25">
      <c r="A189">
        <v>188</v>
      </c>
      <c r="B189" t="s">
        <v>0</v>
      </c>
      <c r="C189" s="45" t="s">
        <v>412</v>
      </c>
      <c r="D189" s="46">
        <v>2</v>
      </c>
      <c r="E189" s="30">
        <v>152</v>
      </c>
      <c r="F189" s="30">
        <v>155</v>
      </c>
      <c r="G189" s="29"/>
      <c r="H189" s="59" t="str">
        <f>DEC2HEX(I189)</f>
        <v>45</v>
      </c>
      <c r="I189" s="30">
        <v>69</v>
      </c>
      <c r="J189" s="30" t="str">
        <f>CHAR(I189)</f>
        <v>E</v>
      </c>
      <c r="K189" s="46"/>
      <c r="L189">
        <f>IF(ISBLANK(D189),IF(E189&gt;0,F189-E189+1,0),0)</f>
        <v>0</v>
      </c>
      <c r="M189" s="54">
        <f>IF(ISBLANK(D189),0,IF(G189=0,F189-E189+1,0))</f>
        <v>4</v>
      </c>
      <c r="Q189" s="51" t="str">
        <f>C189&amp;IF(ISBLANK(D189),"","=")&amp;D189</f>
        <v>DivisionsOrDegrees_3=2</v>
      </c>
    </row>
    <row r="190" spans="1:17" x14ac:dyDescent="0.25">
      <c r="A190">
        <v>189</v>
      </c>
      <c r="B190" t="s">
        <v>0</v>
      </c>
      <c r="C190" s="45" t="s">
        <v>413</v>
      </c>
      <c r="D190" s="46">
        <v>0</v>
      </c>
      <c r="E190" s="29">
        <v>592</v>
      </c>
      <c r="F190" s="29">
        <v>595</v>
      </c>
      <c r="G190" s="29"/>
      <c r="H190" s="59" t="str">
        <f>DEC2HEX(I190)</f>
        <v>C4</v>
      </c>
      <c r="I190" s="30">
        <v>196</v>
      </c>
      <c r="J190" s="30" t="str">
        <f>CHAR(I190)</f>
        <v>Ä</v>
      </c>
      <c r="L190">
        <f>IF(ISBLANK(D190),IF(E190&gt;0,F190-E190+1,0),0)</f>
        <v>0</v>
      </c>
      <c r="M190" s="54">
        <f>IF(ISBLANK(D190),0,IF(G190=0,F190-E190+1,0))</f>
        <v>4</v>
      </c>
      <c r="Q190" s="51" t="str">
        <f>C190&amp;IF(ISBLANK(D190),"","=")&amp;D190</f>
        <v>FixedOrFile_3=0</v>
      </c>
    </row>
    <row r="191" spans="1:17" x14ac:dyDescent="0.25">
      <c r="A191">
        <v>190</v>
      </c>
      <c r="B191" t="s">
        <v>0</v>
      </c>
      <c r="C191" s="45" t="s">
        <v>414</v>
      </c>
      <c r="D191" s="46">
        <v>11.24</v>
      </c>
      <c r="E191" s="29">
        <v>580</v>
      </c>
      <c r="F191" s="29">
        <v>587</v>
      </c>
      <c r="G191" s="29"/>
      <c r="H191" s="59" t="str">
        <f>DEC2HEX(I191)</f>
        <v>BF</v>
      </c>
      <c r="I191" s="30">
        <v>191</v>
      </c>
      <c r="J191" s="30" t="str">
        <f>CHAR(I191)</f>
        <v>¿</v>
      </c>
      <c r="L191">
        <f>IF(ISBLANK(D191),IF(E191&gt;0,F191-E191+1,0),0)</f>
        <v>0</v>
      </c>
      <c r="M191" s="54">
        <f>IF(ISBLANK(D191),0,IF(G191=0,F191-E191+1,0))</f>
        <v>8</v>
      </c>
      <c r="Q191" s="51" t="str">
        <f>C191&amp;IF(ISBLANK(D191),"","=")&amp;D191</f>
        <v>Size_3=11.24</v>
      </c>
    </row>
    <row r="192" spans="1:17" x14ac:dyDescent="0.25">
      <c r="A192">
        <v>191</v>
      </c>
      <c r="C192" s="45" t="s">
        <v>322</v>
      </c>
      <c r="D192" s="46"/>
      <c r="E192" s="4"/>
      <c r="F192" s="4"/>
      <c r="G192" s="4"/>
      <c r="Q192" s="51" t="str">
        <f>C192&amp;IF(ISBLANK(D192),"","=")&amp;D192</f>
        <v>;Index 4</v>
      </c>
    </row>
    <row r="193" spans="1:25" x14ac:dyDescent="0.25">
      <c r="A193">
        <v>192</v>
      </c>
      <c r="B193" t="s">
        <v>0</v>
      </c>
      <c r="C193" s="45" t="s">
        <v>415</v>
      </c>
      <c r="D193" s="46">
        <v>2</v>
      </c>
      <c r="E193" s="29">
        <v>428</v>
      </c>
      <c r="F193" s="30">
        <v>431</v>
      </c>
      <c r="G193" s="29"/>
      <c r="H193" s="59" t="str">
        <f>DEC2HEX(I193)</f>
        <v>45</v>
      </c>
      <c r="I193" s="30">
        <v>69</v>
      </c>
      <c r="J193" s="30" t="str">
        <f>CHAR(I193)</f>
        <v>E</v>
      </c>
      <c r="K193" s="46"/>
      <c r="L193">
        <f>IF(ISBLANK(D193),IF(E193&gt;0,F193-E193+1,0),0)</f>
        <v>0</v>
      </c>
      <c r="M193" s="54">
        <f>IF(ISBLANK(D193),0,IF(G193=0,F193-E193+1,0))</f>
        <v>4</v>
      </c>
      <c r="Q193" s="51" t="str">
        <f>C193&amp;IF(ISBLANK(D193),"","=")&amp;D193</f>
        <v>DivisionsOrDegrees_4=2</v>
      </c>
    </row>
    <row r="194" spans="1:25" x14ac:dyDescent="0.25">
      <c r="A194">
        <v>193</v>
      </c>
      <c r="B194" t="s">
        <v>0</v>
      </c>
      <c r="C194" s="45" t="s">
        <v>416</v>
      </c>
      <c r="D194" s="46">
        <v>0</v>
      </c>
      <c r="E194" s="30">
        <v>588</v>
      </c>
      <c r="F194" s="30">
        <v>591</v>
      </c>
      <c r="G194" s="29"/>
      <c r="H194" s="59" t="str">
        <f>DEC2HEX(I194)</f>
        <v>C4</v>
      </c>
      <c r="I194" s="30">
        <v>196</v>
      </c>
      <c r="J194" s="30" t="str">
        <f>CHAR(I194)</f>
        <v>Ä</v>
      </c>
      <c r="L194">
        <f>IF(ISBLANK(D194),IF(E194&gt;0,F194-E194+1,0),0)</f>
        <v>0</v>
      </c>
      <c r="M194" s="54">
        <f>IF(ISBLANK(D194),0,IF(G194=0,F194-E194+1,0))</f>
        <v>4</v>
      </c>
      <c r="Q194" s="51" t="str">
        <f>C194&amp;IF(ISBLANK(D194),"","=")&amp;D194</f>
        <v>FixedOrFile_4=0</v>
      </c>
    </row>
    <row r="195" spans="1:25" x14ac:dyDescent="0.25">
      <c r="A195">
        <v>194</v>
      </c>
      <c r="B195" t="s">
        <v>0</v>
      </c>
      <c r="C195" s="45" t="s">
        <v>417</v>
      </c>
      <c r="D195" s="46">
        <v>180</v>
      </c>
      <c r="E195" s="29">
        <v>672</v>
      </c>
      <c r="F195" s="29">
        <v>679</v>
      </c>
      <c r="G195" s="29"/>
      <c r="H195" s="59" t="str">
        <f>DEC2HEX(I195)</f>
        <v>BF</v>
      </c>
      <c r="I195" s="30">
        <v>191</v>
      </c>
      <c r="J195" s="30" t="str">
        <f>CHAR(I195)</f>
        <v>¿</v>
      </c>
      <c r="L195">
        <f>IF(ISBLANK(D195),IF(E195&gt;0,F195-E195+1,0),0)</f>
        <v>0</v>
      </c>
      <c r="M195" s="54">
        <f>IF(ISBLANK(D195),0,IF(G195=0,F195-E195+1,0))</f>
        <v>8</v>
      </c>
      <c r="Q195" s="51" t="str">
        <f>C195&amp;IF(ISBLANK(D195),"","=")&amp;D195</f>
        <v>Size_4=180</v>
      </c>
    </row>
    <row r="196" spans="1:25" s="32" customFormat="1" x14ac:dyDescent="0.25">
      <c r="A196">
        <v>195</v>
      </c>
      <c r="B196"/>
      <c r="C196" s="45" t="s">
        <v>323</v>
      </c>
      <c r="D196" s="46"/>
      <c r="E196" s="4"/>
      <c r="F196" s="4"/>
      <c r="G196" s="4"/>
      <c r="H196" s="43"/>
      <c r="I196" s="4"/>
      <c r="J196" s="4"/>
      <c r="K196" s="45"/>
      <c r="L196"/>
      <c r="M196" s="54"/>
      <c r="N196" s="75"/>
      <c r="O196" s="75"/>
      <c r="P196" s="75"/>
      <c r="Q196" s="51" t="str">
        <f>C196&amp;IF(ISBLANK(D196),"","=")&amp;D196</f>
        <v>;Index 5</v>
      </c>
      <c r="R196" s="4"/>
      <c r="S196" s="4"/>
      <c r="T196" s="4"/>
      <c r="U196" s="4"/>
      <c r="V196" s="4"/>
      <c r="W196" s="4"/>
      <c r="X196" s="4"/>
      <c r="Y196" s="4"/>
    </row>
    <row r="197" spans="1:25" x14ac:dyDescent="0.25">
      <c r="A197">
        <v>196</v>
      </c>
      <c r="B197" t="s">
        <v>0</v>
      </c>
      <c r="C197" s="45" t="s">
        <v>418</v>
      </c>
      <c r="D197" s="46">
        <v>2</v>
      </c>
      <c r="E197" s="29">
        <v>440</v>
      </c>
      <c r="F197" s="29">
        <v>443</v>
      </c>
      <c r="G197" s="29"/>
      <c r="H197" s="59" t="str">
        <f>DEC2HEX(I197)</f>
        <v>45</v>
      </c>
      <c r="I197" s="30">
        <v>69</v>
      </c>
      <c r="J197" s="30" t="str">
        <f>CHAR(I197)</f>
        <v>E</v>
      </c>
      <c r="K197" s="46"/>
      <c r="L197">
        <f>IF(ISBLANK(D197),IF(E197&gt;0,F197-E197+1,0),0)</f>
        <v>0</v>
      </c>
      <c r="M197" s="54">
        <f>IF(ISBLANK(D197),0,IF(G197=0,F197-E197+1,0))</f>
        <v>4</v>
      </c>
      <c r="Q197" s="51" t="str">
        <f>C197&amp;IF(ISBLANK(D197),"","=")&amp;D197</f>
        <v>DivisionsOrDegrees_5=2</v>
      </c>
    </row>
    <row r="198" spans="1:25" x14ac:dyDescent="0.25">
      <c r="A198">
        <v>197</v>
      </c>
      <c r="B198" t="s">
        <v>0</v>
      </c>
      <c r="C198" s="45" t="s">
        <v>419</v>
      </c>
      <c r="D198" s="46">
        <v>0</v>
      </c>
      <c r="E198" s="29">
        <v>536</v>
      </c>
      <c r="F198" s="29">
        <v>539</v>
      </c>
      <c r="G198" s="29"/>
      <c r="H198" s="59" t="str">
        <f>DEC2HEX(I198)</f>
        <v>C4</v>
      </c>
      <c r="I198" s="30">
        <v>196</v>
      </c>
      <c r="J198" s="30" t="str">
        <f>CHAR(I198)</f>
        <v>Ä</v>
      </c>
      <c r="L198">
        <f>IF(ISBLANK(D198),IF(E198&gt;0,F198-E198+1,0),0)</f>
        <v>0</v>
      </c>
      <c r="M198" s="54">
        <f>IF(ISBLANK(D198),0,IF(G198=0,F198-E198+1,0))</f>
        <v>4</v>
      </c>
      <c r="Q198" s="51" t="str">
        <f>C198&amp;IF(ISBLANK(D198),"","=")&amp;D198</f>
        <v>FixedOrFile_5=0</v>
      </c>
      <c r="R198" s="23"/>
    </row>
    <row r="199" spans="1:25" x14ac:dyDescent="0.25">
      <c r="A199">
        <v>198</v>
      </c>
      <c r="B199" t="s">
        <v>0</v>
      </c>
      <c r="C199" s="45" t="s">
        <v>420</v>
      </c>
      <c r="D199" s="46">
        <v>45</v>
      </c>
      <c r="E199" s="30">
        <v>680</v>
      </c>
      <c r="F199" s="30">
        <v>687</v>
      </c>
      <c r="G199" s="29"/>
      <c r="H199" s="59" t="str">
        <f>DEC2HEX(I199)</f>
        <v>BF</v>
      </c>
      <c r="I199" s="30">
        <v>191</v>
      </c>
      <c r="J199" s="30" t="str">
        <f>CHAR(I199)</f>
        <v>¿</v>
      </c>
      <c r="L199">
        <f>IF(ISBLANK(D199),IF(E199&gt;0,F199-E199+1,0),0)</f>
        <v>0</v>
      </c>
      <c r="M199" s="54">
        <f>IF(ISBLANK(D199),0,IF(G199=0,F199-E199+1,0))</f>
        <v>8</v>
      </c>
      <c r="Q199" s="51" t="str">
        <f>C199&amp;IF(ISBLANK(D199),"","=")&amp;D199</f>
        <v>Size_5=45</v>
      </c>
    </row>
    <row r="200" spans="1:25" x14ac:dyDescent="0.25">
      <c r="A200">
        <v>199</v>
      </c>
      <c r="C200" s="45" t="s">
        <v>543</v>
      </c>
      <c r="D200" s="46"/>
      <c r="E200" s="5"/>
      <c r="F200" s="5"/>
      <c r="G200" s="4"/>
      <c r="H200" s="57"/>
      <c r="I200" s="5"/>
      <c r="J200" s="5"/>
      <c r="Q200" s="51" t="str">
        <f>C200&amp;IF(ISBLANK(D200),"","=")&amp;D200</f>
        <v>;Synchronize M3 and Spindle</v>
      </c>
    </row>
    <row r="201" spans="1:25" x14ac:dyDescent="0.25">
      <c r="A201">
        <v>200</v>
      </c>
      <c r="B201" s="29" t="s">
        <v>0</v>
      </c>
      <c r="C201" s="101" t="s">
        <v>554</v>
      </c>
      <c r="D201" s="46">
        <v>0</v>
      </c>
      <c r="E201" s="108">
        <v>156</v>
      </c>
      <c r="F201" s="108">
        <v>159</v>
      </c>
      <c r="G201" s="108"/>
      <c r="H201" s="59" t="str">
        <f>DEC2HEX(I201)</f>
        <v>CF</v>
      </c>
      <c r="I201" s="30">
        <v>207</v>
      </c>
      <c r="J201" s="30" t="str">
        <f>CHAR(I201)</f>
        <v>Ï</v>
      </c>
      <c r="K201" s="46"/>
      <c r="L201">
        <f>IF(ISBLANK(D201),IF(E201&gt;0,F201-E201+1,0),0)</f>
        <v>0</v>
      </c>
      <c r="M201" s="54">
        <f>IF(ISBLANK(D201),0,IF(G201=0,F201-E201+1,0))</f>
        <v>4</v>
      </c>
      <c r="Q201" s="51" t="str">
        <f>C201&amp;IF(ISBLANK(D201),"","=")&amp;D201</f>
        <v>Synchro_M3_and_Spindle=0</v>
      </c>
    </row>
    <row r="202" spans="1:25" x14ac:dyDescent="0.25">
      <c r="A202">
        <v>201</v>
      </c>
      <c r="B202" s="29" t="s">
        <v>0</v>
      </c>
      <c r="C202" s="101" t="s">
        <v>555</v>
      </c>
      <c r="D202" s="46">
        <v>100</v>
      </c>
      <c r="E202" s="30">
        <v>180</v>
      </c>
      <c r="F202" s="30">
        <v>187</v>
      </c>
      <c r="G202" s="29"/>
      <c r="H202" s="59" t="str">
        <f>DEC2HEX(I202)</f>
        <v>D0</v>
      </c>
      <c r="I202" s="30">
        <v>208</v>
      </c>
      <c r="J202" s="30" t="str">
        <f>CHAR(I202)</f>
        <v>Ð</v>
      </c>
      <c r="K202" s="46"/>
      <c r="L202">
        <f>IF(ISBLANK(D202),IF(E202&gt;0,F202-E202+1,0),0)</f>
        <v>0</v>
      </c>
      <c r="M202" s="54">
        <f>IF(ISBLANK(D202),0,IF(G202=0,F202-E202+1,0))</f>
        <v>8</v>
      </c>
      <c r="Q202" s="51" t="str">
        <f>C202&amp;IF(ISBLANK(D202),"","=")&amp;D202</f>
        <v>Synchro_Percentage=100</v>
      </c>
    </row>
    <row r="203" spans="1:25" x14ac:dyDescent="0.25">
      <c r="A203">
        <v>202</v>
      </c>
      <c r="C203" s="45" t="s">
        <v>242</v>
      </c>
      <c r="D203" s="46"/>
      <c r="E203" s="4"/>
      <c r="F203" s="4"/>
      <c r="G203" s="4"/>
      <c r="Q203" s="51" t="str">
        <f>C203&amp;IF(ISBLANK(D203),"","=")&amp;D203</f>
        <v>;</v>
      </c>
    </row>
    <row r="204" spans="1:25" x14ac:dyDescent="0.25">
      <c r="A204">
        <v>203</v>
      </c>
      <c r="B204" s="32"/>
      <c r="C204" s="47" t="s">
        <v>324</v>
      </c>
      <c r="D204" s="47"/>
      <c r="E204" s="32"/>
      <c r="F204" s="32"/>
      <c r="G204" s="32"/>
      <c r="H204" s="44"/>
      <c r="I204" s="32"/>
      <c r="J204" s="32"/>
      <c r="K204" s="47"/>
      <c r="L204" s="32"/>
      <c r="M204" s="55"/>
      <c r="Q204" s="51" t="str">
        <f>C204&amp;IF(ISBLANK(D204),"","=")&amp;D204</f>
        <v>[Move]</v>
      </c>
    </row>
    <row r="205" spans="1:25" x14ac:dyDescent="0.25">
      <c r="A205">
        <v>204</v>
      </c>
      <c r="C205" s="45" t="s">
        <v>242</v>
      </c>
      <c r="Q205" s="51" t="str">
        <f>C205&amp;IF(ISBLANK(D205),"","=")&amp;D205</f>
        <v>;</v>
      </c>
    </row>
    <row r="206" spans="1:25" x14ac:dyDescent="0.25">
      <c r="A206">
        <v>205</v>
      </c>
      <c r="B206" t="s">
        <v>42</v>
      </c>
      <c r="C206" s="45" t="s">
        <v>280</v>
      </c>
      <c r="D206" s="46">
        <v>1</v>
      </c>
      <c r="E206" s="29">
        <v>436</v>
      </c>
      <c r="F206" s="29">
        <v>439</v>
      </c>
      <c r="G206" s="29">
        <v>24</v>
      </c>
      <c r="H206" s="59" t="str">
        <f>DEC2HEX(I206)</f>
        <v>42</v>
      </c>
      <c r="I206" s="30">
        <v>66</v>
      </c>
      <c r="J206" s="30" t="str">
        <f>CHAR(I206)</f>
        <v>B</v>
      </c>
      <c r="K206" s="46"/>
      <c r="L206">
        <f>IF(ISBLANK(D206),IF(E206&gt;0,F206-E206+1,0),0)</f>
        <v>0</v>
      </c>
      <c r="M206" s="54">
        <f>IF(ISBLANK(D206),0,IF(G206=0,F206-E206+1,0))</f>
        <v>0</v>
      </c>
      <c r="Q206" s="51" t="str">
        <f>C206&amp;IF(ISBLANK(D206),"","=")&amp;D206</f>
        <v>AxisId=1</v>
      </c>
    </row>
    <row r="207" spans="1:25" x14ac:dyDescent="0.25">
      <c r="A207">
        <v>206</v>
      </c>
      <c r="C207" s="45" t="s">
        <v>299</v>
      </c>
      <c r="D207" s="46"/>
      <c r="E207" s="4"/>
      <c r="F207" s="4"/>
      <c r="G207" s="4"/>
      <c r="Q207" s="51" t="str">
        <f>C207&amp;IF(ISBLANK(D207),"","=")&amp;D207</f>
        <v>;Z Axis</v>
      </c>
    </row>
    <row r="208" spans="1:25" x14ac:dyDescent="0.25">
      <c r="A208">
        <v>207</v>
      </c>
      <c r="B208" t="s">
        <v>42</v>
      </c>
      <c r="C208" s="45" t="s">
        <v>388</v>
      </c>
      <c r="D208" s="46">
        <v>5080</v>
      </c>
      <c r="E208" s="29">
        <v>968</v>
      </c>
      <c r="F208" s="29">
        <v>971</v>
      </c>
      <c r="G208" s="29"/>
      <c r="H208" s="59" t="str">
        <f>DEC2HEX(I208)</f>
        <v>B9</v>
      </c>
      <c r="I208" s="30">
        <v>185</v>
      </c>
      <c r="J208" s="30" t="str">
        <f>CHAR(I208)</f>
        <v>¹</v>
      </c>
      <c r="L208">
        <f>IF(ISBLANK(D208),IF(E208&gt;0,F208-E208+1,0),0)</f>
        <v>0</v>
      </c>
      <c r="M208" s="54">
        <f>IF(ISBLANK(D208),0,IF(G208=0,F208-E208+1,0))</f>
        <v>4</v>
      </c>
      <c r="Q208" s="51" t="str">
        <f>C208&amp;IF(ISBLANK(D208),"","=")&amp;D208</f>
        <v>MaxSpeed_Z=5080</v>
      </c>
    </row>
    <row r="209" spans="1:25" x14ac:dyDescent="0.25">
      <c r="A209">
        <v>208</v>
      </c>
      <c r="B209" t="s">
        <v>42</v>
      </c>
      <c r="C209" s="45" t="s">
        <v>389</v>
      </c>
      <c r="D209" s="46">
        <v>5081</v>
      </c>
      <c r="E209" s="29">
        <v>988</v>
      </c>
      <c r="F209" s="29">
        <v>991</v>
      </c>
      <c r="G209" s="29"/>
      <c r="H209" s="59" t="str">
        <f>DEC2HEX(I209)</f>
        <v>BA</v>
      </c>
      <c r="I209" s="30">
        <v>186</v>
      </c>
      <c r="J209" s="30" t="str">
        <f>CHAR(I209)</f>
        <v>º</v>
      </c>
      <c r="L209">
        <f>IF(ISBLANK(D209),IF(E209&gt;0,F209-E209+1,0),0)</f>
        <v>0</v>
      </c>
      <c r="M209" s="54">
        <f>IF(ISBLANK(D209),0,IF(G209=0,F209-E209+1,0))</f>
        <v>4</v>
      </c>
      <c r="Q209" s="51" t="str">
        <f>C209&amp;IF(ISBLANK(D209),"","=")&amp;D209</f>
        <v>Accel_Z=5081</v>
      </c>
    </row>
    <row r="210" spans="1:25" x14ac:dyDescent="0.25">
      <c r="A210">
        <v>209</v>
      </c>
      <c r="B210" t="s">
        <v>42</v>
      </c>
      <c r="C210" s="45" t="s">
        <v>390</v>
      </c>
      <c r="D210" s="46">
        <v>82</v>
      </c>
      <c r="E210" s="29">
        <v>348</v>
      </c>
      <c r="F210" s="29">
        <v>351</v>
      </c>
      <c r="G210" s="29">
        <v>0</v>
      </c>
      <c r="H210" s="59" t="str">
        <f>DEC2HEX(I210)</f>
        <v>6F</v>
      </c>
      <c r="I210" s="29">
        <v>111</v>
      </c>
      <c r="J210" s="30" t="str">
        <f>CHAR(I210)</f>
        <v>o</v>
      </c>
      <c r="L210">
        <f>IF(ISBLANK(D210),IF(E210&gt;0,F210-E210+1,0),0)</f>
        <v>0</v>
      </c>
      <c r="M210" s="54">
        <f>IF(ISBLANK(D210),0,IF(G210=0,F210-E210+1,0))</f>
        <v>4</v>
      </c>
      <c r="Q210" s="51" t="str">
        <f>C210&amp;IF(ISBLANK(D210),"","=")&amp;D210</f>
        <v>SpeedPercentage_Z=82</v>
      </c>
    </row>
    <row r="211" spans="1:25" x14ac:dyDescent="0.25">
      <c r="A211">
        <v>210</v>
      </c>
      <c r="B211" t="s">
        <v>42</v>
      </c>
      <c r="C211" s="45" t="s">
        <v>421</v>
      </c>
      <c r="D211" s="46">
        <v>4.125</v>
      </c>
      <c r="E211" s="29">
        <v>168</v>
      </c>
      <c r="F211" s="29">
        <v>175</v>
      </c>
      <c r="G211" s="29"/>
      <c r="H211" s="59" t="str">
        <f>DEC2HEX(I211)</f>
        <v>B5</v>
      </c>
      <c r="I211" s="30">
        <v>181</v>
      </c>
      <c r="J211" s="30" t="str">
        <f>CHAR(I211)</f>
        <v>µ</v>
      </c>
      <c r="K211" s="46"/>
      <c r="L211">
        <f>IF(ISBLANK(D211),IF(E211&gt;0,F211-E211+1,0),0)</f>
        <v>0</v>
      </c>
      <c r="M211" s="54">
        <f>IF(ISBLANK(D211),0,IF(G211=0,F211-E211+1,0))</f>
        <v>8</v>
      </c>
      <c r="Q211" s="51" t="str">
        <f>C211&amp;IF(ISBLANK(D211),"","=")&amp;D211</f>
        <v>Distance_Z1=4.125</v>
      </c>
    </row>
    <row r="212" spans="1:25" x14ac:dyDescent="0.25">
      <c r="A212">
        <v>211</v>
      </c>
      <c r="B212" t="s">
        <v>42</v>
      </c>
      <c r="C212" s="45" t="s">
        <v>422</v>
      </c>
      <c r="D212" s="46">
        <v>3.1</v>
      </c>
      <c r="E212" s="30">
        <v>396</v>
      </c>
      <c r="F212" s="30">
        <v>403</v>
      </c>
      <c r="G212" s="30"/>
      <c r="H212" s="59" t="str">
        <f>DEC2HEX(I212)</f>
        <v>B5</v>
      </c>
      <c r="I212" s="30">
        <v>181</v>
      </c>
      <c r="J212" s="30" t="str">
        <f>CHAR(I212)</f>
        <v>µ</v>
      </c>
      <c r="L212">
        <f>IF(ISBLANK(D212),IF(E212&gt;0,F212-E212+1,0),0)</f>
        <v>0</v>
      </c>
      <c r="M212" s="54">
        <f>IF(ISBLANK(D212),0,IF(G212=0,F212-E212+1,0))</f>
        <v>8</v>
      </c>
      <c r="Q212" s="51" t="str">
        <f>C212&amp;IF(ISBLANK(D212),"","=")&amp;D212</f>
        <v>Distance_Z2=3.1</v>
      </c>
    </row>
    <row r="213" spans="1:25" x14ac:dyDescent="0.25">
      <c r="A213">
        <v>212</v>
      </c>
      <c r="C213" s="45" t="s">
        <v>300</v>
      </c>
      <c r="D213" s="46"/>
      <c r="E213" s="4"/>
      <c r="F213" s="4"/>
      <c r="G213" s="4"/>
      <c r="Q213" s="51" t="str">
        <f>C213&amp;IF(ISBLANK(D213),"","=")&amp;D213</f>
        <v>;X Axis</v>
      </c>
      <c r="R213" s="23"/>
    </row>
    <row r="214" spans="1:25" x14ac:dyDescent="0.25">
      <c r="A214">
        <v>213</v>
      </c>
      <c r="B214" t="s">
        <v>42</v>
      </c>
      <c r="C214" s="45" t="s">
        <v>391</v>
      </c>
      <c r="D214" s="46">
        <v>5083</v>
      </c>
      <c r="E214" s="29">
        <v>1000</v>
      </c>
      <c r="F214" s="29">
        <v>1003</v>
      </c>
      <c r="G214" s="29"/>
      <c r="H214" s="59" t="str">
        <f>DEC2HEX(I214)</f>
        <v>B9</v>
      </c>
      <c r="I214" s="30">
        <v>185</v>
      </c>
      <c r="J214" s="30" t="str">
        <f>CHAR(I214)</f>
        <v>¹</v>
      </c>
      <c r="L214">
        <f>IF(ISBLANK(D214),IF(E214&gt;0,F214-E214+1,0),0)</f>
        <v>0</v>
      </c>
      <c r="M214" s="54">
        <f>IF(ISBLANK(D214),0,IF(G214=0,F214-E214+1,0))</f>
        <v>4</v>
      </c>
      <c r="Q214" s="51" t="str">
        <f>C214&amp;IF(ISBLANK(D214),"","=")&amp;D214</f>
        <v>MaxSpeed_X=5083</v>
      </c>
    </row>
    <row r="215" spans="1:25" x14ac:dyDescent="0.25">
      <c r="A215">
        <v>214</v>
      </c>
      <c r="B215" t="s">
        <v>42</v>
      </c>
      <c r="C215" s="45" t="s">
        <v>392</v>
      </c>
      <c r="D215" s="46">
        <v>5084</v>
      </c>
      <c r="E215" s="29">
        <v>1012</v>
      </c>
      <c r="F215" s="29">
        <v>1015</v>
      </c>
      <c r="G215" s="29"/>
      <c r="H215" s="59" t="str">
        <f>DEC2HEX(I215)</f>
        <v>BA</v>
      </c>
      <c r="I215" s="30">
        <v>186</v>
      </c>
      <c r="J215" s="30" t="str">
        <f>CHAR(I215)</f>
        <v>º</v>
      </c>
      <c r="L215">
        <f>IF(ISBLANK(D215),IF(E215&gt;0,F215-E215+1,0),0)</f>
        <v>0</v>
      </c>
      <c r="M215" s="54">
        <f>IF(ISBLANK(D215),0,IF(G215=0,F215-E215+1,0))</f>
        <v>4</v>
      </c>
      <c r="Q215" s="51" t="str">
        <f>C215&amp;IF(ISBLANK(D215),"","=")&amp;D215</f>
        <v>Accel_X=5084</v>
      </c>
    </row>
    <row r="216" spans="1:25" x14ac:dyDescent="0.25">
      <c r="A216">
        <v>215</v>
      </c>
      <c r="B216" t="s">
        <v>42</v>
      </c>
      <c r="C216" s="45" t="s">
        <v>393</v>
      </c>
      <c r="D216" s="46">
        <v>85</v>
      </c>
      <c r="E216" s="29">
        <v>348</v>
      </c>
      <c r="F216" s="29">
        <v>351</v>
      </c>
      <c r="G216" s="29">
        <v>8</v>
      </c>
      <c r="H216" s="59" t="str">
        <f>DEC2HEX(I216)</f>
        <v>6F</v>
      </c>
      <c r="I216" s="29">
        <v>111</v>
      </c>
      <c r="J216" s="30" t="str">
        <f>CHAR(I216)</f>
        <v>o</v>
      </c>
      <c r="L216">
        <f>IF(ISBLANK(D216),IF(E216&gt;0,F216-E216+1,0),0)</f>
        <v>0</v>
      </c>
      <c r="M216" s="54">
        <f>IF(ISBLANK(D216),0,IF(G216=0,F216-E216+1,0))</f>
        <v>0</v>
      </c>
      <c r="Q216" s="51" t="str">
        <f>C216&amp;IF(ISBLANK(D216),"","=")&amp;D216</f>
        <v>SpeedPercentage_X=85</v>
      </c>
    </row>
    <row r="217" spans="1:25" x14ac:dyDescent="0.25">
      <c r="A217">
        <v>216</v>
      </c>
      <c r="B217" t="s">
        <v>42</v>
      </c>
      <c r="C217" s="45" t="s">
        <v>423</v>
      </c>
      <c r="D217" s="46">
        <v>5.75</v>
      </c>
      <c r="E217" s="29">
        <v>340</v>
      </c>
      <c r="F217" s="29">
        <v>347</v>
      </c>
      <c r="G217" s="29"/>
      <c r="H217" s="59" t="str">
        <f>DEC2HEX(I217)</f>
        <v>B5</v>
      </c>
      <c r="I217" s="30">
        <v>181</v>
      </c>
      <c r="J217" s="30" t="str">
        <f>CHAR(I217)</f>
        <v>µ</v>
      </c>
      <c r="L217">
        <f>IF(ISBLANK(D217),IF(E217&gt;0,F217-E217+1,0),0)</f>
        <v>0</v>
      </c>
      <c r="M217" s="54">
        <f>IF(ISBLANK(D217),0,IF(G217=0,F217-E217+1,0))</f>
        <v>8</v>
      </c>
      <c r="Q217" s="51" t="str">
        <f>C217&amp;IF(ISBLANK(D217),"","=")&amp;D217</f>
        <v>Distance_X1=5.75</v>
      </c>
    </row>
    <row r="218" spans="1:25" x14ac:dyDescent="0.25">
      <c r="A218">
        <v>217</v>
      </c>
      <c r="B218" t="s">
        <v>42</v>
      </c>
      <c r="C218" s="45" t="s">
        <v>424</v>
      </c>
      <c r="D218" s="46">
        <v>5.76</v>
      </c>
      <c r="E218" s="30">
        <v>316</v>
      </c>
      <c r="F218" s="30">
        <v>323</v>
      </c>
      <c r="G218" s="29"/>
      <c r="H218" s="59" t="str">
        <f>DEC2HEX(I218)</f>
        <v>B5</v>
      </c>
      <c r="I218" s="30">
        <v>181</v>
      </c>
      <c r="J218" s="30" t="str">
        <f>CHAR(I218)</f>
        <v>µ</v>
      </c>
      <c r="L218">
        <f>IF(ISBLANK(D218),IF(E218&gt;0,F218-E218+1,0),0)</f>
        <v>0</v>
      </c>
      <c r="M218" s="54">
        <f>IF(ISBLANK(D218),0,IF(G218=0,F218-E218+1,0))</f>
        <v>8</v>
      </c>
      <c r="Q218" s="51" t="str">
        <f>C218&amp;IF(ISBLANK(D218),"","=")&amp;D218</f>
        <v>Distance_X2=5.76</v>
      </c>
    </row>
    <row r="219" spans="1:25" x14ac:dyDescent="0.25">
      <c r="A219">
        <v>218</v>
      </c>
      <c r="C219" s="45" t="s">
        <v>302</v>
      </c>
      <c r="D219" s="46"/>
      <c r="E219" s="4"/>
      <c r="F219" s="4"/>
      <c r="G219" s="4"/>
      <c r="Q219" s="51" t="str">
        <f>C219&amp;IF(ISBLANK(D219),"","=")&amp;D219</f>
        <v>;M3 Axis</v>
      </c>
    </row>
    <row r="220" spans="1:25" x14ac:dyDescent="0.25">
      <c r="A220">
        <v>219</v>
      </c>
      <c r="B220" t="s">
        <v>42</v>
      </c>
      <c r="C220" s="45" t="s">
        <v>400</v>
      </c>
      <c r="D220" s="46">
        <v>5086</v>
      </c>
      <c r="E220" s="29">
        <v>888</v>
      </c>
      <c r="F220" s="29">
        <v>891</v>
      </c>
      <c r="G220" s="29"/>
      <c r="H220" s="59" t="str">
        <f>DEC2HEX(I220)</f>
        <v>B9</v>
      </c>
      <c r="I220" s="30">
        <v>185</v>
      </c>
      <c r="J220" s="30" t="str">
        <f>CHAR(I220)</f>
        <v>¹</v>
      </c>
      <c r="L220">
        <f>IF(ISBLANK(D220),IF(E220&gt;0,F220-E220+1,0),0)</f>
        <v>0</v>
      </c>
      <c r="M220" s="54">
        <f>IF(ISBLANK(D220),0,IF(G220=0,F220-E220+1,0))</f>
        <v>4</v>
      </c>
      <c r="Q220" s="51" t="str">
        <f>C220&amp;IF(ISBLANK(D220),"","=")&amp;D220</f>
        <v>MaxSpeed_M3=5086</v>
      </c>
    </row>
    <row r="221" spans="1:25" x14ac:dyDescent="0.25">
      <c r="A221">
        <v>220</v>
      </c>
      <c r="B221" t="s">
        <v>42</v>
      </c>
      <c r="C221" s="45" t="s">
        <v>401</v>
      </c>
      <c r="D221" s="46">
        <v>5087</v>
      </c>
      <c r="E221" s="29">
        <v>892</v>
      </c>
      <c r="F221" s="29">
        <v>895</v>
      </c>
      <c r="G221" s="29"/>
      <c r="H221" s="59" t="str">
        <f>DEC2HEX(I221)</f>
        <v>BA</v>
      </c>
      <c r="I221" s="30">
        <v>186</v>
      </c>
      <c r="J221" s="30" t="str">
        <f>CHAR(I221)</f>
        <v>º</v>
      </c>
      <c r="L221">
        <f>IF(ISBLANK(D221),IF(E221&gt;0,F221-E221+1,0),0)</f>
        <v>0</v>
      </c>
      <c r="M221" s="54">
        <f>IF(ISBLANK(D221),0,IF(G221=0,F221-E221+1,0))</f>
        <v>4</v>
      </c>
      <c r="Q221" s="51" t="str">
        <f>C221&amp;IF(ISBLANK(D221),"","=")&amp;D221</f>
        <v>Accel_M3=5087</v>
      </c>
    </row>
    <row r="222" spans="1:25" x14ac:dyDescent="0.25">
      <c r="A222">
        <v>221</v>
      </c>
      <c r="B222" t="s">
        <v>42</v>
      </c>
      <c r="C222" s="45" t="s">
        <v>402</v>
      </c>
      <c r="D222" s="46">
        <v>88</v>
      </c>
      <c r="E222" s="29">
        <v>348</v>
      </c>
      <c r="F222" s="29">
        <v>351</v>
      </c>
      <c r="G222" s="29">
        <v>16</v>
      </c>
      <c r="H222" s="59" t="str">
        <f>DEC2HEX(I222)</f>
        <v>6F</v>
      </c>
      <c r="I222" s="29">
        <v>111</v>
      </c>
      <c r="J222" s="30" t="str">
        <f>CHAR(I222)</f>
        <v>o</v>
      </c>
      <c r="L222">
        <f>IF(ISBLANK(D222),IF(E222&gt;0,F222-E222+1,0),0)</f>
        <v>0</v>
      </c>
      <c r="M222" s="54">
        <f>IF(ISBLANK(D222),0,IF(G222=0,F222-E222+1,0))</f>
        <v>0</v>
      </c>
      <c r="Q222" s="51" t="str">
        <f>C222&amp;IF(ISBLANK(D222),"","=")&amp;D222</f>
        <v>SpeedPercentage_M3=88</v>
      </c>
      <c r="R222" s="23"/>
    </row>
    <row r="223" spans="1:25" x14ac:dyDescent="0.25">
      <c r="A223">
        <v>222</v>
      </c>
      <c r="B223" t="s">
        <v>42</v>
      </c>
      <c r="C223" s="45" t="s">
        <v>425</v>
      </c>
      <c r="D223" s="46">
        <v>5.78</v>
      </c>
      <c r="E223" s="30">
        <v>332</v>
      </c>
      <c r="F223" s="30">
        <v>339</v>
      </c>
      <c r="G223" s="29"/>
      <c r="H223" s="59" t="str">
        <f>DEC2HEX(I223)</f>
        <v>B5</v>
      </c>
      <c r="I223" s="30">
        <v>181</v>
      </c>
      <c r="J223" s="30" t="str">
        <f>CHAR(I223)</f>
        <v>µ</v>
      </c>
      <c r="L223">
        <f>IF(ISBLANK(D223),IF(E223&gt;0,F223-E223+1,0),0)</f>
        <v>0</v>
      </c>
      <c r="M223" s="54">
        <f>IF(ISBLANK(D223),0,IF(G223=0,F223-E223+1,0))</f>
        <v>8</v>
      </c>
      <c r="Q223" s="51" t="str">
        <f>C223&amp;IF(ISBLANK(D223),"","=")&amp;D223</f>
        <v>Distance_M3-1=5.78</v>
      </c>
    </row>
    <row r="224" spans="1:25" s="32" customFormat="1" x14ac:dyDescent="0.25">
      <c r="A224">
        <v>223</v>
      </c>
      <c r="B224" t="s">
        <v>42</v>
      </c>
      <c r="C224" s="45" t="s">
        <v>426</v>
      </c>
      <c r="D224" s="46">
        <v>5.79</v>
      </c>
      <c r="E224" s="29">
        <v>500</v>
      </c>
      <c r="F224" s="29">
        <v>507</v>
      </c>
      <c r="G224" s="29"/>
      <c r="H224" s="59" t="str">
        <f>DEC2HEX(I224)</f>
        <v>B5</v>
      </c>
      <c r="I224" s="30">
        <v>181</v>
      </c>
      <c r="J224" s="30" t="str">
        <f>CHAR(I224)</f>
        <v>µ</v>
      </c>
      <c r="K224" s="45"/>
      <c r="L224">
        <f>IF(ISBLANK(D224),IF(E224&gt;0,F224-E224+1,0),0)</f>
        <v>0</v>
      </c>
      <c r="M224" s="54">
        <f>IF(ISBLANK(D224),0,IF(G224=0,F224-E224+1,0))</f>
        <v>8</v>
      </c>
      <c r="N224" s="75"/>
      <c r="O224" s="75"/>
      <c r="P224" s="75"/>
      <c r="Q224" s="51" t="str">
        <f>C224&amp;IF(ISBLANK(D224),"","=")&amp;D224</f>
        <v>Distance_M3-2=5.79</v>
      </c>
      <c r="R224" s="23"/>
      <c r="S224" s="4"/>
      <c r="T224" s="4"/>
      <c r="U224" s="4"/>
      <c r="V224" s="4"/>
      <c r="W224" s="4"/>
      <c r="X224" s="4"/>
      <c r="Y224" s="4"/>
    </row>
    <row r="225" spans="1:18" x14ac:dyDescent="0.25">
      <c r="A225">
        <v>224</v>
      </c>
      <c r="C225" s="45" t="s">
        <v>303</v>
      </c>
      <c r="D225" s="46"/>
      <c r="E225" s="4"/>
      <c r="F225" s="4"/>
      <c r="G225" s="4"/>
      <c r="Q225" s="51" t="str">
        <f>C225&amp;IF(ISBLANK(D225),"","=")&amp;D225</f>
        <v>;M4 Axis</v>
      </c>
    </row>
    <row r="226" spans="1:18" x14ac:dyDescent="0.25">
      <c r="A226">
        <v>225</v>
      </c>
      <c r="B226" t="s">
        <v>42</v>
      </c>
      <c r="C226" s="45" t="s">
        <v>403</v>
      </c>
      <c r="D226" s="46">
        <v>5088</v>
      </c>
      <c r="E226" s="29">
        <v>212</v>
      </c>
      <c r="F226" s="29">
        <v>215</v>
      </c>
      <c r="G226" s="29"/>
      <c r="H226" s="59" t="str">
        <f>DEC2HEX(I226)</f>
        <v>B9</v>
      </c>
      <c r="I226" s="30">
        <v>185</v>
      </c>
      <c r="J226" s="30" t="str">
        <f>CHAR(I226)</f>
        <v>¹</v>
      </c>
      <c r="L226">
        <f>IF(ISBLANK(D226),IF(E226&gt;0,F226-E226+1,0),0)</f>
        <v>0</v>
      </c>
      <c r="M226" s="54">
        <f>IF(ISBLANK(D226),0,IF(G226=0,F226-E226+1,0))</f>
        <v>4</v>
      </c>
      <c r="Q226" s="51" t="str">
        <f>C226&amp;IF(ISBLANK(D226),"","=")&amp;D226</f>
        <v>MaxSpeed_M4=5088</v>
      </c>
      <c r="R226" s="23"/>
    </row>
    <row r="227" spans="1:18" x14ac:dyDescent="0.25">
      <c r="A227">
        <v>226</v>
      </c>
      <c r="B227" t="s">
        <v>42</v>
      </c>
      <c r="C227" s="45" t="s">
        <v>404</v>
      </c>
      <c r="D227" s="46">
        <v>5089</v>
      </c>
      <c r="E227" s="29">
        <v>420</v>
      </c>
      <c r="F227" s="29">
        <v>423</v>
      </c>
      <c r="G227" s="29"/>
      <c r="H227" s="59" t="str">
        <f>DEC2HEX(I227)</f>
        <v>BA</v>
      </c>
      <c r="I227" s="30">
        <v>186</v>
      </c>
      <c r="J227" s="30" t="str">
        <f>CHAR(I227)</f>
        <v>º</v>
      </c>
      <c r="L227">
        <f>IF(ISBLANK(D227),IF(E227&gt;0,F227-E227+1,0),0)</f>
        <v>0</v>
      </c>
      <c r="M227" s="54">
        <f>IF(ISBLANK(D227),0,IF(G227=0,F227-E227+1,0))</f>
        <v>4</v>
      </c>
      <c r="Q227" s="51" t="str">
        <f>C227&amp;IF(ISBLANK(D227),"","=")&amp;D227</f>
        <v>Accel_M4=5089</v>
      </c>
    </row>
    <row r="228" spans="1:18" x14ac:dyDescent="0.25">
      <c r="A228">
        <v>227</v>
      </c>
      <c r="B228" t="s">
        <v>42</v>
      </c>
      <c r="C228" s="45" t="s">
        <v>405</v>
      </c>
      <c r="D228" s="46">
        <v>89</v>
      </c>
      <c r="E228" s="29">
        <v>348</v>
      </c>
      <c r="F228" s="29">
        <v>351</v>
      </c>
      <c r="G228" s="29">
        <v>24</v>
      </c>
      <c r="H228" s="59" t="str">
        <f>DEC2HEX(I228)</f>
        <v>6F</v>
      </c>
      <c r="I228" s="29">
        <v>111</v>
      </c>
      <c r="J228" s="30" t="str">
        <f>CHAR(I228)</f>
        <v>o</v>
      </c>
      <c r="L228">
        <f>IF(ISBLANK(D228),IF(E228&gt;0,F228-E228+1,0),0)</f>
        <v>0</v>
      </c>
      <c r="M228" s="54">
        <f>IF(ISBLANK(D228),0,IF(G228=0,F228-E228+1,0))</f>
        <v>0</v>
      </c>
      <c r="Q228" s="51" t="str">
        <f>C228&amp;IF(ISBLANK(D228),"","=")&amp;D228</f>
        <v>SpeedPercentage_M4=89</v>
      </c>
    </row>
    <row r="229" spans="1:18" x14ac:dyDescent="0.25">
      <c r="A229">
        <v>228</v>
      </c>
      <c r="B229" t="s">
        <v>42</v>
      </c>
      <c r="C229" s="45" t="s">
        <v>427</v>
      </c>
      <c r="D229" s="46">
        <v>4.78</v>
      </c>
      <c r="E229" s="29">
        <v>12</v>
      </c>
      <c r="F229" s="29">
        <v>19</v>
      </c>
      <c r="G229" s="29"/>
      <c r="H229" s="59" t="str">
        <f>DEC2HEX(I229)</f>
        <v>B5</v>
      </c>
      <c r="I229" s="30">
        <v>181</v>
      </c>
      <c r="J229" s="30" t="str">
        <f>CHAR(I229)</f>
        <v>µ</v>
      </c>
      <c r="L229">
        <f>IF(ISBLANK(D229),IF(E229&gt;0,F229-E229+1,0),0)</f>
        <v>0</v>
      </c>
      <c r="M229" s="54">
        <f>IF(ISBLANK(D229),0,IF(G229=0,F229-E229+1,0))</f>
        <v>8</v>
      </c>
      <c r="Q229" s="51" t="str">
        <f>C229&amp;IF(ISBLANK(D229),"","=")&amp;D229</f>
        <v>Distance_M4-1=4.78</v>
      </c>
    </row>
    <row r="230" spans="1:18" x14ac:dyDescent="0.25">
      <c r="A230">
        <v>229</v>
      </c>
      <c r="B230" t="s">
        <v>42</v>
      </c>
      <c r="C230" s="45" t="s">
        <v>428</v>
      </c>
      <c r="D230" s="46">
        <v>4.79</v>
      </c>
      <c r="E230" s="29">
        <v>36</v>
      </c>
      <c r="F230" s="29">
        <v>43</v>
      </c>
      <c r="G230" s="29"/>
      <c r="H230" s="59" t="str">
        <f>DEC2HEX(I230)</f>
        <v>B5</v>
      </c>
      <c r="I230" s="30">
        <v>181</v>
      </c>
      <c r="J230" s="30" t="str">
        <f>CHAR(I230)</f>
        <v>µ</v>
      </c>
      <c r="L230">
        <f>IF(ISBLANK(D230),IF(E230&gt;0,F230-E230+1,0),0)</f>
        <v>0</v>
      </c>
      <c r="M230" s="54">
        <f>IF(ISBLANK(D230),0,IF(G230=0,F230-E230+1,0))</f>
        <v>8</v>
      </c>
      <c r="Q230" s="51" t="str">
        <f>C230&amp;IF(ISBLANK(D230),"","=")&amp;D230</f>
        <v>Distance_M4-2=4.79</v>
      </c>
    </row>
    <row r="231" spans="1:18" x14ac:dyDescent="0.25">
      <c r="A231">
        <v>230</v>
      </c>
      <c r="C231" s="45" t="s">
        <v>242</v>
      </c>
      <c r="D231" s="46"/>
      <c r="E231" s="4"/>
      <c r="F231" s="4"/>
      <c r="G231" s="4"/>
      <c r="Q231" s="51" t="str">
        <f>C231&amp;IF(ISBLANK(D231),"","=")&amp;D231</f>
        <v>;</v>
      </c>
    </row>
    <row r="232" spans="1:18" x14ac:dyDescent="0.25">
      <c r="A232">
        <v>231</v>
      </c>
      <c r="B232" s="32"/>
      <c r="C232" s="47" t="s">
        <v>466</v>
      </c>
      <c r="D232" s="47"/>
      <c r="E232" s="32"/>
      <c r="F232" s="32"/>
      <c r="G232" s="32"/>
      <c r="H232" s="44"/>
      <c r="I232" s="32"/>
      <c r="J232" s="32"/>
      <c r="K232" s="47"/>
      <c r="L232" s="32"/>
      <c r="M232" s="55"/>
      <c r="Q232" s="51" t="str">
        <f>C232&amp;IF(ISBLANK(D232),"","=")&amp;D232</f>
        <v>[Shared]</v>
      </c>
    </row>
    <row r="233" spans="1:18" x14ac:dyDescent="0.25">
      <c r="A233">
        <v>232</v>
      </c>
      <c r="C233" s="45" t="s">
        <v>242</v>
      </c>
      <c r="D233" s="46"/>
      <c r="E233" s="4"/>
      <c r="F233" s="4"/>
      <c r="G233" s="4"/>
      <c r="Q233" s="51" t="str">
        <f>C233&amp;IF(ISBLANK(D233),"","=")&amp;D233</f>
        <v>;</v>
      </c>
    </row>
    <row r="234" spans="1:18" s="4" customFormat="1" x14ac:dyDescent="0.25">
      <c r="A234">
        <v>233</v>
      </c>
      <c r="C234" s="45" t="s">
        <v>548</v>
      </c>
      <c r="D234" s="46"/>
      <c r="H234" s="43"/>
      <c r="K234" s="46"/>
      <c r="M234" s="87"/>
      <c r="Q234" s="51" t="str">
        <f>C234&amp;IF(ISBLANK(D234),"","=")&amp;D234</f>
        <v>; Settings shared between Main,Sync, Recip, Rose, Greek Key, and Program pages</v>
      </c>
    </row>
    <row r="235" spans="1:18" x14ac:dyDescent="0.25">
      <c r="A235">
        <v>234</v>
      </c>
      <c r="C235" s="45" t="s">
        <v>543</v>
      </c>
      <c r="E235" s="4"/>
      <c r="F235" s="4"/>
      <c r="G235" s="4"/>
      <c r="H235" s="57"/>
      <c r="J235" s="5"/>
      <c r="Q235" s="51" t="str">
        <f>C235&amp;IF(ISBLANK(D235),"","=")&amp;D235</f>
        <v>;Synchronize M3 and Spindle</v>
      </c>
    </row>
    <row r="236" spans="1:18" x14ac:dyDescent="0.25">
      <c r="A236">
        <v>235</v>
      </c>
      <c r="B236" t="s">
        <v>467</v>
      </c>
      <c r="C236" s="46" t="s">
        <v>554</v>
      </c>
      <c r="D236" s="45">
        <v>0</v>
      </c>
      <c r="E236" s="30">
        <v>4</v>
      </c>
      <c r="F236" s="30">
        <v>7</v>
      </c>
      <c r="G236" s="29"/>
      <c r="H236" s="59" t="str">
        <f>DEC2HEX(I236)</f>
        <v>B2</v>
      </c>
      <c r="I236" s="30">
        <v>178</v>
      </c>
      <c r="J236" s="30" t="str">
        <f>CHAR(I236)</f>
        <v>²</v>
      </c>
      <c r="L236">
        <f>IF(ISBLANK(D236),IF(E236&gt;0,F236-E236+1,0),0)</f>
        <v>0</v>
      </c>
      <c r="M236" s="54">
        <f>IF(ISBLANK(D236),0,IF(G236=0,F236-E236+1,0))</f>
        <v>4</v>
      </c>
      <c r="Q236" s="51" t="str">
        <f>C236&amp;IF(ISBLANK(D236),"","=")&amp;D236</f>
        <v>Synchro_M3_and_Spindle=0</v>
      </c>
    </row>
    <row r="237" spans="1:18" x14ac:dyDescent="0.25">
      <c r="A237">
        <v>236</v>
      </c>
      <c r="B237" t="s">
        <v>467</v>
      </c>
      <c r="C237" s="46" t="s">
        <v>555</v>
      </c>
      <c r="D237" s="45">
        <v>100</v>
      </c>
      <c r="E237" s="29">
        <v>24</v>
      </c>
      <c r="F237" s="29">
        <v>31</v>
      </c>
      <c r="G237" s="29"/>
      <c r="H237" s="59" t="str">
        <f>DEC2HEX(I237)</f>
        <v>B3</v>
      </c>
      <c r="I237" s="30">
        <v>179</v>
      </c>
      <c r="J237" s="30" t="str">
        <f>CHAR(I237)</f>
        <v>³</v>
      </c>
      <c r="K237" s="46"/>
      <c r="L237">
        <f>IF(ISBLANK(D237),IF(E237&gt;0,F237-E237+1,0),0)</f>
        <v>0</v>
      </c>
      <c r="M237" s="54">
        <f>IF(ISBLANK(D237),0,IF(G237=0,F237-E237+1,0))</f>
        <v>8</v>
      </c>
      <c r="Q237" s="51" t="str">
        <f>C237&amp;IF(ISBLANK(D237),"","=")&amp;D237</f>
        <v>Synchro_Percentage=100</v>
      </c>
    </row>
    <row r="238" spans="1:18" x14ac:dyDescent="0.25">
      <c r="A238">
        <v>237</v>
      </c>
      <c r="C238" s="45" t="s">
        <v>468</v>
      </c>
      <c r="Q238" s="51" t="str">
        <f>C238&amp;IF(ISBLANK(D238),"","=")&amp;D238</f>
        <v>; Settings shared between Sync, Recip, Greek Key, and Program pages</v>
      </c>
    </row>
    <row r="239" spans="1:18" x14ac:dyDescent="0.25">
      <c r="A239">
        <v>238</v>
      </c>
      <c r="B239" t="s">
        <v>467</v>
      </c>
      <c r="C239" s="45" t="s">
        <v>280</v>
      </c>
      <c r="D239" s="46">
        <v>1</v>
      </c>
      <c r="E239" s="29">
        <v>20</v>
      </c>
      <c r="F239" s="29">
        <v>23</v>
      </c>
      <c r="G239" s="29">
        <v>8</v>
      </c>
      <c r="H239" s="59" t="str">
        <f>DEC2HEX(I239)</f>
        <v>42</v>
      </c>
      <c r="I239" s="30">
        <v>66</v>
      </c>
      <c r="J239" s="30" t="str">
        <f>CHAR(I239)</f>
        <v>B</v>
      </c>
      <c r="L239">
        <f>IF(ISBLANK(D239),IF(E239&gt;0,F239-E239+1,0),0)</f>
        <v>0</v>
      </c>
      <c r="M239" s="54">
        <f>IF(ISBLANK(D239),0,IF(G239=0,F239-E239+1,0))</f>
        <v>0</v>
      </c>
      <c r="Q239" s="51" t="str">
        <f>C239&amp;IF(ISBLANK(D239),"","=")&amp;D239</f>
        <v>AxisId=1</v>
      </c>
    </row>
    <row r="240" spans="1:18" x14ac:dyDescent="0.25">
      <c r="A240">
        <v>239</v>
      </c>
      <c r="B240" t="s">
        <v>467</v>
      </c>
      <c r="C240" s="45" t="s">
        <v>433</v>
      </c>
      <c r="D240" s="46">
        <v>0</v>
      </c>
      <c r="E240" s="29">
        <v>20</v>
      </c>
      <c r="F240" s="29">
        <v>23</v>
      </c>
      <c r="G240" s="29">
        <v>16</v>
      </c>
      <c r="H240" s="59" t="str">
        <f>DEC2HEX(I240)</f>
        <v>57</v>
      </c>
      <c r="I240" s="30">
        <v>87</v>
      </c>
      <c r="J240" s="30" t="str">
        <f>CHAR(I240)</f>
        <v>W</v>
      </c>
      <c r="L240">
        <f>IF(ISBLANK(D240),IF(E240&gt;0,F240-E240+1,0),0)</f>
        <v>0</v>
      </c>
      <c r="M240" s="54">
        <f>IF(ISBLANK(D240),0,IF(G240=0,F240-E240+1,0))</f>
        <v>0</v>
      </c>
      <c r="Q240" s="51" t="str">
        <f>C240&amp;IF(ISBLANK(D240),"","=")&amp;D240</f>
        <v>RadialOrAxial=0</v>
      </c>
    </row>
    <row r="241" spans="1:25" x14ac:dyDescent="0.25">
      <c r="A241">
        <v>240</v>
      </c>
      <c r="C241" s="45" t="s">
        <v>312</v>
      </c>
      <c r="Q241" s="51" t="str">
        <f>C241&amp;IF(ISBLANK(D241),"","=")&amp;D241</f>
        <v>;Spindle</v>
      </c>
    </row>
    <row r="242" spans="1:25" x14ac:dyDescent="0.25">
      <c r="A242">
        <v>241</v>
      </c>
      <c r="B242" t="s">
        <v>467</v>
      </c>
      <c r="C242" s="45" t="s">
        <v>377</v>
      </c>
      <c r="D242" s="45">
        <v>5040</v>
      </c>
      <c r="E242" s="29">
        <v>896</v>
      </c>
      <c r="F242" s="29">
        <v>899</v>
      </c>
      <c r="G242" s="29"/>
      <c r="H242" s="59" t="str">
        <f>DEC2HEX(I242)</f>
        <v>3A</v>
      </c>
      <c r="I242" s="30">
        <v>58</v>
      </c>
      <c r="J242" s="30" t="str">
        <f>CHAR(I242)</f>
        <v>:</v>
      </c>
      <c r="L242">
        <f>IF(ISBLANK(D242),IF(E242&gt;0,F242-E242+1,0),0)</f>
        <v>0</v>
      </c>
      <c r="M242" s="54">
        <f>IF(ISBLANK(D242),0,IF(G242=0,F242-E242+1,0))</f>
        <v>4</v>
      </c>
      <c r="Q242" s="51" t="str">
        <f>C242&amp;IF(ISBLANK(D242),"","=")&amp;D242</f>
        <v>MaxSpeed_Spindle=5040</v>
      </c>
    </row>
    <row r="243" spans="1:25" x14ac:dyDescent="0.25">
      <c r="A243">
        <v>242</v>
      </c>
      <c r="B243" t="s">
        <v>467</v>
      </c>
      <c r="C243" s="45" t="s">
        <v>378</v>
      </c>
      <c r="D243" s="45">
        <v>5041</v>
      </c>
      <c r="E243" s="29">
        <v>936</v>
      </c>
      <c r="F243" s="29">
        <v>939</v>
      </c>
      <c r="G243" s="29"/>
      <c r="H243" s="59" t="str">
        <f>DEC2HEX(I243)</f>
        <v>3B</v>
      </c>
      <c r="I243" s="30">
        <v>59</v>
      </c>
      <c r="J243" s="30" t="str">
        <f>CHAR(I243)</f>
        <v>;</v>
      </c>
      <c r="L243">
        <f>IF(ISBLANK(D243),IF(E243&gt;0,F243-E243+1,0),0)</f>
        <v>0</v>
      </c>
      <c r="M243" s="54">
        <f>IF(ISBLANK(D243),0,IF(G243=0,F243-E243+1,0))</f>
        <v>4</v>
      </c>
      <c r="Q243" s="51" t="str">
        <f>C243&amp;IF(ISBLANK(D243),"","=")&amp;D243</f>
        <v>Accel_Spindle=5041</v>
      </c>
    </row>
    <row r="244" spans="1:25" x14ac:dyDescent="0.25">
      <c r="A244">
        <v>243</v>
      </c>
      <c r="B244" t="s">
        <v>467</v>
      </c>
      <c r="C244" s="45" t="s">
        <v>387</v>
      </c>
      <c r="D244" s="45">
        <v>42</v>
      </c>
      <c r="E244" s="29">
        <v>20</v>
      </c>
      <c r="F244" s="29">
        <v>23</v>
      </c>
      <c r="G244" s="29">
        <v>0</v>
      </c>
      <c r="H244" s="59" t="str">
        <f>DEC2HEX(I244)</f>
        <v>6E</v>
      </c>
      <c r="I244" s="30">
        <v>110</v>
      </c>
      <c r="J244" s="30" t="str">
        <f>CHAR(I244)</f>
        <v>n</v>
      </c>
      <c r="L244">
        <f>IF(ISBLANK(D244),IF(E244&gt;0,F244-E244+1,0),0)</f>
        <v>0</v>
      </c>
      <c r="M244" s="54">
        <f>IF(ISBLANK(D244),0,IF(G244=0,F244-E244+1,0))</f>
        <v>4</v>
      </c>
      <c r="Q244" s="51" t="str">
        <f>C244&amp;IF(ISBLANK(D244),"","=")&amp;D244</f>
        <v>SpeedPercentage_Spindle=42</v>
      </c>
    </row>
    <row r="245" spans="1:25" x14ac:dyDescent="0.25">
      <c r="A245">
        <v>244</v>
      </c>
      <c r="C245" s="45" t="s">
        <v>299</v>
      </c>
      <c r="Q245" s="51" t="str">
        <f>C245&amp;IF(ISBLANK(D245),"","=")&amp;D245</f>
        <v>;Z Axis</v>
      </c>
    </row>
    <row r="246" spans="1:25" x14ac:dyDescent="0.25">
      <c r="A246">
        <v>245</v>
      </c>
      <c r="B246" t="s">
        <v>467</v>
      </c>
      <c r="C246" s="45" t="s">
        <v>388</v>
      </c>
      <c r="D246" s="45">
        <v>5043</v>
      </c>
      <c r="E246" s="29">
        <v>996</v>
      </c>
      <c r="F246" s="29">
        <v>999</v>
      </c>
      <c r="G246" s="29"/>
      <c r="H246" s="59" t="str">
        <f>DEC2HEX(I246)</f>
        <v>B9</v>
      </c>
      <c r="I246" s="30">
        <v>185</v>
      </c>
      <c r="J246" s="30" t="str">
        <f>CHAR(I246)</f>
        <v>¹</v>
      </c>
      <c r="L246">
        <f>IF(ISBLANK(D246),IF(E246&gt;0,F246-E246+1,0),0)</f>
        <v>0</v>
      </c>
      <c r="M246" s="54">
        <f>IF(ISBLANK(D246),0,IF(G246=0,F246-E246+1,0))</f>
        <v>4</v>
      </c>
      <c r="Q246" s="51" t="str">
        <f>C246&amp;IF(ISBLANK(D246),"","=")&amp;D246</f>
        <v>MaxSpeed_Z=5043</v>
      </c>
    </row>
    <row r="247" spans="1:25" x14ac:dyDescent="0.25">
      <c r="A247">
        <v>246</v>
      </c>
      <c r="B247" t="s">
        <v>467</v>
      </c>
      <c r="C247" s="45" t="s">
        <v>389</v>
      </c>
      <c r="D247" s="45">
        <v>5044</v>
      </c>
      <c r="E247" s="29">
        <v>1008</v>
      </c>
      <c r="F247" s="29">
        <v>1011</v>
      </c>
      <c r="G247" s="29"/>
      <c r="H247" s="59" t="str">
        <f>DEC2HEX(I247)</f>
        <v>BA</v>
      </c>
      <c r="I247" s="30">
        <v>186</v>
      </c>
      <c r="J247" s="30" t="str">
        <f>CHAR(I247)</f>
        <v>º</v>
      </c>
      <c r="L247">
        <f>IF(ISBLANK(D247),IF(E247&gt;0,F247-E247+1,0),0)</f>
        <v>0</v>
      </c>
      <c r="M247" s="54">
        <f>IF(ISBLANK(D247),0,IF(G247=0,F247-E247+1,0))</f>
        <v>4</v>
      </c>
      <c r="Q247" s="51" t="str">
        <f>C247&amp;IF(ISBLANK(D247),"","=")&amp;D247</f>
        <v>Accel_Z=5044</v>
      </c>
    </row>
    <row r="248" spans="1:25" x14ac:dyDescent="0.25">
      <c r="A248">
        <v>247</v>
      </c>
      <c r="B248" t="s">
        <v>467</v>
      </c>
      <c r="C248" s="46" t="s">
        <v>390</v>
      </c>
      <c r="D248" s="45">
        <v>45</v>
      </c>
      <c r="E248" s="29">
        <v>48</v>
      </c>
      <c r="F248" s="29">
        <v>51</v>
      </c>
      <c r="G248" s="29">
        <v>0</v>
      </c>
      <c r="H248" s="59" t="str">
        <f>DEC2HEX(I248)</f>
        <v>6F</v>
      </c>
      <c r="I248" s="29">
        <v>111</v>
      </c>
      <c r="J248" s="30" t="str">
        <f>CHAR(I248)</f>
        <v>o</v>
      </c>
      <c r="L248">
        <f>IF(ISBLANK(D248),IF(E248&gt;0,F248-E248+1,0),0)</f>
        <v>0</v>
      </c>
      <c r="M248" s="54">
        <f>IF(ISBLANK(D248),0,IF(G248=0,F248-E248+1,0))</f>
        <v>4</v>
      </c>
      <c r="Q248" s="51" t="str">
        <f>C248&amp;IF(ISBLANK(D248),"","=")&amp;D248</f>
        <v>SpeedPercentage_Z=45</v>
      </c>
    </row>
    <row r="249" spans="1:25" x14ac:dyDescent="0.25">
      <c r="A249">
        <v>248</v>
      </c>
      <c r="C249" s="45" t="s">
        <v>300</v>
      </c>
      <c r="Q249" s="51" t="str">
        <f>C249&amp;IF(ISBLANK(D249),"","=")&amp;D249</f>
        <v>;X Axis</v>
      </c>
    </row>
    <row r="250" spans="1:25" x14ac:dyDescent="0.25">
      <c r="A250">
        <v>249</v>
      </c>
      <c r="B250" t="s">
        <v>467</v>
      </c>
      <c r="C250" s="45" t="s">
        <v>391</v>
      </c>
      <c r="D250" s="45">
        <v>5046</v>
      </c>
      <c r="E250" s="29">
        <v>960</v>
      </c>
      <c r="F250" s="29">
        <v>963</v>
      </c>
      <c r="G250" s="29"/>
      <c r="H250" s="59" t="str">
        <f>DEC2HEX(I250)</f>
        <v>B9</v>
      </c>
      <c r="I250" s="30">
        <v>185</v>
      </c>
      <c r="J250" s="30" t="str">
        <f>CHAR(I250)</f>
        <v>¹</v>
      </c>
      <c r="L250">
        <f>IF(ISBLANK(D250),IF(E250&gt;0,F250-E250+1,0),0)</f>
        <v>0</v>
      </c>
      <c r="M250" s="54">
        <f>IF(ISBLANK(D250),0,IF(G250=0,F250-E250+1,0))</f>
        <v>4</v>
      </c>
      <c r="Q250" s="51" t="str">
        <f>C250&amp;IF(ISBLANK(D250),"","=")&amp;D250</f>
        <v>MaxSpeed_X=5046</v>
      </c>
    </row>
    <row r="251" spans="1:25" x14ac:dyDescent="0.25">
      <c r="A251">
        <v>250</v>
      </c>
      <c r="B251" t="s">
        <v>467</v>
      </c>
      <c r="C251" s="45" t="s">
        <v>392</v>
      </c>
      <c r="D251" s="45">
        <v>5047</v>
      </c>
      <c r="E251" s="29">
        <v>980</v>
      </c>
      <c r="F251" s="29">
        <v>983</v>
      </c>
      <c r="G251" s="29"/>
      <c r="H251" s="59" t="str">
        <f>DEC2HEX(I251)</f>
        <v>BA</v>
      </c>
      <c r="I251" s="30">
        <v>186</v>
      </c>
      <c r="J251" s="30" t="str">
        <f>CHAR(I251)</f>
        <v>º</v>
      </c>
      <c r="L251">
        <f>IF(ISBLANK(D251),IF(E251&gt;0,F251-E251+1,0),0)</f>
        <v>0</v>
      </c>
      <c r="M251" s="54">
        <f>IF(ISBLANK(D251),0,IF(G251=0,F251-E251+1,0))</f>
        <v>4</v>
      </c>
      <c r="Q251" s="51" t="str">
        <f>C251&amp;IF(ISBLANK(D251),"","=")&amp;D251</f>
        <v>Accel_X=5047</v>
      </c>
    </row>
    <row r="252" spans="1:25" x14ac:dyDescent="0.25">
      <c r="A252">
        <v>251</v>
      </c>
      <c r="B252" t="s">
        <v>467</v>
      </c>
      <c r="C252" s="45" t="s">
        <v>393</v>
      </c>
      <c r="D252" s="45">
        <v>48</v>
      </c>
      <c r="E252" s="29">
        <v>48</v>
      </c>
      <c r="F252" s="29">
        <v>51</v>
      </c>
      <c r="G252" s="29">
        <v>8</v>
      </c>
      <c r="H252" s="59" t="str">
        <f>DEC2HEX(I252)</f>
        <v>6F</v>
      </c>
      <c r="I252" s="29">
        <v>111</v>
      </c>
      <c r="J252" s="30" t="str">
        <f>CHAR(I252)</f>
        <v>o</v>
      </c>
      <c r="L252">
        <f>IF(ISBLANK(D252),IF(E252&gt;0,F252-E252+1,0),0)</f>
        <v>0</v>
      </c>
      <c r="M252" s="54">
        <f>IF(ISBLANK(D252),0,IF(G252=0,F252-E252+1,0))</f>
        <v>0</v>
      </c>
      <c r="Q252" s="51" t="str">
        <f>C252&amp;IF(ISBLANK(D252),"","=")&amp;D252</f>
        <v>SpeedPercentage_X=48</v>
      </c>
    </row>
    <row r="253" spans="1:25" x14ac:dyDescent="0.25">
      <c r="A253">
        <v>252</v>
      </c>
      <c r="C253" s="45" t="s">
        <v>302</v>
      </c>
      <c r="Q253" s="51" t="str">
        <f>C253&amp;IF(ISBLANK(D253),"","=")&amp;D253</f>
        <v>;M3 Axis</v>
      </c>
    </row>
    <row r="254" spans="1:25" x14ac:dyDescent="0.25">
      <c r="A254">
        <v>253</v>
      </c>
      <c r="B254" t="s">
        <v>467</v>
      </c>
      <c r="C254" s="45" t="s">
        <v>400</v>
      </c>
      <c r="D254" s="45">
        <v>5048</v>
      </c>
      <c r="E254" s="29">
        <v>796</v>
      </c>
      <c r="F254" s="29">
        <v>799</v>
      </c>
      <c r="G254" s="29"/>
      <c r="H254" s="59" t="str">
        <f>DEC2HEX(I254)</f>
        <v>B9</v>
      </c>
      <c r="I254" s="30">
        <v>185</v>
      </c>
      <c r="J254" s="30" t="str">
        <f>CHAR(I254)</f>
        <v>¹</v>
      </c>
      <c r="L254">
        <f>IF(ISBLANK(D254),IF(E254&gt;0,F254-E254+1,0),0)</f>
        <v>0</v>
      </c>
      <c r="M254" s="54">
        <f>IF(ISBLANK(D254),0,IF(G254=0,F254-E254+1,0))</f>
        <v>4</v>
      </c>
      <c r="Q254" s="51" t="str">
        <f>C254&amp;IF(ISBLANK(D254),"","=")&amp;D254</f>
        <v>MaxSpeed_M3=5048</v>
      </c>
    </row>
    <row r="255" spans="1:25" x14ac:dyDescent="0.25">
      <c r="A255">
        <v>254</v>
      </c>
      <c r="B255" t="s">
        <v>467</v>
      </c>
      <c r="C255" s="45" t="s">
        <v>401</v>
      </c>
      <c r="D255" s="45">
        <v>5049</v>
      </c>
      <c r="E255" s="29">
        <v>800</v>
      </c>
      <c r="F255" s="29">
        <v>803</v>
      </c>
      <c r="G255" s="29"/>
      <c r="H255" s="59" t="str">
        <f>DEC2HEX(I255)</f>
        <v>BA</v>
      </c>
      <c r="I255" s="30">
        <v>186</v>
      </c>
      <c r="J255" s="30" t="str">
        <f>CHAR(I255)</f>
        <v>º</v>
      </c>
      <c r="L255">
        <f>IF(ISBLANK(D255),IF(E255&gt;0,F255-E255+1,0),0)</f>
        <v>0</v>
      </c>
      <c r="M255" s="54">
        <f>IF(ISBLANK(D255),0,IF(G255=0,F255-E255+1,0))</f>
        <v>4</v>
      </c>
      <c r="Q255" s="51" t="str">
        <f>C255&amp;IF(ISBLANK(D255),"","=")&amp;D255</f>
        <v>Accel_M3=5049</v>
      </c>
    </row>
    <row r="256" spans="1:25" s="32" customFormat="1" x14ac:dyDescent="0.25">
      <c r="A256">
        <v>255</v>
      </c>
      <c r="B256" t="s">
        <v>467</v>
      </c>
      <c r="C256" s="45" t="s">
        <v>402</v>
      </c>
      <c r="D256" s="45">
        <v>49</v>
      </c>
      <c r="E256" s="29">
        <v>48</v>
      </c>
      <c r="F256" s="29">
        <v>51</v>
      </c>
      <c r="G256" s="29">
        <v>16</v>
      </c>
      <c r="H256" s="59" t="str">
        <f>DEC2HEX(I256)</f>
        <v>6F</v>
      </c>
      <c r="I256" s="29">
        <v>111</v>
      </c>
      <c r="J256" s="30" t="str">
        <f>CHAR(I256)</f>
        <v>o</v>
      </c>
      <c r="K256" s="45"/>
      <c r="L256">
        <f>IF(ISBLANK(D256),IF(E256&gt;0,F256-E256+1,0),0)</f>
        <v>0</v>
      </c>
      <c r="M256" s="54">
        <f>IF(ISBLANK(D256),0,IF(G256=0,F256-E256+1,0))</f>
        <v>0</v>
      </c>
      <c r="N256" s="75"/>
      <c r="O256" s="75"/>
      <c r="P256" s="75"/>
      <c r="Q256" s="51" t="str">
        <f>C256&amp;IF(ISBLANK(D256),"","=")&amp;D256</f>
        <v>SpeedPercentage_M3=49</v>
      </c>
      <c r="R256" s="4"/>
      <c r="S256" s="4"/>
      <c r="T256" s="4"/>
      <c r="U256" s="4"/>
      <c r="V256" s="4"/>
      <c r="W256" s="4"/>
      <c r="X256" s="4"/>
      <c r="Y256" s="4"/>
    </row>
    <row r="257" spans="1:25" x14ac:dyDescent="0.25">
      <c r="A257">
        <v>256</v>
      </c>
      <c r="C257" s="45" t="s">
        <v>303</v>
      </c>
      <c r="Q257" s="51" t="str">
        <f>C257&amp;IF(ISBLANK(D257),"","=")&amp;D257</f>
        <v>;M4 Axis</v>
      </c>
    </row>
    <row r="258" spans="1:25" x14ac:dyDescent="0.25">
      <c r="A258">
        <v>257</v>
      </c>
      <c r="B258" t="s">
        <v>467</v>
      </c>
      <c r="C258" s="45" t="s">
        <v>403</v>
      </c>
      <c r="D258" s="45">
        <v>5048</v>
      </c>
      <c r="E258" s="29">
        <v>964</v>
      </c>
      <c r="F258" s="29">
        <v>967</v>
      </c>
      <c r="G258" s="29"/>
      <c r="H258" s="59" t="str">
        <f>DEC2HEX(I258)</f>
        <v>B9</v>
      </c>
      <c r="I258" s="30">
        <v>185</v>
      </c>
      <c r="J258" s="30" t="str">
        <f>CHAR(I258)</f>
        <v>¹</v>
      </c>
      <c r="L258">
        <f>IF(ISBLANK(D258),IF(E258&gt;0,F258-E258+1,0),0)</f>
        <v>0</v>
      </c>
      <c r="M258" s="54">
        <f>IF(ISBLANK(D258),0,IF(G258=0,F258-E258+1,0))</f>
        <v>4</v>
      </c>
      <c r="Q258" s="51" t="str">
        <f>C258&amp;IF(ISBLANK(D258),"","=")&amp;D258</f>
        <v>MaxSpeed_M4=5048</v>
      </c>
    </row>
    <row r="259" spans="1:25" x14ac:dyDescent="0.25">
      <c r="A259">
        <v>258</v>
      </c>
      <c r="B259" t="s">
        <v>467</v>
      </c>
      <c r="C259" s="45" t="s">
        <v>404</v>
      </c>
      <c r="D259" s="45">
        <v>5049</v>
      </c>
      <c r="E259" s="29">
        <v>976</v>
      </c>
      <c r="F259" s="29">
        <v>979</v>
      </c>
      <c r="G259" s="29"/>
      <c r="H259" s="59" t="str">
        <f>DEC2HEX(I259)</f>
        <v>BA</v>
      </c>
      <c r="I259" s="30">
        <v>186</v>
      </c>
      <c r="J259" s="30" t="str">
        <f>CHAR(I259)</f>
        <v>º</v>
      </c>
      <c r="L259">
        <f>IF(ISBLANK(D259),IF(E259&gt;0,F259-E259+1,0),0)</f>
        <v>0</v>
      </c>
      <c r="M259" s="54">
        <f>IF(ISBLANK(D259),0,IF(G259=0,F259-E259+1,0))</f>
        <v>4</v>
      </c>
      <c r="Q259" s="51" t="str">
        <f>C259&amp;IF(ISBLANK(D259),"","=")&amp;D259</f>
        <v>Accel_M4=5049</v>
      </c>
    </row>
    <row r="260" spans="1:25" x14ac:dyDescent="0.25">
      <c r="A260">
        <v>259</v>
      </c>
      <c r="B260" t="s">
        <v>467</v>
      </c>
      <c r="C260" s="45" t="s">
        <v>405</v>
      </c>
      <c r="D260" s="45">
        <v>49</v>
      </c>
      <c r="E260" s="29">
        <v>48</v>
      </c>
      <c r="F260" s="29">
        <v>51</v>
      </c>
      <c r="G260" s="29">
        <v>24</v>
      </c>
      <c r="H260" s="59" t="str">
        <f>DEC2HEX(I260)</f>
        <v>6F</v>
      </c>
      <c r="I260" s="29">
        <v>111</v>
      </c>
      <c r="J260" s="30" t="str">
        <f>CHAR(I260)</f>
        <v>o</v>
      </c>
      <c r="L260">
        <f>IF(ISBLANK(D260),IF(E260&gt;0,F260-E260+1,0),0)</f>
        <v>0</v>
      </c>
      <c r="M260" s="54">
        <f>IF(ISBLANK(D260),0,IF(G260=0,F260-E260+1,0))</f>
        <v>0</v>
      </c>
      <c r="Q260" s="51" t="str">
        <f>C260&amp;IF(ISBLANK(D260),"","=")&amp;D260</f>
        <v>SpeedPercentage_M4=49</v>
      </c>
    </row>
    <row r="261" spans="1:25" x14ac:dyDescent="0.25">
      <c r="A261">
        <v>260</v>
      </c>
      <c r="C261" s="45" t="s">
        <v>242</v>
      </c>
      <c r="K261" s="50"/>
      <c r="Q261" s="51" t="str">
        <f>C261&amp;IF(ISBLANK(D261),"","=")&amp;D261</f>
        <v>;</v>
      </c>
    </row>
    <row r="262" spans="1:25" x14ac:dyDescent="0.25">
      <c r="A262">
        <v>261</v>
      </c>
      <c r="B262" s="32"/>
      <c r="C262" s="47" t="s">
        <v>325</v>
      </c>
      <c r="D262" s="47"/>
      <c r="E262" s="32"/>
      <c r="F262" s="32"/>
      <c r="G262" s="32"/>
      <c r="H262" s="44"/>
      <c r="I262" s="32"/>
      <c r="J262" s="32"/>
      <c r="K262" s="102"/>
      <c r="L262" s="32"/>
      <c r="M262" s="55"/>
      <c r="Q262" s="51" t="str">
        <f>C262&amp;IF(ISBLANK(D262),"","=")&amp;D262</f>
        <v>[Sync]</v>
      </c>
    </row>
    <row r="263" spans="1:25" x14ac:dyDescent="0.25">
      <c r="A263">
        <v>262</v>
      </c>
      <c r="C263" s="50" t="s">
        <v>242</v>
      </c>
      <c r="K263" s="50"/>
      <c r="Q263" s="51" t="str">
        <f>C263&amp;IF(ISBLANK(D263),"","=")&amp;D263</f>
        <v>;</v>
      </c>
    </row>
    <row r="264" spans="1:25" x14ac:dyDescent="0.25">
      <c r="A264">
        <v>263</v>
      </c>
      <c r="B264" t="s">
        <v>35</v>
      </c>
      <c r="C264" s="50" t="s">
        <v>429</v>
      </c>
      <c r="D264" s="45">
        <v>0</v>
      </c>
      <c r="E264" s="29">
        <v>20</v>
      </c>
      <c r="F264" s="29">
        <v>23</v>
      </c>
      <c r="G264" s="29">
        <v>24</v>
      </c>
      <c r="H264" s="59" t="str">
        <f>DEC2HEX(I264)</f>
        <v>49</v>
      </c>
      <c r="I264" s="30">
        <v>73</v>
      </c>
      <c r="J264" s="30" t="str">
        <f>CHAR(I264)</f>
        <v>I</v>
      </c>
      <c r="K264" s="50"/>
      <c r="L264">
        <f>IF(ISBLANK(D264),IF(E264&gt;0,F264-E264+1,0),0)</f>
        <v>0</v>
      </c>
      <c r="M264" s="54">
        <f>IF(ISBLANK(D264),0,IF(G264=0,F264-E264+1,0))</f>
        <v>0</v>
      </c>
      <c r="Q264" s="51" t="str">
        <f>C264&amp;IF(ISBLANK(D264),"","=")&amp;D264</f>
        <v>HelixType=0</v>
      </c>
    </row>
    <row r="265" spans="1:25" x14ac:dyDescent="0.25">
      <c r="A265">
        <v>264</v>
      </c>
      <c r="B265" t="s">
        <v>35</v>
      </c>
      <c r="C265" s="50" t="s">
        <v>430</v>
      </c>
      <c r="D265" s="45">
        <v>0.3</v>
      </c>
      <c r="E265" s="29">
        <v>612</v>
      </c>
      <c r="F265" s="29">
        <v>619</v>
      </c>
      <c r="G265" s="29"/>
      <c r="H265" s="81" t="str">
        <f>DEC2HEX(I265)</f>
        <v>C0</v>
      </c>
      <c r="I265" s="30">
        <v>192</v>
      </c>
      <c r="J265" s="30" t="str">
        <f>CHAR(I265)</f>
        <v>À</v>
      </c>
      <c r="L265">
        <f>IF(ISBLANK(D265),IF(E265&gt;0,F265-E265+1,0),0)</f>
        <v>0</v>
      </c>
      <c r="M265" s="54">
        <f>IF(ISBLANK(D265),0,IF(G265=0,F265-E265+1,0))</f>
        <v>8</v>
      </c>
      <c r="Q265" s="51" t="str">
        <f>C265&amp;IF(ISBLANK(D265),"","=")&amp;D265</f>
        <v>Revolutions=0.3</v>
      </c>
    </row>
    <row r="266" spans="1:25" s="32" customFormat="1" x14ac:dyDescent="0.25">
      <c r="A266">
        <v>265</v>
      </c>
      <c r="B266" t="s">
        <v>35</v>
      </c>
      <c r="C266" s="50" t="s">
        <v>431</v>
      </c>
      <c r="D266" s="45">
        <v>1.258</v>
      </c>
      <c r="E266" s="29">
        <v>628</v>
      </c>
      <c r="F266" s="29">
        <v>635</v>
      </c>
      <c r="G266" s="29"/>
      <c r="H266" s="81" t="str">
        <f>DEC2HEX(I266)</f>
        <v>C1</v>
      </c>
      <c r="I266" s="30">
        <v>193</v>
      </c>
      <c r="J266" s="30" t="str">
        <f>CHAR(I266)</f>
        <v>Á</v>
      </c>
      <c r="K266" s="45"/>
      <c r="L266">
        <f>IF(ISBLANK(D266),IF(E266&gt;0,F266-E266+1,0),0)</f>
        <v>0</v>
      </c>
      <c r="M266" s="54">
        <f>IF(ISBLANK(D266),0,IF(G266=0,F266-E266+1,0))</f>
        <v>8</v>
      </c>
      <c r="N266" s="75"/>
      <c r="O266" s="75"/>
      <c r="P266" s="75"/>
      <c r="Q266" s="51" t="str">
        <f>C266&amp;IF(ISBLANK(D266),"","=")&amp;D266</f>
        <v>Distance=1.258</v>
      </c>
      <c r="R266" s="4"/>
      <c r="S266" s="4"/>
      <c r="T266" s="4"/>
      <c r="U266" s="4"/>
      <c r="V266" s="4"/>
      <c r="W266" s="4"/>
      <c r="X266" s="4"/>
      <c r="Y266" s="4"/>
    </row>
    <row r="267" spans="1:25" x14ac:dyDescent="0.25">
      <c r="A267">
        <v>266</v>
      </c>
      <c r="C267" s="45" t="s">
        <v>242</v>
      </c>
      <c r="Q267" s="51" t="str">
        <f>C267&amp;IF(ISBLANK(D267),"","=")&amp;D267</f>
        <v>;</v>
      </c>
    </row>
    <row r="268" spans="1:25" x14ac:dyDescent="0.25">
      <c r="A268">
        <v>267</v>
      </c>
      <c r="B268" s="32"/>
      <c r="C268" s="102" t="s">
        <v>326</v>
      </c>
      <c r="D268" s="47"/>
      <c r="E268" s="32"/>
      <c r="F268" s="32"/>
      <c r="G268" s="32"/>
      <c r="H268" s="102"/>
      <c r="I268" s="32"/>
      <c r="J268" s="32"/>
      <c r="K268" s="47"/>
      <c r="L268" s="32"/>
      <c r="M268" s="55"/>
      <c r="Q268" s="51" t="str">
        <f>C268&amp;IF(ISBLANK(D268),"","=")&amp;D268</f>
        <v>[Recip]</v>
      </c>
    </row>
    <row r="269" spans="1:25" x14ac:dyDescent="0.25">
      <c r="A269">
        <v>268</v>
      </c>
      <c r="C269" s="50" t="s">
        <v>242</v>
      </c>
      <c r="D269" s="46"/>
      <c r="E269" s="4"/>
      <c r="F269" s="4"/>
      <c r="G269" s="4"/>
      <c r="Q269" s="51" t="str">
        <f>C269&amp;IF(ISBLANK(D269),"","=")&amp;D269</f>
        <v>;</v>
      </c>
    </row>
    <row r="270" spans="1:25" x14ac:dyDescent="0.25">
      <c r="A270">
        <v>269</v>
      </c>
      <c r="B270" t="s">
        <v>464</v>
      </c>
      <c r="C270" s="50" t="s">
        <v>432</v>
      </c>
      <c r="D270" s="46">
        <v>1</v>
      </c>
      <c r="E270" s="29">
        <v>436</v>
      </c>
      <c r="F270" s="29">
        <v>439</v>
      </c>
      <c r="G270" s="29">
        <v>16</v>
      </c>
      <c r="H270" s="59" t="str">
        <f>DEC2HEX(I270)</f>
        <v>44</v>
      </c>
      <c r="I270" s="30">
        <v>68</v>
      </c>
      <c r="J270" s="30" t="str">
        <f>CHAR(I270)</f>
        <v>D</v>
      </c>
      <c r="K270" s="46"/>
      <c r="L270">
        <f>IF(ISBLANK(D270),IF(E270&gt;0,F270-E270+1,0),0)</f>
        <v>0</v>
      </c>
      <c r="M270" s="54">
        <f>IF(ISBLANK(D270),0,IF(G270=0,F270-E270+1,0))</f>
        <v>0</v>
      </c>
      <c r="Q270" s="51" t="str">
        <f>C270&amp;IF(ISBLANK(D270),"","=")&amp;D270</f>
        <v>Style=1</v>
      </c>
    </row>
    <row r="271" spans="1:25" x14ac:dyDescent="0.25">
      <c r="A271">
        <v>270</v>
      </c>
      <c r="C271" s="45" t="s">
        <v>327</v>
      </c>
      <c r="D271" s="46"/>
      <c r="E271" s="4"/>
      <c r="F271" s="4"/>
      <c r="G271" s="4"/>
      <c r="Q271" s="51" t="str">
        <f>C271&amp;IF(ISBLANK(D271),"","=")&amp;D271</f>
        <v>;Radial</v>
      </c>
    </row>
    <row r="272" spans="1:25" x14ac:dyDescent="0.25">
      <c r="A272">
        <v>271</v>
      </c>
      <c r="B272" t="s">
        <v>464</v>
      </c>
      <c r="C272" s="45" t="s">
        <v>434</v>
      </c>
      <c r="D272" s="46">
        <v>5</v>
      </c>
      <c r="E272" s="30">
        <v>556</v>
      </c>
      <c r="F272" s="30">
        <v>559</v>
      </c>
      <c r="G272" s="29"/>
      <c r="H272" s="59" t="str">
        <f>DEC2HEX(I272)</f>
        <v>D4</v>
      </c>
      <c r="I272" s="30">
        <v>212</v>
      </c>
      <c r="J272" s="30" t="str">
        <f>CHAR(I272)</f>
        <v>Ô</v>
      </c>
      <c r="L272">
        <f>IF(ISBLANK(D272),IF(E272&gt;0,F272-E272+1,0),0)</f>
        <v>0</v>
      </c>
      <c r="M272" s="54">
        <f>IF(ISBLANK(D272),0,IF(G272=0,F272-E272+1,0))</f>
        <v>4</v>
      </c>
      <c r="Q272" s="51" t="str">
        <f>C272&amp;IF(ISBLANK(D272),"","=")&amp;D272</f>
        <v>Radial_Waves=5</v>
      </c>
      <c r="R272" s="23"/>
    </row>
    <row r="273" spans="1:25" x14ac:dyDescent="0.25">
      <c r="A273">
        <v>272</v>
      </c>
      <c r="B273" t="s">
        <v>464</v>
      </c>
      <c r="C273" s="45" t="s">
        <v>435</v>
      </c>
      <c r="D273" s="46">
        <v>18.123999999999999</v>
      </c>
      <c r="E273" s="30">
        <v>308</v>
      </c>
      <c r="F273" s="30">
        <v>315</v>
      </c>
      <c r="G273" s="29"/>
      <c r="H273" s="59" t="str">
        <f>DEC2HEX(I273)</f>
        <v>D5</v>
      </c>
      <c r="I273" s="30">
        <v>213</v>
      </c>
      <c r="J273" s="30" t="str">
        <f>CHAR(I273)</f>
        <v>Õ</v>
      </c>
      <c r="L273">
        <f>IF(ISBLANK(D273),IF(E273&gt;0,F273-E273+1,0),0)</f>
        <v>0</v>
      </c>
      <c r="M273" s="54">
        <f>IF(ISBLANK(D273),0,IF(G273=0,F273-E273+1,0))</f>
        <v>8</v>
      </c>
      <c r="Q273" s="51" t="str">
        <f>C273&amp;IF(ISBLANK(D273),"","=")&amp;D273</f>
        <v>Radial_Spindle_Degrees=18.124</v>
      </c>
    </row>
    <row r="274" spans="1:25" x14ac:dyDescent="0.25">
      <c r="A274">
        <v>273</v>
      </c>
      <c r="B274" t="s">
        <v>464</v>
      </c>
      <c r="C274" s="45" t="s">
        <v>436</v>
      </c>
      <c r="D274" s="46">
        <v>4.258</v>
      </c>
      <c r="E274" s="30">
        <v>232</v>
      </c>
      <c r="F274" s="30">
        <v>239</v>
      </c>
      <c r="G274" s="29"/>
      <c r="H274" s="59" t="str">
        <f>DEC2HEX(I274)</f>
        <v>D6</v>
      </c>
      <c r="I274" s="30">
        <v>214</v>
      </c>
      <c r="J274" s="30" t="str">
        <f>CHAR(I274)</f>
        <v>Ö</v>
      </c>
      <c r="L274">
        <f>IF(ISBLANK(D274),IF(E274&gt;0,F274-E274+1,0),0)</f>
        <v>0</v>
      </c>
      <c r="M274" s="54">
        <f>IF(ISBLANK(D274),0,IF(G274=0,F274-E274+1,0))</f>
        <v>8</v>
      </c>
      <c r="Q274" s="51" t="str">
        <f>C274&amp;IF(ISBLANK(D274),"","=")&amp;D274</f>
        <v>Radial_Axis_Amplitude=4.258</v>
      </c>
    </row>
    <row r="275" spans="1:25" x14ac:dyDescent="0.25">
      <c r="A275">
        <v>274</v>
      </c>
      <c r="C275" s="45" t="s">
        <v>328</v>
      </c>
      <c r="D275" s="46"/>
      <c r="E275" s="4"/>
      <c r="F275" s="4"/>
      <c r="G275" s="4"/>
      <c r="Q275" s="51" t="str">
        <f>C275&amp;IF(ISBLANK(D275),"","=")&amp;D275</f>
        <v>;Axial</v>
      </c>
    </row>
    <row r="276" spans="1:25" x14ac:dyDescent="0.25">
      <c r="A276">
        <v>275</v>
      </c>
      <c r="B276" t="s">
        <v>464</v>
      </c>
      <c r="C276" s="45" t="s">
        <v>437</v>
      </c>
      <c r="D276" s="46">
        <v>4</v>
      </c>
      <c r="E276" s="30">
        <v>740</v>
      </c>
      <c r="F276" s="30">
        <v>743</v>
      </c>
      <c r="G276" s="29"/>
      <c r="H276" s="59" t="str">
        <f>DEC2HEX(I276)</f>
        <v>CB</v>
      </c>
      <c r="I276" s="30">
        <v>203</v>
      </c>
      <c r="J276" s="30" t="str">
        <f>CHAR(I276)</f>
        <v>Ë</v>
      </c>
      <c r="L276">
        <f>IF(ISBLANK(D276),IF(E276&gt;0,F276-E276+1,0),0)</f>
        <v>0</v>
      </c>
      <c r="M276" s="54">
        <f>IF(ISBLANK(D276),0,IF(G276=0,F276-E276+1,0))</f>
        <v>4</v>
      </c>
      <c r="Q276" s="51" t="str">
        <f>C276&amp;IF(ISBLANK(D276),"","=")&amp;D276</f>
        <v>Axial_Waves=4</v>
      </c>
    </row>
    <row r="277" spans="1:25" x14ac:dyDescent="0.25">
      <c r="A277">
        <v>276</v>
      </c>
      <c r="B277" t="s">
        <v>464</v>
      </c>
      <c r="C277" s="45" t="s">
        <v>438</v>
      </c>
      <c r="D277" s="46">
        <v>22.257999999999999</v>
      </c>
      <c r="E277" s="30">
        <v>744</v>
      </c>
      <c r="F277" s="30">
        <v>751</v>
      </c>
      <c r="G277" s="29"/>
      <c r="H277" s="59" t="str">
        <f>DEC2HEX(I277)</f>
        <v>CC</v>
      </c>
      <c r="I277" s="30">
        <v>204</v>
      </c>
      <c r="J277" s="30" t="str">
        <f>CHAR(I277)</f>
        <v>Ì</v>
      </c>
      <c r="L277">
        <f>IF(ISBLANK(D277),IF(E277&gt;0,F277-E277+1,0),0)</f>
        <v>0</v>
      </c>
      <c r="M277" s="54">
        <f>IF(ISBLANK(D277),0,IF(G277=0,F277-E277+1,0))</f>
        <v>8</v>
      </c>
      <c r="Q277" s="51" t="str">
        <f>C277&amp;IF(ISBLANK(D277),"","=")&amp;D277</f>
        <v>Axial_Spindle_Amplitude=22.258</v>
      </c>
    </row>
    <row r="278" spans="1:25" x14ac:dyDescent="0.25">
      <c r="A278">
        <v>277</v>
      </c>
      <c r="B278" t="s">
        <v>464</v>
      </c>
      <c r="C278" s="45" t="s">
        <v>439</v>
      </c>
      <c r="D278" s="46">
        <v>7.8959999999999999</v>
      </c>
      <c r="E278" s="30">
        <v>324</v>
      </c>
      <c r="F278" s="30">
        <v>331</v>
      </c>
      <c r="G278" s="29"/>
      <c r="H278" s="59" t="str">
        <f>DEC2HEX(I278)</f>
        <v>CD</v>
      </c>
      <c r="I278" s="30">
        <v>205</v>
      </c>
      <c r="J278" s="30" t="str">
        <f>CHAR(I278)</f>
        <v>Í</v>
      </c>
      <c r="L278">
        <f>IF(ISBLANK(D278),IF(E278&gt;0,F278-E278+1,0),0)</f>
        <v>0</v>
      </c>
      <c r="M278" s="54">
        <f>IF(ISBLANK(D278),0,IF(G278=0,F278-E278+1,0))</f>
        <v>8</v>
      </c>
      <c r="Q278" s="51" t="str">
        <f>C278&amp;IF(ISBLANK(D278),"","=")&amp;D278</f>
        <v>Axial_Axis_Distance=7.896</v>
      </c>
    </row>
    <row r="279" spans="1:25" s="32" customFormat="1" x14ac:dyDescent="0.25">
      <c r="A279">
        <v>278</v>
      </c>
      <c r="B279"/>
      <c r="C279" s="45" t="s">
        <v>242</v>
      </c>
      <c r="D279" s="46"/>
      <c r="E279" s="4"/>
      <c r="F279" s="4"/>
      <c r="G279" s="4"/>
      <c r="H279" s="43"/>
      <c r="I279" s="4"/>
      <c r="J279" s="4"/>
      <c r="K279" s="45"/>
      <c r="L279"/>
      <c r="M279" s="54"/>
      <c r="N279" s="75"/>
      <c r="O279" s="75"/>
      <c r="P279" s="75"/>
      <c r="Q279" s="51" t="str">
        <f>C279&amp;IF(ISBLANK(D279),"","=")&amp;D279</f>
        <v>;</v>
      </c>
      <c r="R279" s="4"/>
      <c r="S279" s="4"/>
      <c r="T279" s="4"/>
      <c r="U279" s="4"/>
      <c r="V279" s="4"/>
      <c r="W279" s="4"/>
      <c r="X279" s="4"/>
      <c r="Y279" s="4"/>
    </row>
    <row r="280" spans="1:25" x14ac:dyDescent="0.25">
      <c r="A280">
        <v>279</v>
      </c>
      <c r="B280" s="32"/>
      <c r="C280" s="47" t="s">
        <v>329</v>
      </c>
      <c r="D280" s="47"/>
      <c r="E280" s="32"/>
      <c r="F280" s="32"/>
      <c r="G280" s="32"/>
      <c r="H280" s="44"/>
      <c r="I280" s="32"/>
      <c r="J280" s="32"/>
      <c r="K280" s="47"/>
      <c r="L280" s="32"/>
      <c r="M280" s="55"/>
      <c r="Q280" s="51" t="str">
        <f>C280&amp;IF(ISBLANK(D280),"","=")&amp;D280</f>
        <v>[GreekKey]</v>
      </c>
    </row>
    <row r="281" spans="1:25" x14ac:dyDescent="0.25">
      <c r="A281">
        <v>280</v>
      </c>
      <c r="C281" s="45" t="s">
        <v>242</v>
      </c>
      <c r="D281" s="46"/>
      <c r="E281" s="4"/>
      <c r="F281" s="4"/>
      <c r="G281" s="4"/>
      <c r="Q281" s="51" t="str">
        <f>C281&amp;IF(ISBLANK(D281),"","=")&amp;D281</f>
        <v>;</v>
      </c>
    </row>
    <row r="282" spans="1:25" x14ac:dyDescent="0.25">
      <c r="A282">
        <v>281</v>
      </c>
      <c r="C282" s="45" t="s">
        <v>330</v>
      </c>
      <c r="D282" s="46"/>
      <c r="E282" s="4"/>
      <c r="F282" s="4"/>
      <c r="G282" s="4"/>
      <c r="Q282" s="51" t="str">
        <f>C282&amp;IF(ISBLANK(D282),"","=")&amp;D282</f>
        <v>;4a: 2 4b: 3 3a: 6 3b: 7 2a: 4 2b: 5</v>
      </c>
    </row>
    <row r="283" spans="1:25" x14ac:dyDescent="0.25">
      <c r="A283">
        <v>282</v>
      </c>
      <c r="B283" t="s">
        <v>36</v>
      </c>
      <c r="C283" s="45" t="s">
        <v>440</v>
      </c>
      <c r="D283" s="46">
        <v>4</v>
      </c>
      <c r="E283" s="29">
        <v>436</v>
      </c>
      <c r="F283" s="29">
        <v>439</v>
      </c>
      <c r="G283" s="29">
        <v>8</v>
      </c>
      <c r="H283" s="59" t="str">
        <f>DEC2HEX(I283)</f>
        <v>B6</v>
      </c>
      <c r="I283" s="30">
        <v>182</v>
      </c>
      <c r="J283" s="30" t="str">
        <f>CHAR(I283)</f>
        <v>¶</v>
      </c>
      <c r="K283" s="46"/>
      <c r="L283">
        <f>IF(ISBLANK(D283),IF(E283&gt;0,F283-E283+1,0),0)</f>
        <v>0</v>
      </c>
      <c r="M283" s="54">
        <f>IF(ISBLANK(D283),0,IF(G283=0,F283-E283+1,0))</f>
        <v>0</v>
      </c>
      <c r="Q283" s="51" t="str">
        <f>C283&amp;IF(ISBLANK(D283),"","=")&amp;D283</f>
        <v>PatternType=4</v>
      </c>
    </row>
    <row r="284" spans="1:25" x14ac:dyDescent="0.25">
      <c r="A284">
        <v>283</v>
      </c>
      <c r="B284" t="s">
        <v>36</v>
      </c>
      <c r="C284" s="45" t="s">
        <v>441</v>
      </c>
      <c r="D284" s="46">
        <v>8</v>
      </c>
      <c r="E284" s="30">
        <v>372</v>
      </c>
      <c r="F284" s="30">
        <v>375</v>
      </c>
      <c r="G284" s="29"/>
      <c r="H284" s="59" t="str">
        <f>DEC2HEX(I284)</f>
        <v>FC</v>
      </c>
      <c r="I284" s="30">
        <v>252</v>
      </c>
      <c r="J284" s="30" t="str">
        <f>CHAR(I284)</f>
        <v>ü</v>
      </c>
      <c r="L284">
        <f>IF(ISBLANK(D284),IF(E284&gt;0,F284-E284+1,0),0)</f>
        <v>0</v>
      </c>
      <c r="M284" s="54">
        <f>IF(ISBLANK(D284),0,IF(G284=0,F284-E284+1,0))</f>
        <v>4</v>
      </c>
      <c r="Q284" s="51" t="str">
        <f>C284&amp;IF(ISBLANK(D284),"","=")&amp;D284</f>
        <v>PatternsPer360=8</v>
      </c>
    </row>
    <row r="285" spans="1:25" x14ac:dyDescent="0.25">
      <c r="A285">
        <v>284</v>
      </c>
      <c r="B285" t="s">
        <v>36</v>
      </c>
      <c r="C285" s="45" t="s">
        <v>442</v>
      </c>
      <c r="D285" s="46">
        <v>24</v>
      </c>
      <c r="E285" s="30">
        <v>496</v>
      </c>
      <c r="F285" s="30">
        <v>499</v>
      </c>
      <c r="G285" s="29"/>
      <c r="H285" s="59" t="str">
        <f>DEC2HEX(I285)</f>
        <v>2E</v>
      </c>
      <c r="I285" s="30">
        <v>46</v>
      </c>
      <c r="J285" s="30" t="str">
        <f>CHAR(I285)</f>
        <v>.</v>
      </c>
      <c r="L285">
        <f>IF(ISBLANK(D285),IF(E285&gt;0,F285-E285+1,0),0)</f>
        <v>0</v>
      </c>
      <c r="M285" s="54">
        <f>IF(ISBLANK(D285),0,IF(G285=0,F285-E285+1,0))</f>
        <v>4</v>
      </c>
      <c r="Q285" s="51" t="str">
        <f>C285&amp;IF(ISBLANK(D285),"","=")&amp;D285</f>
        <v>PatternCount=24</v>
      </c>
      <c r="R285" s="23"/>
    </row>
    <row r="286" spans="1:25" x14ac:dyDescent="0.25">
      <c r="A286">
        <v>285</v>
      </c>
      <c r="B286" t="s">
        <v>36</v>
      </c>
      <c r="C286" s="45" t="s">
        <v>443</v>
      </c>
      <c r="D286" s="46">
        <v>1.2</v>
      </c>
      <c r="E286" s="29">
        <v>620</v>
      </c>
      <c r="F286" s="29">
        <v>627</v>
      </c>
      <c r="G286" s="29"/>
      <c r="H286" s="59" t="str">
        <f>DEC2HEX(I286)</f>
        <v>FB</v>
      </c>
      <c r="I286" s="30">
        <v>251</v>
      </c>
      <c r="J286" s="30" t="str">
        <f>CHAR(I286)</f>
        <v>û</v>
      </c>
      <c r="L286">
        <f>IF(ISBLANK(D286),IF(E286&gt;0,F286-E286+1,0),0)</f>
        <v>0</v>
      </c>
      <c r="M286" s="54">
        <f>IF(ISBLANK(D286),0,IF(G286=0,F286-E286+1,0))</f>
        <v>8</v>
      </c>
      <c r="Q286" s="51" t="str">
        <f>C286&amp;IF(ISBLANK(D286),"","=")&amp;D286</f>
        <v>SegmentLength=1.2</v>
      </c>
    </row>
    <row r="287" spans="1:25" s="32" customFormat="1" x14ac:dyDescent="0.25">
      <c r="A287">
        <v>286</v>
      </c>
      <c r="B287"/>
      <c r="C287" s="45" t="s">
        <v>242</v>
      </c>
      <c r="D287" s="46"/>
      <c r="E287" s="4"/>
      <c r="F287" s="4"/>
      <c r="G287" s="4"/>
      <c r="H287" s="43"/>
      <c r="I287" s="4"/>
      <c r="J287" s="4"/>
      <c r="K287" s="45"/>
      <c r="L287"/>
      <c r="M287" s="54"/>
      <c r="N287" s="75"/>
      <c r="O287" s="75"/>
      <c r="P287" s="75"/>
      <c r="Q287" s="51" t="str">
        <f>C287&amp;IF(ISBLANK(D287),"","=")&amp;D287</f>
        <v>;</v>
      </c>
      <c r="R287" s="4"/>
      <c r="S287" s="4"/>
      <c r="T287" s="4"/>
      <c r="U287" s="4"/>
      <c r="V287" s="4"/>
      <c r="W287" s="4"/>
      <c r="X287" s="4"/>
      <c r="Y287" s="4"/>
    </row>
    <row r="288" spans="1:25" x14ac:dyDescent="0.25">
      <c r="A288">
        <v>287</v>
      </c>
      <c r="B288" s="32"/>
      <c r="C288" s="47" t="s">
        <v>331</v>
      </c>
      <c r="D288" s="47"/>
      <c r="E288" s="32"/>
      <c r="F288" s="32"/>
      <c r="G288" s="32"/>
      <c r="H288" s="44"/>
      <c r="I288" s="32"/>
      <c r="J288" s="32"/>
      <c r="K288" s="47"/>
      <c r="L288" s="32"/>
      <c r="M288" s="55"/>
      <c r="Q288" s="51" t="str">
        <f>C288&amp;IF(ISBLANK(D288),"","=")&amp;D288</f>
        <v>[Program]</v>
      </c>
    </row>
    <row r="289" spans="1:25" x14ac:dyDescent="0.25">
      <c r="A289">
        <v>288</v>
      </c>
      <c r="C289" s="45" t="s">
        <v>242</v>
      </c>
      <c r="D289" s="46"/>
      <c r="E289" s="4"/>
      <c r="F289" s="4"/>
      <c r="G289" s="4"/>
      <c r="Q289" s="51" t="str">
        <f>C289&amp;IF(ISBLANK(D289),"","=")&amp;D289</f>
        <v>;</v>
      </c>
    </row>
    <row r="290" spans="1:25" x14ac:dyDescent="0.25">
      <c r="A290">
        <v>289</v>
      </c>
      <c r="B290" t="s">
        <v>294</v>
      </c>
      <c r="C290" s="45" t="s">
        <v>441</v>
      </c>
      <c r="D290" s="46">
        <v>8.5</v>
      </c>
      <c r="E290" s="29">
        <v>636</v>
      </c>
      <c r="F290" s="29">
        <v>643</v>
      </c>
      <c r="G290" s="29"/>
      <c r="H290" s="59" t="str">
        <f>DEC2HEX(I290)</f>
        <v>E6</v>
      </c>
      <c r="I290" s="30">
        <v>230</v>
      </c>
      <c r="J290" s="30" t="str">
        <f>CHAR(I290)</f>
        <v>æ</v>
      </c>
      <c r="L290">
        <f>IF(ISBLANK(D290),IF(E290&gt;0,F290-E290+1,0),0)</f>
        <v>0</v>
      </c>
      <c r="M290" s="54">
        <f>IF(ISBLANK(D290),0,IF(G290=0,F290-E290+1,0))</f>
        <v>8</v>
      </c>
      <c r="Q290" s="51" t="str">
        <f>C290&amp;IF(ISBLANK(D290),"","=")&amp;D290</f>
        <v>PatternsPer360=8.5</v>
      </c>
    </row>
    <row r="291" spans="1:25" x14ac:dyDescent="0.25">
      <c r="A291">
        <v>290</v>
      </c>
      <c r="B291" t="s">
        <v>294</v>
      </c>
      <c r="C291" s="45" t="s">
        <v>442</v>
      </c>
      <c r="D291" s="46">
        <v>12</v>
      </c>
      <c r="E291" s="30">
        <v>756</v>
      </c>
      <c r="F291" s="30">
        <v>759</v>
      </c>
      <c r="G291" s="29"/>
      <c r="H291" s="59" t="str">
        <f>DEC2HEX(I291)</f>
        <v>4D</v>
      </c>
      <c r="I291" s="30">
        <v>77</v>
      </c>
      <c r="J291" s="30" t="str">
        <f>CHAR(I291)</f>
        <v>M</v>
      </c>
      <c r="L291">
        <f>IF(ISBLANK(D291),IF(E291&gt;0,F291-E291+1,0),0)</f>
        <v>0</v>
      </c>
      <c r="M291" s="54">
        <f>IF(ISBLANK(D291),0,IF(G291=0,F291-E291+1,0))</f>
        <v>4</v>
      </c>
      <c r="Q291" s="51" t="str">
        <f>C291&amp;IF(ISBLANK(D291),"","=")&amp;D291</f>
        <v>PatternCount=12</v>
      </c>
    </row>
    <row r="292" spans="1:25" x14ac:dyDescent="0.25">
      <c r="A292">
        <v>291</v>
      </c>
      <c r="B292" t="s">
        <v>294</v>
      </c>
      <c r="C292" s="45" t="s">
        <v>443</v>
      </c>
      <c r="D292" s="46">
        <v>3.2000000000000001E-2</v>
      </c>
      <c r="E292" s="29">
        <v>300</v>
      </c>
      <c r="F292" s="29">
        <v>307</v>
      </c>
      <c r="G292" s="29"/>
      <c r="H292" s="59" t="str">
        <f>DEC2HEX(I292)</f>
        <v>55</v>
      </c>
      <c r="I292" s="30">
        <v>85</v>
      </c>
      <c r="J292" s="30" t="str">
        <f>CHAR(I292)</f>
        <v>U</v>
      </c>
      <c r="L292">
        <f>IF(ISBLANK(D292),IF(E292&gt;0,F292-E292+1,0),0)</f>
        <v>0</v>
      </c>
      <c r="M292" s="54">
        <f>IF(ISBLANK(D292),0,IF(G292=0,F292-E292+1,0))</f>
        <v>8</v>
      </c>
      <c r="Q292" s="51" t="str">
        <f>C292&amp;IF(ISBLANK(D292),"","=")&amp;D292</f>
        <v>SegmentLength=0.032</v>
      </c>
    </row>
    <row r="293" spans="1:25" x14ac:dyDescent="0.25">
      <c r="A293">
        <v>292</v>
      </c>
      <c r="C293" s="45" t="s">
        <v>332</v>
      </c>
      <c r="D293" s="46"/>
      <c r="E293" s="4"/>
      <c r="F293" s="4"/>
      <c r="G293" s="4"/>
      <c r="Q293" s="51" t="str">
        <f>C293&amp;IF(ISBLANK(D293),"","=")&amp;D293</f>
        <v>;Segments: 2  Actual: 3</v>
      </c>
    </row>
    <row r="294" spans="1:25" x14ac:dyDescent="0.25">
      <c r="A294">
        <v>293</v>
      </c>
      <c r="B294" t="s">
        <v>294</v>
      </c>
      <c r="C294" s="45" t="s">
        <v>444</v>
      </c>
      <c r="D294" s="46">
        <v>2</v>
      </c>
      <c r="E294" s="29">
        <v>436</v>
      </c>
      <c r="F294" s="29">
        <v>439</v>
      </c>
      <c r="G294" s="29">
        <v>0</v>
      </c>
      <c r="H294" s="59" t="str">
        <f>DEC2HEX(I294)</f>
        <v>4C</v>
      </c>
      <c r="I294" s="30">
        <v>76</v>
      </c>
      <c r="J294" s="30" t="str">
        <f>CHAR(I294)</f>
        <v>L</v>
      </c>
      <c r="K294" s="46"/>
      <c r="L294">
        <f>IF(ISBLANK(D294),IF(E294&gt;0,F294-E294+1,0),0)</f>
        <v>0</v>
      </c>
      <c r="M294" s="54">
        <f>IF(ISBLANK(D294),0,IF(G294=0,F294-E294+1,0))</f>
        <v>4</v>
      </c>
      <c r="Q294" s="51" t="str">
        <f>C294&amp;IF(ISBLANK(D294),"","=")&amp;D294</f>
        <v>SegmentsOrActual=2</v>
      </c>
    </row>
    <row r="295" spans="1:25" s="32" customFormat="1" x14ac:dyDescent="0.25">
      <c r="A295">
        <v>294</v>
      </c>
      <c r="B295"/>
      <c r="C295" s="45" t="s">
        <v>242</v>
      </c>
      <c r="D295" s="46"/>
      <c r="E295" s="4"/>
      <c r="F295" s="4"/>
      <c r="G295" s="4"/>
      <c r="H295" s="43"/>
      <c r="I295" s="4"/>
      <c r="J295" s="4"/>
      <c r="K295" s="45"/>
      <c r="L295"/>
      <c r="M295" s="54"/>
      <c r="N295" s="75"/>
      <c r="O295" s="75"/>
      <c r="P295" s="75"/>
      <c r="Q295" s="51" t="str">
        <f>C295&amp;IF(ISBLANK(D295),"","=")&amp;D295</f>
        <v>;</v>
      </c>
      <c r="R295" s="4"/>
      <c r="S295" s="4"/>
      <c r="T295" s="4"/>
      <c r="U295" s="4"/>
      <c r="V295" s="4"/>
      <c r="W295" s="4"/>
      <c r="X295" s="4"/>
      <c r="Y295" s="4"/>
    </row>
    <row r="296" spans="1:25" x14ac:dyDescent="0.25">
      <c r="A296">
        <v>295</v>
      </c>
      <c r="B296" s="32"/>
      <c r="C296" s="47" t="s">
        <v>333</v>
      </c>
      <c r="D296" s="47"/>
      <c r="E296" s="32"/>
      <c r="F296" s="32"/>
      <c r="G296" s="32"/>
      <c r="H296" s="44"/>
      <c r="I296" s="32"/>
      <c r="J296" s="32"/>
      <c r="K296" s="47"/>
      <c r="L296" s="32"/>
      <c r="M296" s="55"/>
      <c r="Q296" s="51" t="str">
        <f>C296&amp;IF(ISBLANK(D296),"","=")&amp;D296</f>
        <v>[Rose]</v>
      </c>
    </row>
    <row r="297" spans="1:25" x14ac:dyDescent="0.25">
      <c r="A297">
        <v>296</v>
      </c>
      <c r="C297" s="45" t="s">
        <v>242</v>
      </c>
      <c r="D297" s="46"/>
      <c r="E297" s="4"/>
      <c r="F297" s="4"/>
      <c r="G297" s="4"/>
      <c r="Q297" s="51" t="str">
        <f>C297&amp;IF(ISBLANK(D297),"","=")&amp;D297</f>
        <v>;</v>
      </c>
    </row>
    <row r="298" spans="1:25" x14ac:dyDescent="0.25">
      <c r="A298">
        <v>297</v>
      </c>
      <c r="B298" t="s">
        <v>251</v>
      </c>
      <c r="C298" s="45" t="s">
        <v>280</v>
      </c>
      <c r="D298" s="46">
        <v>1</v>
      </c>
      <c r="E298" s="29">
        <v>100</v>
      </c>
      <c r="F298" s="29">
        <v>103</v>
      </c>
      <c r="G298" s="29">
        <v>8</v>
      </c>
      <c r="H298" s="59" t="str">
        <f>DEC2HEX(I298)</f>
        <v>42</v>
      </c>
      <c r="I298" s="30">
        <v>66</v>
      </c>
      <c r="J298" s="30" t="str">
        <f>CHAR(I298)</f>
        <v>B</v>
      </c>
      <c r="L298">
        <f>IF(ISBLANK(D298),IF(E298&gt;0,F298-E298+1,0),0)</f>
        <v>0</v>
      </c>
      <c r="M298" s="54">
        <f>IF(ISBLANK(D298),0,IF(G298=0,F298-E298+1,0))</f>
        <v>0</v>
      </c>
      <c r="Q298" s="51" t="str">
        <f>C298&amp;IF(ISBLANK(D298),"","=")&amp;D298</f>
        <v>AxisId=1</v>
      </c>
    </row>
    <row r="299" spans="1:25" x14ac:dyDescent="0.25">
      <c r="A299">
        <v>298</v>
      </c>
      <c r="B299" t="s">
        <v>251</v>
      </c>
      <c r="C299" s="45" t="s">
        <v>433</v>
      </c>
      <c r="D299" s="46">
        <v>0</v>
      </c>
      <c r="E299" s="30">
        <v>240</v>
      </c>
      <c r="F299" s="30">
        <v>243</v>
      </c>
      <c r="G299" s="29"/>
      <c r="H299" s="59" t="str">
        <f>DEC2HEX(I299)</f>
        <v>46</v>
      </c>
      <c r="I299" s="30">
        <v>70</v>
      </c>
      <c r="J299" s="30" t="str">
        <f>CHAR(I299)</f>
        <v>F</v>
      </c>
      <c r="L299">
        <f>IF(ISBLANK(D299),IF(E299&gt;0,F299-E299+1,0),0)</f>
        <v>0</v>
      </c>
      <c r="M299" s="54">
        <f>IF(ISBLANK(D299),0,IF(G299=0,F299-E299+1,0))</f>
        <v>4</v>
      </c>
      <c r="Q299" s="51" t="str">
        <f>C299&amp;IF(ISBLANK(D299),"","=")&amp;D299</f>
        <v>RadialOrAxial=0</v>
      </c>
    </row>
    <row r="300" spans="1:25" x14ac:dyDescent="0.25">
      <c r="A300">
        <v>299</v>
      </c>
      <c r="B300" t="s">
        <v>251</v>
      </c>
      <c r="C300" s="45" t="s">
        <v>445</v>
      </c>
      <c r="D300" s="46">
        <v>9</v>
      </c>
      <c r="E300" s="29">
        <v>100</v>
      </c>
      <c r="F300" s="29">
        <v>103</v>
      </c>
      <c r="G300" s="29">
        <v>16</v>
      </c>
      <c r="H300" s="59" t="str">
        <f>DEC2HEX(I300)</f>
        <v>54</v>
      </c>
      <c r="I300" s="30">
        <v>84</v>
      </c>
      <c r="J300" s="30" t="str">
        <f>CHAR(I300)</f>
        <v>T</v>
      </c>
      <c r="L300">
        <f>IF(ISBLANK(D300),IF(E300&gt;0,F300-E300+1,0),0)</f>
        <v>0</v>
      </c>
      <c r="M300" s="54">
        <f>IF(ISBLANK(D300),0,IF(G300=0,F300-E300+1,0))</f>
        <v>0</v>
      </c>
      <c r="Q300" s="51" t="str">
        <f>C300&amp;IF(ISBLANK(D300),"","=")&amp;D300</f>
        <v>Rose_n=9</v>
      </c>
    </row>
    <row r="301" spans="1:25" x14ac:dyDescent="0.25">
      <c r="A301">
        <v>300</v>
      </c>
      <c r="B301" t="s">
        <v>251</v>
      </c>
      <c r="C301" s="45" t="s">
        <v>446</v>
      </c>
      <c r="D301" s="46">
        <v>5</v>
      </c>
      <c r="E301" s="29">
        <v>100</v>
      </c>
      <c r="F301" s="29">
        <v>103</v>
      </c>
      <c r="G301" s="29">
        <v>24</v>
      </c>
      <c r="H301" s="59" t="str">
        <f>DEC2HEX(I301)</f>
        <v>59</v>
      </c>
      <c r="I301" s="30">
        <v>89</v>
      </c>
      <c r="J301" s="30" t="str">
        <f>CHAR(I301)</f>
        <v>Y</v>
      </c>
      <c r="L301">
        <f>IF(ISBLANK(D301),IF(E301&gt;0,F301-E301+1,0),0)</f>
        <v>0</v>
      </c>
      <c r="M301" s="54">
        <f>IF(ISBLANK(D301),0,IF(G301=0,F301-E301+1,0))</f>
        <v>0</v>
      </c>
      <c r="Q301" s="51" t="str">
        <f>C301&amp;IF(ISBLANK(D301),"","=")&amp;D301</f>
        <v>Rose_d=5</v>
      </c>
    </row>
    <row r="302" spans="1:25" x14ac:dyDescent="0.25">
      <c r="A302">
        <v>301</v>
      </c>
      <c r="C302" s="45" t="s">
        <v>312</v>
      </c>
      <c r="D302" s="46"/>
      <c r="E302" s="4"/>
      <c r="F302" s="4"/>
      <c r="G302" s="4"/>
      <c r="Q302" s="51" t="str">
        <f>C302&amp;IF(ISBLANK(D302),"","=")&amp;D302</f>
        <v>;Spindle</v>
      </c>
    </row>
    <row r="303" spans="1:25" x14ac:dyDescent="0.25">
      <c r="A303">
        <v>302</v>
      </c>
      <c r="B303" t="s">
        <v>251</v>
      </c>
      <c r="C303" s="45" t="s">
        <v>447</v>
      </c>
      <c r="D303" s="46">
        <v>3.125</v>
      </c>
      <c r="E303" s="29">
        <v>696</v>
      </c>
      <c r="F303" s="29">
        <v>703</v>
      </c>
      <c r="G303" s="29"/>
      <c r="H303" s="59" t="str">
        <f>DEC2HEX(I303)</f>
        <v>61</v>
      </c>
      <c r="I303" s="30">
        <v>97</v>
      </c>
      <c r="J303" s="30" t="str">
        <f>CHAR(I303)</f>
        <v>a</v>
      </c>
      <c r="L303">
        <f>IF(ISBLANK(D303),IF(E303&gt;0,F303-E303+1,0),0)</f>
        <v>0</v>
      </c>
      <c r="M303" s="54">
        <f>IF(ISBLANK(D303),0,IF(G303=0,F303-E303+1,0))</f>
        <v>8</v>
      </c>
      <c r="Q303" s="51" t="str">
        <f>C303&amp;IF(ISBLANK(D303),"","=")&amp;D303</f>
        <v>SpindleRevolutions=3.125</v>
      </c>
    </row>
    <row r="304" spans="1:25" x14ac:dyDescent="0.25">
      <c r="A304">
        <v>303</v>
      </c>
      <c r="B304" t="s">
        <v>251</v>
      </c>
      <c r="C304" s="45" t="s">
        <v>377</v>
      </c>
      <c r="D304" s="46">
        <v>5687</v>
      </c>
      <c r="E304" s="29">
        <v>828</v>
      </c>
      <c r="F304" s="29">
        <v>831</v>
      </c>
      <c r="G304" s="29"/>
      <c r="H304" s="59" t="str">
        <f>DEC2HEX(I304)</f>
        <v>3A</v>
      </c>
      <c r="I304" s="30">
        <v>58</v>
      </c>
      <c r="J304" s="30" t="str">
        <f>CHAR(I304)</f>
        <v>:</v>
      </c>
      <c r="L304">
        <f>IF(ISBLANK(D304),IF(E304&gt;0,F304-E304+1,0),0)</f>
        <v>0</v>
      </c>
      <c r="M304" s="54">
        <f>IF(ISBLANK(D304),0,IF(G304=0,F304-E304+1,0))</f>
        <v>4</v>
      </c>
      <c r="Q304" s="51" t="str">
        <f>C304&amp;IF(ISBLANK(D304),"","=")&amp;D304</f>
        <v>MaxSpeed_Spindle=5687</v>
      </c>
    </row>
    <row r="305" spans="1:17" x14ac:dyDescent="0.25">
      <c r="A305">
        <v>304</v>
      </c>
      <c r="B305" t="s">
        <v>251</v>
      </c>
      <c r="C305" s="45" t="s">
        <v>378</v>
      </c>
      <c r="D305" s="46">
        <v>6547</v>
      </c>
      <c r="E305" s="29">
        <v>832</v>
      </c>
      <c r="F305" s="29">
        <v>835</v>
      </c>
      <c r="G305" s="29"/>
      <c r="H305" s="59" t="str">
        <f>DEC2HEX(I305)</f>
        <v>3B</v>
      </c>
      <c r="I305" s="30">
        <v>59</v>
      </c>
      <c r="J305" s="30" t="str">
        <f>CHAR(I305)</f>
        <v>;</v>
      </c>
      <c r="L305">
        <f>IF(ISBLANK(D305),IF(E305&gt;0,F305-E305+1,0),0)</f>
        <v>0</v>
      </c>
      <c r="M305" s="54">
        <f>IF(ISBLANK(D305),0,IF(G305=0,F305-E305+1,0))</f>
        <v>4</v>
      </c>
      <c r="Q305" s="51" t="str">
        <f>C305&amp;IF(ISBLANK(D305),"","=")&amp;D305</f>
        <v>Accel_Spindle=6547</v>
      </c>
    </row>
    <row r="306" spans="1:17" x14ac:dyDescent="0.25">
      <c r="A306">
        <v>305</v>
      </c>
      <c r="B306" t="s">
        <v>251</v>
      </c>
      <c r="C306" s="45" t="s">
        <v>387</v>
      </c>
      <c r="D306" s="46">
        <v>82</v>
      </c>
      <c r="E306" s="29">
        <v>100</v>
      </c>
      <c r="F306" s="29">
        <v>103</v>
      </c>
      <c r="G306" s="29">
        <v>0</v>
      </c>
      <c r="H306" s="59" t="str">
        <f>DEC2HEX(I306)</f>
        <v>6E</v>
      </c>
      <c r="I306" s="30">
        <v>110</v>
      </c>
      <c r="J306" s="30" t="str">
        <f>CHAR(I306)</f>
        <v>n</v>
      </c>
      <c r="L306">
        <f>IF(ISBLANK(D306),IF(E306&gt;0,F306-E306+1,0),0)</f>
        <v>0</v>
      </c>
      <c r="M306" s="54">
        <f>IF(ISBLANK(D306),0,IF(G306=0,F306-E306+1,0))</f>
        <v>4</v>
      </c>
      <c r="Q306" s="51" t="str">
        <f>C306&amp;IF(ISBLANK(D306),"","=")&amp;D306</f>
        <v>SpeedPercentage_Spindle=82</v>
      </c>
    </row>
    <row r="307" spans="1:17" x14ac:dyDescent="0.25">
      <c r="A307">
        <v>306</v>
      </c>
      <c r="C307" s="45" t="s">
        <v>299</v>
      </c>
      <c r="D307" s="46"/>
      <c r="E307" s="4"/>
      <c r="F307" s="4"/>
      <c r="G307" s="4"/>
      <c r="Q307" s="51" t="str">
        <f>C307&amp;IF(ISBLANK(D307),"","=")&amp;D307</f>
        <v>;Z Axis</v>
      </c>
    </row>
    <row r="308" spans="1:17" x14ac:dyDescent="0.25">
      <c r="A308">
        <v>307</v>
      </c>
      <c r="B308" t="s">
        <v>251</v>
      </c>
      <c r="C308" s="45" t="s">
        <v>388</v>
      </c>
      <c r="D308" s="46">
        <v>5698</v>
      </c>
      <c r="E308" s="30">
        <v>880</v>
      </c>
      <c r="F308" s="30">
        <v>883</v>
      </c>
      <c r="G308" s="29"/>
      <c r="H308" s="59" t="str">
        <f>DEC2HEX(I308)</f>
        <v>B9</v>
      </c>
      <c r="I308" s="30">
        <v>185</v>
      </c>
      <c r="J308" s="30" t="str">
        <f>CHAR(I308)</f>
        <v>¹</v>
      </c>
      <c r="L308">
        <f>IF(ISBLANK(D308),IF(E308&gt;0,F308-E308+1,0),0)</f>
        <v>0</v>
      </c>
      <c r="M308" s="54">
        <f>IF(ISBLANK(D308),0,IF(G308=0,F308-E308+1,0))</f>
        <v>4</v>
      </c>
      <c r="Q308" s="51" t="str">
        <f>C308&amp;IF(ISBLANK(D308),"","=")&amp;D308</f>
        <v>MaxSpeed_Z=5698</v>
      </c>
    </row>
    <row r="309" spans="1:17" x14ac:dyDescent="0.25">
      <c r="A309">
        <v>308</v>
      </c>
      <c r="B309" t="s">
        <v>251</v>
      </c>
      <c r="C309" s="45" t="s">
        <v>389</v>
      </c>
      <c r="D309" s="46">
        <v>4569</v>
      </c>
      <c r="E309" s="29">
        <v>948</v>
      </c>
      <c r="F309" s="29">
        <v>951</v>
      </c>
      <c r="G309" s="29"/>
      <c r="H309" s="59" t="str">
        <f>DEC2HEX(I309)</f>
        <v>BA</v>
      </c>
      <c r="I309" s="30">
        <v>186</v>
      </c>
      <c r="J309" s="30" t="str">
        <f>CHAR(I309)</f>
        <v>º</v>
      </c>
      <c r="L309">
        <f>IF(ISBLANK(D309),IF(E309&gt;0,F309-E309+1,0),0)</f>
        <v>0</v>
      </c>
      <c r="M309" s="54">
        <f>IF(ISBLANK(D309),0,IF(G309=0,F309-E309+1,0))</f>
        <v>4</v>
      </c>
      <c r="Q309" s="51" t="str">
        <f>C309&amp;IF(ISBLANK(D309),"","=")&amp;D309</f>
        <v>Accel_Z=4569</v>
      </c>
    </row>
    <row r="310" spans="1:17" x14ac:dyDescent="0.25">
      <c r="A310">
        <v>309</v>
      </c>
      <c r="B310" t="s">
        <v>251</v>
      </c>
      <c r="C310" s="45" t="s">
        <v>390</v>
      </c>
      <c r="D310" s="45">
        <v>84</v>
      </c>
      <c r="E310" s="29">
        <v>52</v>
      </c>
      <c r="F310" s="29">
        <v>55</v>
      </c>
      <c r="G310" s="29">
        <v>0</v>
      </c>
      <c r="H310" s="59" t="str">
        <f>DEC2HEX(I310)</f>
        <v>6F</v>
      </c>
      <c r="I310" s="29">
        <v>111</v>
      </c>
      <c r="J310" s="30" t="str">
        <f>CHAR(I310)</f>
        <v>o</v>
      </c>
      <c r="L310">
        <f>IF(ISBLANK(D310),IF(E310&gt;0,F310-E310+1,0),0)</f>
        <v>0</v>
      </c>
      <c r="M310" s="54">
        <f>IF(ISBLANK(D310),0,IF(G310=0,F310-E310+1,0))</f>
        <v>4</v>
      </c>
      <c r="Q310" s="51" t="str">
        <f>C310&amp;IF(ISBLANK(D310),"","=")&amp;D310</f>
        <v>SpeedPercentage_Z=84</v>
      </c>
    </row>
    <row r="311" spans="1:17" x14ac:dyDescent="0.25">
      <c r="A311">
        <v>310</v>
      </c>
      <c r="B311" t="s">
        <v>251</v>
      </c>
      <c r="C311" s="45" t="s">
        <v>448</v>
      </c>
      <c r="D311" s="46">
        <v>2.1469999999999998</v>
      </c>
      <c r="E311" s="29">
        <v>276</v>
      </c>
      <c r="F311" s="29">
        <v>283</v>
      </c>
      <c r="G311" s="29"/>
      <c r="H311" s="59" t="str">
        <f>DEC2HEX(I311)</f>
        <v>E4</v>
      </c>
      <c r="I311" s="30">
        <v>228</v>
      </c>
      <c r="J311" s="30" t="str">
        <f>CHAR(I311)</f>
        <v>ä</v>
      </c>
      <c r="L311">
        <f>IF(ISBLANK(D311),IF(E311&gt;0,F311-E311+1,0),0)</f>
        <v>0</v>
      </c>
      <c r="M311" s="54">
        <f>IF(ISBLANK(D311),0,IF(G311=0,F311-E311+1,0))</f>
        <v>8</v>
      </c>
      <c r="Q311" s="51" t="str">
        <f>C311&amp;IF(ISBLANK(D311),"","=")&amp;D311</f>
        <v>RadialAmplitude_Z=2.147</v>
      </c>
    </row>
    <row r="312" spans="1:17" x14ac:dyDescent="0.25">
      <c r="A312">
        <v>311</v>
      </c>
      <c r="B312" t="s">
        <v>251</v>
      </c>
      <c r="C312" s="45" t="s">
        <v>449</v>
      </c>
      <c r="D312" s="46">
        <v>2.6869999999999998</v>
      </c>
      <c r="E312" s="29">
        <v>292</v>
      </c>
      <c r="F312" s="29">
        <v>299</v>
      </c>
      <c r="G312" s="29"/>
      <c r="H312" s="59" t="str">
        <f>DEC2HEX(I312)</f>
        <v>E3</v>
      </c>
      <c r="I312" s="30">
        <v>227</v>
      </c>
      <c r="J312" s="30" t="str">
        <f>CHAR(I312)</f>
        <v>ã</v>
      </c>
      <c r="L312">
        <f>IF(ISBLANK(D312),IF(E312&gt;0,F312-E312+1,0),0)</f>
        <v>0</v>
      </c>
      <c r="M312" s="54">
        <f>IF(ISBLANK(D312),0,IF(G312=0,F312-E312+1,0))</f>
        <v>8</v>
      </c>
      <c r="Q312" s="51" t="str">
        <f>C312&amp;IF(ISBLANK(D312),"","=")&amp;D312</f>
        <v>AxialAmplitude_Z=2.687</v>
      </c>
    </row>
    <row r="313" spans="1:17" x14ac:dyDescent="0.25">
      <c r="A313">
        <v>312</v>
      </c>
      <c r="C313" s="45" t="s">
        <v>300</v>
      </c>
      <c r="D313" s="46"/>
      <c r="E313" s="4"/>
      <c r="F313" s="4"/>
      <c r="G313" s="4"/>
      <c r="Q313" s="51" t="str">
        <f>C313&amp;IF(ISBLANK(D313),"","=")&amp;D313</f>
        <v>;X Axis</v>
      </c>
    </row>
    <row r="314" spans="1:17" x14ac:dyDescent="0.25">
      <c r="A314">
        <v>313</v>
      </c>
      <c r="B314" t="s">
        <v>251</v>
      </c>
      <c r="C314" s="45" t="s">
        <v>391</v>
      </c>
      <c r="D314" s="46">
        <v>657</v>
      </c>
      <c r="E314" s="29">
        <v>876</v>
      </c>
      <c r="F314" s="30">
        <v>879</v>
      </c>
      <c r="G314" s="29"/>
      <c r="H314" s="59" t="str">
        <f>DEC2HEX(I314)</f>
        <v>B9</v>
      </c>
      <c r="I314" s="30">
        <v>185</v>
      </c>
      <c r="J314" s="30" t="str">
        <f>CHAR(I314)</f>
        <v>¹</v>
      </c>
      <c r="L314">
        <f>IF(ISBLANK(D314),IF(E314&gt;0,F314-E314+1,0),0)</f>
        <v>0</v>
      </c>
      <c r="M314" s="54">
        <f>IF(ISBLANK(D314),0,IF(G314=0,F314-E314+1,0))</f>
        <v>4</v>
      </c>
      <c r="Q314" s="51" t="str">
        <f>C314&amp;IF(ISBLANK(D314),"","=")&amp;D314</f>
        <v>MaxSpeed_X=657</v>
      </c>
    </row>
    <row r="315" spans="1:17" x14ac:dyDescent="0.25">
      <c r="A315">
        <v>314</v>
      </c>
      <c r="B315" t="s">
        <v>251</v>
      </c>
      <c r="C315" s="45" t="s">
        <v>392</v>
      </c>
      <c r="D315" s="46">
        <v>5214</v>
      </c>
      <c r="E315" s="29">
        <v>868</v>
      </c>
      <c r="F315" s="29">
        <v>871</v>
      </c>
      <c r="G315" s="29"/>
      <c r="H315" s="59" t="str">
        <f>DEC2HEX(I315)</f>
        <v>BA</v>
      </c>
      <c r="I315" s="30">
        <v>186</v>
      </c>
      <c r="J315" s="30" t="str">
        <f>CHAR(I315)</f>
        <v>º</v>
      </c>
      <c r="L315">
        <f>IF(ISBLANK(D315),IF(E315&gt;0,F315-E315+1,0),0)</f>
        <v>0</v>
      </c>
      <c r="M315" s="54">
        <f>IF(ISBLANK(D315),0,IF(G315=0,F315-E315+1,0))</f>
        <v>4</v>
      </c>
      <c r="Q315" s="51" t="str">
        <f>C315&amp;IF(ISBLANK(D315),"","=")&amp;D315</f>
        <v>Accel_X=5214</v>
      </c>
    </row>
    <row r="316" spans="1:17" x14ac:dyDescent="0.25">
      <c r="A316">
        <v>315</v>
      </c>
      <c r="B316" t="s">
        <v>251</v>
      </c>
      <c r="C316" s="45" t="s">
        <v>393</v>
      </c>
      <c r="D316" s="45">
        <v>83</v>
      </c>
      <c r="E316" s="29">
        <v>52</v>
      </c>
      <c r="F316" s="29">
        <v>55</v>
      </c>
      <c r="G316" s="29">
        <v>8</v>
      </c>
      <c r="H316" s="59" t="str">
        <f>DEC2HEX(I316)</f>
        <v>6F</v>
      </c>
      <c r="I316" s="29">
        <v>111</v>
      </c>
      <c r="J316" s="30" t="str">
        <f>CHAR(I316)</f>
        <v>o</v>
      </c>
      <c r="L316">
        <f>IF(ISBLANK(D316),IF(E316&gt;0,F316-E316+1,0),0)</f>
        <v>0</v>
      </c>
      <c r="M316" s="54">
        <f>IF(ISBLANK(D316),0,IF(G316=0,F316-E316+1,0))</f>
        <v>0</v>
      </c>
      <c r="Q316" s="51" t="str">
        <f>C316&amp;IF(ISBLANK(D316),"","=")&amp;D316</f>
        <v>SpeedPercentage_X=83</v>
      </c>
    </row>
    <row r="317" spans="1:17" x14ac:dyDescent="0.25">
      <c r="A317">
        <v>316</v>
      </c>
      <c r="B317" t="s">
        <v>251</v>
      </c>
      <c r="C317" s="45" t="s">
        <v>450</v>
      </c>
      <c r="D317" s="46">
        <v>1.258</v>
      </c>
      <c r="E317" s="29">
        <v>284</v>
      </c>
      <c r="F317" s="29">
        <v>291</v>
      </c>
      <c r="G317" s="29"/>
      <c r="H317" s="59" t="str">
        <f>DEC2HEX(I317)</f>
        <v>E4</v>
      </c>
      <c r="I317" s="30">
        <v>228</v>
      </c>
      <c r="J317" s="30" t="str">
        <f>CHAR(I317)</f>
        <v>ä</v>
      </c>
      <c r="L317">
        <f>IF(ISBLANK(D317),IF(E317&gt;0,F317-E317+1,0),0)</f>
        <v>0</v>
      </c>
      <c r="M317" s="54">
        <f>IF(ISBLANK(D317),0,IF(G317=0,F317-E317+1,0))</f>
        <v>8</v>
      </c>
      <c r="Q317" s="51" t="str">
        <f>C317&amp;IF(ISBLANK(D317),"","=")&amp;D317</f>
        <v>RadialAmplitude_X=1.258</v>
      </c>
    </row>
    <row r="318" spans="1:17" x14ac:dyDescent="0.25">
      <c r="A318">
        <v>317</v>
      </c>
      <c r="B318" t="s">
        <v>251</v>
      </c>
      <c r="C318" s="45" t="s">
        <v>451</v>
      </c>
      <c r="D318" s="46">
        <v>2.5</v>
      </c>
      <c r="E318" s="29">
        <v>224</v>
      </c>
      <c r="F318" s="29">
        <v>231</v>
      </c>
      <c r="G318" s="29"/>
      <c r="H318" s="59" t="str">
        <f>DEC2HEX(I318)</f>
        <v>E3</v>
      </c>
      <c r="I318" s="30">
        <v>227</v>
      </c>
      <c r="J318" s="30" t="str">
        <f>CHAR(I318)</f>
        <v>ã</v>
      </c>
      <c r="L318">
        <f>IF(ISBLANK(D318),IF(E318&gt;0,F318-E318+1,0),0)</f>
        <v>0</v>
      </c>
      <c r="M318" s="54">
        <f>IF(ISBLANK(D318),0,IF(G318=0,F318-E318+1,0))</f>
        <v>8</v>
      </c>
      <c r="Q318" s="51" t="str">
        <f>C318&amp;IF(ISBLANK(D318),"","=")&amp;D318</f>
        <v>AxialAmplitude_X=2.5</v>
      </c>
    </row>
    <row r="319" spans="1:17" x14ac:dyDescent="0.25">
      <c r="A319">
        <v>318</v>
      </c>
      <c r="C319" s="45" t="s">
        <v>302</v>
      </c>
      <c r="D319" s="46"/>
      <c r="E319" s="4"/>
      <c r="F319" s="4"/>
      <c r="G319" s="4"/>
      <c r="Q319" s="51" t="str">
        <f>C319&amp;IF(ISBLANK(D319),"","=")&amp;D319</f>
        <v>;M3 Axis</v>
      </c>
    </row>
    <row r="320" spans="1:17" x14ac:dyDescent="0.25">
      <c r="A320">
        <v>319</v>
      </c>
      <c r="B320" t="s">
        <v>251</v>
      </c>
      <c r="C320" s="45" t="s">
        <v>400</v>
      </c>
      <c r="D320" s="46">
        <v>4785</v>
      </c>
      <c r="E320" s="29">
        <v>824</v>
      </c>
      <c r="F320" s="29">
        <v>827</v>
      </c>
      <c r="G320" s="29"/>
      <c r="H320" s="59" t="str">
        <f>DEC2HEX(I320)</f>
        <v>B9</v>
      </c>
      <c r="I320" s="30">
        <v>185</v>
      </c>
      <c r="J320" s="30" t="str">
        <f>CHAR(I320)</f>
        <v>¹</v>
      </c>
      <c r="L320">
        <f>IF(ISBLANK(D320),IF(E320&gt;0,F320-E320+1,0),0)</f>
        <v>0</v>
      </c>
      <c r="M320" s="54">
        <f>IF(ISBLANK(D320),0,IF(G320=0,F320-E320+1,0))</f>
        <v>4</v>
      </c>
      <c r="Q320" s="51" t="str">
        <f>C320&amp;IF(ISBLANK(D320),"","=")&amp;D320</f>
        <v>MaxSpeed_M3=4785</v>
      </c>
    </row>
    <row r="321" spans="1:18" x14ac:dyDescent="0.25">
      <c r="A321">
        <v>320</v>
      </c>
      <c r="B321" t="s">
        <v>251</v>
      </c>
      <c r="C321" s="45" t="s">
        <v>401</v>
      </c>
      <c r="D321" s="46">
        <v>5123</v>
      </c>
      <c r="E321" s="29">
        <v>820</v>
      </c>
      <c r="F321" s="29">
        <v>823</v>
      </c>
      <c r="G321" s="29"/>
      <c r="H321" s="59" t="str">
        <f>DEC2HEX(I321)</f>
        <v>BA</v>
      </c>
      <c r="I321" s="30">
        <v>186</v>
      </c>
      <c r="J321" s="30" t="str">
        <f>CHAR(I321)</f>
        <v>º</v>
      </c>
      <c r="L321">
        <f>IF(ISBLANK(D321),IF(E321&gt;0,F321-E321+1,0),0)</f>
        <v>0</v>
      </c>
      <c r="M321" s="54">
        <f>IF(ISBLANK(D321),0,IF(G321=0,F321-E321+1,0))</f>
        <v>4</v>
      </c>
      <c r="Q321" s="51" t="str">
        <f>C321&amp;IF(ISBLANK(D321),"","=")&amp;D321</f>
        <v>Accel_M3=5123</v>
      </c>
    </row>
    <row r="322" spans="1:18" x14ac:dyDescent="0.25">
      <c r="A322">
        <v>321</v>
      </c>
      <c r="B322" t="s">
        <v>251</v>
      </c>
      <c r="C322" s="45" t="s">
        <v>402</v>
      </c>
      <c r="D322" s="45">
        <v>80</v>
      </c>
      <c r="E322" s="29">
        <v>52</v>
      </c>
      <c r="F322" s="29">
        <v>55</v>
      </c>
      <c r="G322" s="29">
        <v>16</v>
      </c>
      <c r="H322" s="59" t="str">
        <f>DEC2HEX(I322)</f>
        <v>6F</v>
      </c>
      <c r="I322" s="29">
        <v>111</v>
      </c>
      <c r="J322" s="30" t="str">
        <f>CHAR(I322)</f>
        <v>o</v>
      </c>
      <c r="L322">
        <f>IF(ISBLANK(D322),IF(E322&gt;0,F322-E322+1,0),0)</f>
        <v>0</v>
      </c>
      <c r="M322" s="54">
        <f>IF(ISBLANK(D322),0,IF(G322=0,F322-E322+1,0))</f>
        <v>0</v>
      </c>
      <c r="Q322" s="51" t="str">
        <f>C322&amp;IF(ISBLANK(D322),"","=")&amp;D322</f>
        <v>SpeedPercentage_M3=80</v>
      </c>
    </row>
    <row r="323" spans="1:18" x14ac:dyDescent="0.25">
      <c r="A323">
        <v>322</v>
      </c>
      <c r="B323" t="s">
        <v>251</v>
      </c>
      <c r="C323" s="45" t="s">
        <v>452</v>
      </c>
      <c r="D323" s="46">
        <v>3.4780000000000002</v>
      </c>
      <c r="E323" s="29">
        <v>520</v>
      </c>
      <c r="F323" s="29">
        <v>527</v>
      </c>
      <c r="G323" s="29"/>
      <c r="H323" s="59" t="str">
        <f>DEC2HEX(I323)</f>
        <v>E4</v>
      </c>
      <c r="I323" s="30">
        <v>228</v>
      </c>
      <c r="J323" s="30" t="str">
        <f>CHAR(I323)</f>
        <v>ä</v>
      </c>
      <c r="L323">
        <f>IF(ISBLANK(D323),IF(E323&gt;0,F323-E323+1,0),0)</f>
        <v>0</v>
      </c>
      <c r="M323" s="54">
        <f>IF(ISBLANK(D323),0,IF(G323=0,F323-E323+1,0))</f>
        <v>8</v>
      </c>
      <c r="Q323" s="51" t="str">
        <f>C323&amp;IF(ISBLANK(D323),"","=")&amp;D323</f>
        <v>RadialAmplitude_M3=3.478</v>
      </c>
      <c r="R323" s="23"/>
    </row>
    <row r="324" spans="1:18" x14ac:dyDescent="0.25">
      <c r="A324">
        <v>323</v>
      </c>
      <c r="B324" t="s">
        <v>251</v>
      </c>
      <c r="C324" s="45" t="s">
        <v>453</v>
      </c>
      <c r="D324" s="46">
        <v>3.5</v>
      </c>
      <c r="E324" s="29">
        <v>528</v>
      </c>
      <c r="F324" s="29">
        <v>535</v>
      </c>
      <c r="G324" s="29"/>
      <c r="H324" s="59" t="str">
        <f>DEC2HEX(I324)</f>
        <v>E3</v>
      </c>
      <c r="I324" s="30">
        <v>227</v>
      </c>
      <c r="J324" s="30" t="str">
        <f>CHAR(I324)</f>
        <v>ã</v>
      </c>
      <c r="L324">
        <f>IF(ISBLANK(D324),IF(E324&gt;0,F324-E324+1,0),0)</f>
        <v>0</v>
      </c>
      <c r="M324" s="54">
        <f>IF(ISBLANK(D324),0,IF(G324=0,F324-E324+1,0))</f>
        <v>8</v>
      </c>
      <c r="Q324" s="51" t="str">
        <f>C324&amp;IF(ISBLANK(D324),"","=")&amp;D324</f>
        <v>AxialAmplitude_M3=3.5</v>
      </c>
    </row>
    <row r="325" spans="1:18" x14ac:dyDescent="0.25">
      <c r="A325">
        <v>324</v>
      </c>
      <c r="C325" s="45" t="s">
        <v>303</v>
      </c>
      <c r="D325" s="46"/>
      <c r="E325" s="4"/>
      <c r="F325" s="4"/>
      <c r="G325" s="4"/>
      <c r="Q325" s="51" t="str">
        <f>C325&amp;IF(ISBLANK(D325),"","=")&amp;D325</f>
        <v>;M4 Axis</v>
      </c>
    </row>
    <row r="326" spans="1:18" x14ac:dyDescent="0.25">
      <c r="A326">
        <v>325</v>
      </c>
      <c r="B326" t="s">
        <v>251</v>
      </c>
      <c r="C326" s="45" t="s">
        <v>403</v>
      </c>
      <c r="D326" s="46">
        <v>1100</v>
      </c>
      <c r="E326" s="29">
        <v>452</v>
      </c>
      <c r="F326" s="29">
        <v>455</v>
      </c>
      <c r="G326" s="29"/>
      <c r="H326" s="59" t="str">
        <f>DEC2HEX(I326)</f>
        <v>B9</v>
      </c>
      <c r="I326" s="30">
        <v>185</v>
      </c>
      <c r="J326" s="30" t="str">
        <f>CHAR(I326)</f>
        <v>¹</v>
      </c>
      <c r="K326" s="46"/>
      <c r="L326">
        <f>IF(ISBLANK(D326),IF(E326&gt;0,F326-E326+1,0),0)</f>
        <v>0</v>
      </c>
      <c r="M326" s="54">
        <f>IF(ISBLANK(D326),0,IF(G326=0,F326-E326+1,0))</f>
        <v>4</v>
      </c>
      <c r="Q326" s="51" t="str">
        <f>C326&amp;IF(ISBLANK(D326),"","=")&amp;D326</f>
        <v>MaxSpeed_M4=1100</v>
      </c>
    </row>
    <row r="327" spans="1:18" x14ac:dyDescent="0.25">
      <c r="A327">
        <v>326</v>
      </c>
      <c r="B327" t="s">
        <v>251</v>
      </c>
      <c r="C327" s="45" t="s">
        <v>404</v>
      </c>
      <c r="D327" s="46">
        <v>5000</v>
      </c>
      <c r="E327" s="29">
        <v>208</v>
      </c>
      <c r="F327" s="29">
        <v>211</v>
      </c>
      <c r="G327" s="29"/>
      <c r="H327" s="59" t="str">
        <f>DEC2HEX(I327)</f>
        <v>BA</v>
      </c>
      <c r="I327" s="30">
        <v>186</v>
      </c>
      <c r="J327" s="30" t="str">
        <f>CHAR(I327)</f>
        <v>º</v>
      </c>
      <c r="L327">
        <f>IF(ISBLANK(D327),IF(E327&gt;0,F327-E327+1,0),0)</f>
        <v>0</v>
      </c>
      <c r="M327" s="54">
        <f>IF(ISBLANK(D327),0,IF(G327=0,F327-E327+1,0))</f>
        <v>4</v>
      </c>
      <c r="Q327" s="51" t="str">
        <f>C327&amp;IF(ISBLANK(D327),"","=")&amp;D327</f>
        <v>Accel_M4=5000</v>
      </c>
    </row>
    <row r="328" spans="1:18" x14ac:dyDescent="0.25">
      <c r="A328">
        <v>327</v>
      </c>
      <c r="B328" t="s">
        <v>251</v>
      </c>
      <c r="C328" s="45" t="s">
        <v>405</v>
      </c>
      <c r="D328" s="45">
        <v>81</v>
      </c>
      <c r="E328" s="29">
        <v>52</v>
      </c>
      <c r="F328" s="29">
        <v>55</v>
      </c>
      <c r="G328" s="29">
        <v>24</v>
      </c>
      <c r="H328" s="59" t="str">
        <f>DEC2HEX(I328)</f>
        <v>6F</v>
      </c>
      <c r="I328" s="29">
        <v>111</v>
      </c>
      <c r="J328" s="30" t="str">
        <f>CHAR(I328)</f>
        <v>o</v>
      </c>
      <c r="L328">
        <f>IF(ISBLANK(D328),IF(E328&gt;0,F328-E328+1,0),0)</f>
        <v>0</v>
      </c>
      <c r="M328" s="54">
        <f>IF(ISBLANK(D328),0,IF(G328=0,F328-E328+1,0))</f>
        <v>0</v>
      </c>
      <c r="Q328" s="51" t="str">
        <f>C328&amp;IF(ISBLANK(D328),"","=")&amp;D328</f>
        <v>SpeedPercentage_M4=81</v>
      </c>
    </row>
    <row r="329" spans="1:18" x14ac:dyDescent="0.25">
      <c r="A329">
        <v>328</v>
      </c>
      <c r="B329" t="s">
        <v>251</v>
      </c>
      <c r="C329" s="45" t="s">
        <v>454</v>
      </c>
      <c r="D329" s="46">
        <v>2.6890000000000001</v>
      </c>
      <c r="E329" s="29">
        <v>68</v>
      </c>
      <c r="F329" s="29">
        <v>75</v>
      </c>
      <c r="G329" s="29"/>
      <c r="H329" s="59" t="str">
        <f>DEC2HEX(I329)</f>
        <v>E4</v>
      </c>
      <c r="I329" s="30">
        <v>228</v>
      </c>
      <c r="J329" s="30" t="str">
        <f>CHAR(I329)</f>
        <v>ä</v>
      </c>
      <c r="L329">
        <f>IF(ISBLANK(D329),IF(E329&gt;0,F329-E329+1,0),0)</f>
        <v>0</v>
      </c>
      <c r="M329" s="54">
        <f>IF(ISBLANK(D329),0,IF(G329=0,F329-E329+1,0))</f>
        <v>8</v>
      </c>
      <c r="Q329" s="51" t="str">
        <f>C329&amp;IF(ISBLANK(D329),"","=")&amp;D329</f>
        <v>RadialAmplitude_M4=2.689</v>
      </c>
    </row>
    <row r="330" spans="1:18" x14ac:dyDescent="0.25">
      <c r="A330">
        <v>329</v>
      </c>
      <c r="B330" t="s">
        <v>251</v>
      </c>
      <c r="C330" s="45" t="s">
        <v>455</v>
      </c>
      <c r="D330" s="46">
        <v>3.5680000000000001</v>
      </c>
      <c r="E330" s="29">
        <v>60</v>
      </c>
      <c r="F330" s="29">
        <v>67</v>
      </c>
      <c r="G330" s="29"/>
      <c r="H330" s="59" t="str">
        <f>DEC2HEX(I330)</f>
        <v>E3</v>
      </c>
      <c r="I330" s="30">
        <v>227</v>
      </c>
      <c r="J330" s="30" t="str">
        <f>CHAR(I330)</f>
        <v>ã</v>
      </c>
      <c r="L330">
        <f>IF(ISBLANK(D330),IF(E330&gt;0,F330-E330+1,0),0)</f>
        <v>0</v>
      </c>
      <c r="M330" s="54">
        <f>IF(ISBLANK(D330),0,IF(G330=0,F330-E330+1,0))</f>
        <v>8</v>
      </c>
      <c r="Q330" s="51" t="str">
        <f>C330&amp;IF(ISBLANK(D330),"","=")&amp;D330</f>
        <v>AxialAmplitude_M4=3.568</v>
      </c>
    </row>
    <row r="331" spans="1:18" x14ac:dyDescent="0.25">
      <c r="A331">
        <v>330</v>
      </c>
      <c r="B331" s="1"/>
      <c r="C331" s="52" t="s">
        <v>544</v>
      </c>
      <c r="D331" s="52"/>
      <c r="E331" s="1"/>
      <c r="F331" s="1"/>
      <c r="G331" s="1"/>
      <c r="H331" s="111"/>
      <c r="I331" s="1"/>
      <c r="J331" s="1"/>
      <c r="K331" s="52"/>
      <c r="L331" s="1"/>
      <c r="M331" s="56"/>
      <c r="Q331" s="1" t="str">
        <f>C331&amp;IF(ISBLANK(D331),"","=")&amp;D331</f>
        <v>;End ini</v>
      </c>
    </row>
    <row r="332" spans="1:18" x14ac:dyDescent="0.25">
      <c r="A332">
        <v>331</v>
      </c>
      <c r="B332" s="37" t="s">
        <v>0</v>
      </c>
      <c r="C332" s="53" t="s">
        <v>198</v>
      </c>
      <c r="D332" s="53" t="s">
        <v>476</v>
      </c>
      <c r="E332" s="37">
        <v>112</v>
      </c>
      <c r="F332" s="37">
        <v>125</v>
      </c>
      <c r="G332" s="37"/>
      <c r="H332" s="110" t="str">
        <f>DEC2HEX(I332)</f>
        <v>BE</v>
      </c>
      <c r="I332" s="38">
        <v>190</v>
      </c>
      <c r="J332" s="38" t="str">
        <f>CHAR(I332)</f>
        <v>¾</v>
      </c>
      <c r="K332" s="53"/>
      <c r="L332">
        <f>IF(ISBLANK(D332),IF(E332&gt;0,F332-E332+1,0),0)</f>
        <v>0</v>
      </c>
      <c r="M332" s="54">
        <f>IF(ISBLANK(D332),0,IF(G332=0,F332-E332+1,0))</f>
        <v>14</v>
      </c>
    </row>
    <row r="333" spans="1:18" x14ac:dyDescent="0.25">
      <c r="A333">
        <v>332</v>
      </c>
      <c r="B333" s="37" t="s">
        <v>294</v>
      </c>
      <c r="C333" s="53" t="s">
        <v>527</v>
      </c>
      <c r="D333" s="53" t="s">
        <v>476</v>
      </c>
      <c r="E333" s="37">
        <v>126</v>
      </c>
      <c r="F333" s="37">
        <v>139</v>
      </c>
      <c r="G333" s="37"/>
      <c r="H333" s="110" t="str">
        <f>DEC2HEX(I333)</f>
        <v>BE</v>
      </c>
      <c r="I333" s="38">
        <v>190</v>
      </c>
      <c r="J333" s="38" t="str">
        <f>CHAR(I333)</f>
        <v>¾</v>
      </c>
      <c r="K333" s="53"/>
      <c r="L333">
        <f>IF(ISBLANK(D333),IF(E333&gt;0,F333-E333+1,0),0)</f>
        <v>0</v>
      </c>
      <c r="M333" s="54">
        <f>IF(ISBLANK(D333),0,IF(G333=0,F333-E333+1,0))</f>
        <v>14</v>
      </c>
    </row>
    <row r="334" spans="1:18" x14ac:dyDescent="0.25">
      <c r="A334">
        <v>333</v>
      </c>
      <c r="B334" s="37" t="s">
        <v>42</v>
      </c>
      <c r="C334" s="103" t="s">
        <v>199</v>
      </c>
      <c r="D334" s="53" t="s">
        <v>476</v>
      </c>
      <c r="E334" s="38">
        <v>444</v>
      </c>
      <c r="F334" s="37">
        <v>451</v>
      </c>
      <c r="G334" s="38"/>
      <c r="H334" s="103"/>
      <c r="I334" s="38"/>
      <c r="J334" s="38"/>
      <c r="K334" s="46"/>
      <c r="L334">
        <f>IF(ISBLANK(D334),IF(E334&gt;0,F334-E334+1,0),0)</f>
        <v>0</v>
      </c>
      <c r="M334" s="54">
        <f>IF(ISBLANK(D334),0,IF(G334=0,F334-E334+1,0))</f>
        <v>8</v>
      </c>
    </row>
    <row r="335" spans="1:18" x14ac:dyDescent="0.25">
      <c r="A335">
        <v>334</v>
      </c>
      <c r="B335" s="88" t="s">
        <v>494</v>
      </c>
      <c r="C335" s="89" t="s">
        <v>492</v>
      </c>
      <c r="D335" s="89"/>
      <c r="E335" s="88"/>
      <c r="F335" s="88"/>
      <c r="G335" s="88"/>
      <c r="H335" s="109" t="str">
        <f>DEC2HEX(I335)</f>
        <v>2D</v>
      </c>
      <c r="I335" s="91">
        <v>45</v>
      </c>
      <c r="J335" s="91" t="str">
        <f>CHAR(I335)</f>
        <v>-</v>
      </c>
    </row>
    <row r="336" spans="1:18" x14ac:dyDescent="0.25">
      <c r="A336">
        <v>335</v>
      </c>
      <c r="B336" s="88" t="s">
        <v>294</v>
      </c>
      <c r="C336" s="89" t="s">
        <v>493</v>
      </c>
      <c r="D336" s="89"/>
      <c r="E336" s="88"/>
      <c r="F336" s="88"/>
      <c r="G336" s="88"/>
      <c r="H336" s="109" t="str">
        <f>DEC2HEX(I336)</f>
        <v>3D</v>
      </c>
      <c r="I336" s="91">
        <v>61</v>
      </c>
      <c r="J336" s="91" t="str">
        <f>CHAR(I336)</f>
        <v>=</v>
      </c>
    </row>
    <row r="337" spans="1:18" x14ac:dyDescent="0.25">
      <c r="A337">
        <v>336</v>
      </c>
      <c r="B337" s="88" t="s">
        <v>196</v>
      </c>
      <c r="C337" s="89" t="s">
        <v>524</v>
      </c>
      <c r="D337" s="89"/>
      <c r="E337" s="88"/>
      <c r="F337" s="88"/>
      <c r="G337" s="88"/>
      <c r="H337" s="109" t="str">
        <f>DEC2HEX(I337)</f>
        <v>40</v>
      </c>
      <c r="I337" s="91">
        <v>64</v>
      </c>
      <c r="J337" s="91" t="str">
        <f>CHAR(I337)</f>
        <v>@</v>
      </c>
    </row>
    <row r="338" spans="1:18" x14ac:dyDescent="0.25">
      <c r="A338">
        <v>337</v>
      </c>
      <c r="B338" s="88" t="s">
        <v>8</v>
      </c>
      <c r="C338" s="105" t="s">
        <v>495</v>
      </c>
      <c r="D338" s="89"/>
      <c r="E338" s="88"/>
      <c r="F338" s="88"/>
      <c r="G338" s="88"/>
      <c r="H338" s="109" t="str">
        <f>DEC2HEX(I338)</f>
        <v>41</v>
      </c>
      <c r="I338" s="91">
        <v>65</v>
      </c>
      <c r="J338" s="91" t="str">
        <f>CHAR(I338)</f>
        <v>A</v>
      </c>
    </row>
    <row r="339" spans="1:18" x14ac:dyDescent="0.25">
      <c r="A339">
        <v>338</v>
      </c>
      <c r="B339" s="88" t="s">
        <v>5</v>
      </c>
      <c r="C339" s="105" t="s">
        <v>561</v>
      </c>
      <c r="D339" s="105"/>
      <c r="E339" s="88"/>
      <c r="F339" s="88"/>
      <c r="G339" s="88"/>
      <c r="H339" s="109" t="str">
        <f>DEC2HEX(I339)</f>
        <v>43</v>
      </c>
      <c r="I339" s="91">
        <v>67</v>
      </c>
      <c r="J339" s="91" t="str">
        <f>CHAR(I339)</f>
        <v>C</v>
      </c>
    </row>
    <row r="340" spans="1:18" x14ac:dyDescent="0.25">
      <c r="A340">
        <v>339</v>
      </c>
      <c r="B340" s="88" t="s">
        <v>35</v>
      </c>
      <c r="C340" s="105" t="s">
        <v>496</v>
      </c>
      <c r="D340" s="105"/>
      <c r="E340" s="88"/>
      <c r="F340" s="88"/>
      <c r="G340" s="88"/>
      <c r="H340" s="109" t="str">
        <f>DEC2HEX(I340)</f>
        <v>4A</v>
      </c>
      <c r="I340" s="91">
        <v>74</v>
      </c>
      <c r="J340" s="91" t="str">
        <f>CHAR(I340)</f>
        <v>J</v>
      </c>
    </row>
    <row r="341" spans="1:18" x14ac:dyDescent="0.25">
      <c r="A341">
        <v>340</v>
      </c>
      <c r="B341" s="88" t="s">
        <v>35</v>
      </c>
      <c r="C341" s="105" t="s">
        <v>497</v>
      </c>
      <c r="D341" s="105"/>
      <c r="E341" s="88"/>
      <c r="F341" s="88"/>
      <c r="G341" s="88"/>
      <c r="H341" s="109" t="str">
        <f>DEC2HEX(I341)</f>
        <v>4B</v>
      </c>
      <c r="I341" s="91">
        <v>75</v>
      </c>
      <c r="J341" s="91" t="str">
        <f>CHAR(I341)</f>
        <v>K</v>
      </c>
    </row>
    <row r="342" spans="1:18" x14ac:dyDescent="0.25">
      <c r="A342">
        <v>341</v>
      </c>
      <c r="B342" s="88" t="s">
        <v>498</v>
      </c>
      <c r="C342" s="105" t="s">
        <v>499</v>
      </c>
      <c r="D342" s="105"/>
      <c r="E342" s="88"/>
      <c r="F342" s="88"/>
      <c r="G342" s="88"/>
      <c r="H342" s="109" t="str">
        <f>DEC2HEX(I342)</f>
        <v>4E</v>
      </c>
      <c r="I342" s="91">
        <v>78</v>
      </c>
      <c r="J342" s="91" t="str">
        <f>CHAR(I342)</f>
        <v>N</v>
      </c>
    </row>
    <row r="343" spans="1:18" x14ac:dyDescent="0.25">
      <c r="A343">
        <v>342</v>
      </c>
      <c r="B343" s="88" t="s">
        <v>0</v>
      </c>
      <c r="C343" s="105" t="s">
        <v>500</v>
      </c>
      <c r="D343" s="105"/>
      <c r="E343" s="88"/>
      <c r="F343" s="88"/>
      <c r="G343" s="88"/>
      <c r="H343" s="109" t="str">
        <f>DEC2HEX(I343)</f>
        <v>51</v>
      </c>
      <c r="I343" s="91">
        <v>81</v>
      </c>
      <c r="J343" s="91" t="str">
        <f>CHAR(I343)</f>
        <v>Q</v>
      </c>
    </row>
    <row r="344" spans="1:18" x14ac:dyDescent="0.25">
      <c r="A344">
        <v>343</v>
      </c>
      <c r="B344" s="88" t="s">
        <v>0</v>
      </c>
      <c r="C344" s="105" t="s">
        <v>501</v>
      </c>
      <c r="D344" s="105"/>
      <c r="E344" s="88"/>
      <c r="F344" s="88"/>
      <c r="G344" s="88"/>
      <c r="H344" s="109" t="str">
        <f>DEC2HEX(I344)</f>
        <v>52</v>
      </c>
      <c r="I344" s="91">
        <v>82</v>
      </c>
      <c r="J344" s="91" t="str">
        <f>CHAR(I344)</f>
        <v>R</v>
      </c>
    </row>
    <row r="345" spans="1:18" x14ac:dyDescent="0.25">
      <c r="A345">
        <v>344</v>
      </c>
      <c r="B345" s="88" t="s">
        <v>510</v>
      </c>
      <c r="C345" s="105" t="s">
        <v>502</v>
      </c>
      <c r="D345" s="109"/>
      <c r="E345" s="91"/>
      <c r="F345" s="88"/>
      <c r="G345" s="88"/>
      <c r="H345" s="109" t="str">
        <f>DEC2HEX(I345)</f>
        <v>53</v>
      </c>
      <c r="I345" s="91">
        <v>83</v>
      </c>
      <c r="J345" s="91" t="str">
        <f>CHAR(I345)</f>
        <v>S</v>
      </c>
    </row>
    <row r="346" spans="1:18" x14ac:dyDescent="0.25">
      <c r="A346">
        <v>345</v>
      </c>
      <c r="B346" s="88" t="s">
        <v>503</v>
      </c>
      <c r="C346" s="105" t="s">
        <v>504</v>
      </c>
      <c r="D346" s="105"/>
      <c r="E346" s="88"/>
      <c r="F346" s="88"/>
      <c r="G346" s="88"/>
      <c r="H346" s="109" t="str">
        <f>DEC2HEX(I346)</f>
        <v>58</v>
      </c>
      <c r="I346" s="91">
        <v>88</v>
      </c>
      <c r="J346" s="91" t="str">
        <f>CHAR(I346)</f>
        <v>X</v>
      </c>
    </row>
    <row r="347" spans="1:18" x14ac:dyDescent="0.25">
      <c r="A347">
        <v>346</v>
      </c>
      <c r="B347" s="88" t="s">
        <v>5</v>
      </c>
      <c r="C347" s="105" t="s">
        <v>556</v>
      </c>
      <c r="D347" s="105"/>
      <c r="E347" s="88"/>
      <c r="F347" s="88"/>
      <c r="G347" s="88"/>
      <c r="H347" s="109" t="str">
        <f>DEC2HEX(I347)</f>
        <v>5A</v>
      </c>
      <c r="I347" s="91">
        <v>90</v>
      </c>
      <c r="J347" s="91" t="str">
        <f>CHAR(I347)</f>
        <v>Z</v>
      </c>
      <c r="R347" s="23"/>
    </row>
    <row r="348" spans="1:18" x14ac:dyDescent="0.25">
      <c r="A348">
        <v>347</v>
      </c>
      <c r="B348" s="88" t="s">
        <v>5</v>
      </c>
      <c r="C348" s="105" t="s">
        <v>557</v>
      </c>
      <c r="D348" s="105"/>
      <c r="E348" s="88"/>
      <c r="F348" s="88"/>
      <c r="G348" s="88"/>
      <c r="H348" s="109" t="str">
        <f>DEC2HEX(I348)</f>
        <v>5B</v>
      </c>
      <c r="I348" s="91">
        <v>91</v>
      </c>
      <c r="J348" s="91" t="str">
        <f>CHAR(I348)</f>
        <v>[</v>
      </c>
    </row>
    <row r="349" spans="1:18" x14ac:dyDescent="0.25">
      <c r="A349">
        <v>348</v>
      </c>
      <c r="B349" s="88" t="s">
        <v>254</v>
      </c>
      <c r="C349" s="105" t="s">
        <v>505</v>
      </c>
      <c r="D349" s="105"/>
      <c r="E349" s="88"/>
      <c r="F349" s="88"/>
      <c r="G349" s="88"/>
      <c r="H349" s="109" t="str">
        <f>DEC2HEX(I349)</f>
        <v>5E</v>
      </c>
      <c r="I349" s="91">
        <v>94</v>
      </c>
      <c r="J349" s="91" t="str">
        <f>CHAR(I349)</f>
        <v>^</v>
      </c>
      <c r="R349" s="23"/>
    </row>
    <row r="350" spans="1:18" x14ac:dyDescent="0.25">
      <c r="A350">
        <v>349</v>
      </c>
      <c r="B350" s="88" t="s">
        <v>254</v>
      </c>
      <c r="C350" s="105" t="s">
        <v>506</v>
      </c>
      <c r="D350" s="105"/>
      <c r="E350" s="88"/>
      <c r="F350" s="88"/>
      <c r="G350" s="88"/>
      <c r="H350" s="109" t="str">
        <f>DEC2HEX(I350)</f>
        <v>5E</v>
      </c>
      <c r="I350" s="91">
        <v>94</v>
      </c>
      <c r="J350" s="91" t="str">
        <f>CHAR(I350)</f>
        <v>^</v>
      </c>
    </row>
    <row r="351" spans="1:18" x14ac:dyDescent="0.25">
      <c r="A351">
        <v>350</v>
      </c>
      <c r="B351" s="88" t="s">
        <v>254</v>
      </c>
      <c r="C351" s="105" t="s">
        <v>507</v>
      </c>
      <c r="D351" s="105"/>
      <c r="E351" s="88"/>
      <c r="F351" s="88"/>
      <c r="G351" s="88"/>
      <c r="H351" s="109" t="str">
        <f>DEC2HEX(I351)</f>
        <v>5F</v>
      </c>
      <c r="I351" s="91">
        <v>95</v>
      </c>
      <c r="J351" s="91" t="str">
        <f>CHAR(I351)</f>
        <v>_</v>
      </c>
    </row>
    <row r="352" spans="1:18" x14ac:dyDescent="0.25">
      <c r="A352">
        <v>351</v>
      </c>
      <c r="B352" s="88" t="s">
        <v>254</v>
      </c>
      <c r="C352" s="105" t="s">
        <v>508</v>
      </c>
      <c r="D352" s="105"/>
      <c r="E352" s="88"/>
      <c r="F352" s="88"/>
      <c r="G352" s="88"/>
      <c r="H352" s="109" t="str">
        <f>DEC2HEX(I352)</f>
        <v>5F</v>
      </c>
      <c r="I352" s="91">
        <v>95</v>
      </c>
      <c r="J352" s="91" t="str">
        <f>CHAR(I352)</f>
        <v>_</v>
      </c>
      <c r="R352" s="23"/>
    </row>
    <row r="353" spans="1:12" x14ac:dyDescent="0.25">
      <c r="A353">
        <v>352</v>
      </c>
      <c r="B353" s="88" t="s">
        <v>465</v>
      </c>
      <c r="C353" s="105" t="s">
        <v>509</v>
      </c>
      <c r="D353" s="105"/>
      <c r="E353" s="88"/>
      <c r="F353" s="88"/>
      <c r="G353" s="88"/>
      <c r="H353" s="109" t="str">
        <f>DEC2HEX(I353)</f>
        <v>62</v>
      </c>
      <c r="I353" s="91">
        <v>98</v>
      </c>
      <c r="J353" s="91" t="str">
        <f>CHAR(I353)</f>
        <v>b</v>
      </c>
    </row>
    <row r="354" spans="1:12" x14ac:dyDescent="0.25">
      <c r="A354">
        <v>353</v>
      </c>
      <c r="B354" s="88" t="s">
        <v>5</v>
      </c>
      <c r="C354" s="105" t="s">
        <v>558</v>
      </c>
      <c r="D354" s="105"/>
      <c r="E354" s="88"/>
      <c r="F354" s="88"/>
      <c r="G354" s="88"/>
      <c r="H354" s="109" t="str">
        <f>DEC2HEX(I354)</f>
        <v>63</v>
      </c>
      <c r="I354" s="91">
        <v>99</v>
      </c>
      <c r="J354" s="91" t="str">
        <f>CHAR(I354)</f>
        <v>c</v>
      </c>
    </row>
    <row r="355" spans="1:12" x14ac:dyDescent="0.25">
      <c r="A355">
        <v>354</v>
      </c>
      <c r="B355" s="88" t="s">
        <v>254</v>
      </c>
      <c r="C355" s="105" t="s">
        <v>530</v>
      </c>
      <c r="D355" s="105"/>
      <c r="E355" s="88"/>
      <c r="F355" s="88"/>
      <c r="G355" s="88"/>
      <c r="H355" s="109" t="str">
        <f>DEC2HEX(I355)</f>
        <v>64</v>
      </c>
      <c r="I355" s="91">
        <v>100</v>
      </c>
      <c r="J355" s="91" t="str">
        <f>CHAR(I355)</f>
        <v>d</v>
      </c>
    </row>
    <row r="356" spans="1:12" x14ac:dyDescent="0.25">
      <c r="A356">
        <v>355</v>
      </c>
      <c r="B356" s="88" t="s">
        <v>254</v>
      </c>
      <c r="C356" s="105" t="s">
        <v>530</v>
      </c>
      <c r="D356" s="105"/>
      <c r="E356" s="88"/>
      <c r="F356" s="88"/>
      <c r="G356" s="88"/>
      <c r="H356" s="109" t="str">
        <f>DEC2HEX(I356)</f>
        <v>65</v>
      </c>
      <c r="I356" s="91">
        <v>101</v>
      </c>
      <c r="J356" s="91" t="str">
        <f>CHAR(I356)</f>
        <v>e</v>
      </c>
    </row>
    <row r="357" spans="1:12" x14ac:dyDescent="0.25">
      <c r="A357">
        <v>356</v>
      </c>
      <c r="B357" s="88" t="s">
        <v>251</v>
      </c>
      <c r="C357" s="105" t="s">
        <v>511</v>
      </c>
      <c r="D357" s="105"/>
      <c r="E357" s="88"/>
      <c r="F357" s="88"/>
      <c r="G357" s="88"/>
      <c r="H357" s="109" t="str">
        <f>DEC2HEX(I357)</f>
        <v>69</v>
      </c>
      <c r="I357" s="91">
        <v>105</v>
      </c>
      <c r="J357" s="91" t="str">
        <f>CHAR(I357)</f>
        <v>i</v>
      </c>
    </row>
    <row r="358" spans="1:12" x14ac:dyDescent="0.25">
      <c r="A358">
        <v>357</v>
      </c>
      <c r="B358" s="88" t="s">
        <v>5</v>
      </c>
      <c r="C358" s="89" t="s">
        <v>559</v>
      </c>
      <c r="D358" s="89"/>
      <c r="E358" s="88"/>
      <c r="F358" s="88"/>
      <c r="G358" s="88"/>
      <c r="H358" s="90" t="str">
        <f>DEC2HEX(I358)</f>
        <v>6B</v>
      </c>
      <c r="I358" s="91">
        <v>107</v>
      </c>
      <c r="J358" s="91" t="str">
        <f>CHAR(I358)</f>
        <v>k</v>
      </c>
      <c r="K358" s="50"/>
    </row>
    <row r="359" spans="1:12" x14ac:dyDescent="0.25">
      <c r="A359">
        <v>358</v>
      </c>
      <c r="B359" s="88" t="s">
        <v>5</v>
      </c>
      <c r="C359" s="89" t="s">
        <v>560</v>
      </c>
      <c r="D359" s="89"/>
      <c r="E359" s="88"/>
      <c r="F359" s="88"/>
      <c r="G359" s="88"/>
      <c r="H359" s="90" t="str">
        <f>DEC2HEX(I359)</f>
        <v>6C</v>
      </c>
      <c r="I359" s="91">
        <v>108</v>
      </c>
      <c r="J359" s="91" t="str">
        <f>CHAR(I359)</f>
        <v>l</v>
      </c>
      <c r="K359" s="50"/>
    </row>
    <row r="360" spans="1:12" x14ac:dyDescent="0.25">
      <c r="A360">
        <v>359</v>
      </c>
      <c r="B360" s="88" t="s">
        <v>254</v>
      </c>
      <c r="C360" s="105" t="s">
        <v>529</v>
      </c>
      <c r="D360" s="105"/>
      <c r="E360" s="88"/>
      <c r="F360" s="88"/>
      <c r="G360" s="88"/>
      <c r="H360" s="109" t="str">
        <f>DEC2HEX(I360)</f>
        <v>6D</v>
      </c>
      <c r="I360" s="91">
        <v>109</v>
      </c>
      <c r="J360" s="91" t="s">
        <v>33</v>
      </c>
    </row>
    <row r="361" spans="1:12" x14ac:dyDescent="0.25">
      <c r="A361">
        <v>360</v>
      </c>
      <c r="B361" s="88" t="s">
        <v>194</v>
      </c>
      <c r="C361" s="105" t="s">
        <v>512</v>
      </c>
      <c r="D361" s="105"/>
      <c r="E361" s="88"/>
      <c r="F361" s="88"/>
      <c r="G361" s="88"/>
      <c r="H361" s="109" t="str">
        <f>DEC2HEX(I361)</f>
        <v>A3</v>
      </c>
      <c r="I361" s="91">
        <v>163</v>
      </c>
      <c r="J361" s="91" t="str">
        <f>CHAR(I361)</f>
        <v>£</v>
      </c>
    </row>
    <row r="362" spans="1:12" x14ac:dyDescent="0.25">
      <c r="A362">
        <v>361</v>
      </c>
      <c r="B362" s="88" t="s">
        <v>195</v>
      </c>
      <c r="C362" s="105" t="s">
        <v>513</v>
      </c>
      <c r="D362" s="105"/>
      <c r="E362" s="88"/>
      <c r="F362" s="88"/>
      <c r="G362" s="88"/>
      <c r="H362" s="109" t="str">
        <f>DEC2HEX(I362)</f>
        <v>A4</v>
      </c>
      <c r="I362" s="91">
        <v>164</v>
      </c>
      <c r="J362" s="91" t="str">
        <f>CHAR(I362)</f>
        <v>¤</v>
      </c>
    </row>
    <row r="363" spans="1:12" x14ac:dyDescent="0.25">
      <c r="A363">
        <v>362</v>
      </c>
      <c r="B363" s="88" t="s">
        <v>5</v>
      </c>
      <c r="C363" s="105" t="s">
        <v>562</v>
      </c>
      <c r="D363" s="105"/>
      <c r="E363" s="88"/>
      <c r="F363" s="88"/>
      <c r="G363" s="88"/>
      <c r="H363" s="109" t="str">
        <f>DEC2HEX(I363)</f>
        <v>A5</v>
      </c>
      <c r="I363" s="91">
        <v>165</v>
      </c>
      <c r="J363" s="91" t="str">
        <f>CHAR(I363)</f>
        <v>¥</v>
      </c>
      <c r="K363" s="46"/>
      <c r="L363" s="23"/>
    </row>
    <row r="364" spans="1:12" x14ac:dyDescent="0.25">
      <c r="A364">
        <v>363</v>
      </c>
      <c r="B364" s="88" t="s">
        <v>5</v>
      </c>
      <c r="C364" s="89" t="s">
        <v>563</v>
      </c>
      <c r="D364" s="89"/>
      <c r="E364" s="88"/>
      <c r="F364" s="88"/>
      <c r="G364" s="88"/>
      <c r="H364" s="90" t="str">
        <f>DEC2HEX(I364)</f>
        <v>A6</v>
      </c>
      <c r="I364" s="91">
        <v>166</v>
      </c>
      <c r="J364" s="91" t="str">
        <f>CHAR(I364)</f>
        <v>¦</v>
      </c>
      <c r="K364" s="23"/>
      <c r="L364" s="23"/>
    </row>
    <row r="365" spans="1:12" x14ac:dyDescent="0.25">
      <c r="A365">
        <v>364</v>
      </c>
      <c r="B365" s="88" t="s">
        <v>5</v>
      </c>
      <c r="C365" s="89" t="s">
        <v>564</v>
      </c>
      <c r="D365" s="89"/>
      <c r="E365" s="88"/>
      <c r="F365" s="88"/>
      <c r="G365" s="88"/>
      <c r="H365" s="90" t="str">
        <f>DEC2HEX(I365)</f>
        <v>AB</v>
      </c>
      <c r="I365" s="91">
        <v>171</v>
      </c>
      <c r="J365" s="91" t="str">
        <f>CHAR(I365)</f>
        <v>«</v>
      </c>
      <c r="K365" s="50"/>
    </row>
    <row r="366" spans="1:12" x14ac:dyDescent="0.25">
      <c r="A366">
        <v>365</v>
      </c>
      <c r="B366" s="88" t="s">
        <v>5</v>
      </c>
      <c r="C366" s="89" t="s">
        <v>565</v>
      </c>
      <c r="D366" s="89"/>
      <c r="E366" s="88"/>
      <c r="F366" s="88"/>
      <c r="G366" s="88"/>
      <c r="H366" s="90" t="str">
        <f>DEC2HEX(I366)</f>
        <v>AC</v>
      </c>
      <c r="I366" s="91">
        <v>172</v>
      </c>
      <c r="J366" s="91" t="str">
        <f>CHAR(I366)</f>
        <v>¬</v>
      </c>
      <c r="K366" s="50"/>
    </row>
    <row r="367" spans="1:12" x14ac:dyDescent="0.25">
      <c r="A367">
        <v>366</v>
      </c>
      <c r="B367" s="88" t="s">
        <v>42</v>
      </c>
      <c r="C367" s="89" t="s">
        <v>514</v>
      </c>
      <c r="D367" s="89"/>
      <c r="E367" s="88"/>
      <c r="F367" s="88"/>
      <c r="G367" s="88"/>
      <c r="H367" s="90" t="str">
        <f>DEC2HEX(I367)</f>
        <v>B7</v>
      </c>
      <c r="I367" s="91">
        <v>183</v>
      </c>
      <c r="J367" s="91" t="str">
        <f>CHAR(I367)</f>
        <v>·</v>
      </c>
      <c r="K367" s="50"/>
    </row>
    <row r="368" spans="1:12" x14ac:dyDescent="0.25">
      <c r="A368">
        <v>367</v>
      </c>
      <c r="B368" s="88" t="s">
        <v>42</v>
      </c>
      <c r="C368" s="105" t="s">
        <v>515</v>
      </c>
      <c r="D368" s="105"/>
      <c r="E368" s="88"/>
      <c r="F368" s="88"/>
      <c r="G368" s="88"/>
      <c r="H368" s="109" t="str">
        <f>DEC2HEX(I368)</f>
        <v>B8</v>
      </c>
      <c r="I368" s="91">
        <v>184</v>
      </c>
      <c r="J368" s="91" t="str">
        <f>CHAR(I368)</f>
        <v>¸</v>
      </c>
    </row>
    <row r="369" spans="1:25" x14ac:dyDescent="0.25">
      <c r="A369">
        <v>368</v>
      </c>
      <c r="B369" s="88" t="s">
        <v>40</v>
      </c>
      <c r="C369" s="105" t="s">
        <v>526</v>
      </c>
      <c r="D369" s="105"/>
      <c r="E369" s="88"/>
      <c r="F369" s="88"/>
      <c r="G369" s="88"/>
      <c r="H369" s="109" t="str">
        <f>DEC2HEX(I369)</f>
        <v>C6</v>
      </c>
      <c r="I369" s="91">
        <v>198</v>
      </c>
      <c r="J369" s="91" t="str">
        <f>CHAR(I369)</f>
        <v>Æ</v>
      </c>
    </row>
    <row r="370" spans="1:25" x14ac:dyDescent="0.25">
      <c r="A370">
        <v>369</v>
      </c>
      <c r="B370" s="88" t="s">
        <v>251</v>
      </c>
      <c r="C370" s="105" t="s">
        <v>516</v>
      </c>
      <c r="D370" s="105"/>
      <c r="E370" s="88"/>
      <c r="F370" s="88"/>
      <c r="G370" s="88"/>
      <c r="H370" s="109" t="str">
        <f>DEC2HEX(I370)</f>
        <v>C9</v>
      </c>
      <c r="I370" s="91">
        <v>201</v>
      </c>
      <c r="J370" s="91" t="str">
        <f>CHAR(I370)</f>
        <v>É</v>
      </c>
    </row>
    <row r="371" spans="1:25" x14ac:dyDescent="0.25">
      <c r="A371">
        <v>370</v>
      </c>
      <c r="B371" s="88" t="s">
        <v>510</v>
      </c>
      <c r="C371" s="105" t="s">
        <v>517</v>
      </c>
      <c r="D371" s="105"/>
      <c r="E371" s="88"/>
      <c r="F371" s="88"/>
      <c r="G371" s="88"/>
      <c r="H371" s="109" t="str">
        <f>DEC2HEX(I371)</f>
        <v>CE</v>
      </c>
      <c r="I371" s="91">
        <v>206</v>
      </c>
      <c r="J371" s="91" t="str">
        <f>CHAR(I371)</f>
        <v>Î</v>
      </c>
    </row>
    <row r="372" spans="1:25" x14ac:dyDescent="0.25">
      <c r="A372">
        <v>371</v>
      </c>
      <c r="B372" s="88" t="s">
        <v>5</v>
      </c>
      <c r="C372" s="105" t="s">
        <v>566</v>
      </c>
      <c r="D372" s="105"/>
      <c r="E372" s="88"/>
      <c r="F372" s="88"/>
      <c r="G372" s="88"/>
      <c r="H372" s="109" t="str">
        <f>DEC2HEX(I372)</f>
        <v>D1</v>
      </c>
      <c r="I372" s="91">
        <v>209</v>
      </c>
      <c r="J372" s="91" t="str">
        <f>CHAR(I372)</f>
        <v>Ñ</v>
      </c>
      <c r="L372" s="4"/>
    </row>
    <row r="373" spans="1:25" x14ac:dyDescent="0.25">
      <c r="A373">
        <v>372</v>
      </c>
      <c r="B373" s="88" t="s">
        <v>5</v>
      </c>
      <c r="C373" s="89" t="s">
        <v>567</v>
      </c>
      <c r="D373" s="89"/>
      <c r="E373" s="88"/>
      <c r="F373" s="88"/>
      <c r="G373" s="88"/>
      <c r="H373" s="90" t="str">
        <f>DEC2HEX(I373)</f>
        <v>D2</v>
      </c>
      <c r="I373" s="91">
        <v>210</v>
      </c>
      <c r="J373" s="91" t="str">
        <f>CHAR(I373)</f>
        <v>Ò</v>
      </c>
      <c r="K373" s="50"/>
      <c r="L373" s="4"/>
    </row>
    <row r="374" spans="1:25" x14ac:dyDescent="0.25">
      <c r="A374">
        <v>373</v>
      </c>
      <c r="B374" s="78" t="s">
        <v>510</v>
      </c>
      <c r="C374" s="52" t="s">
        <v>518</v>
      </c>
      <c r="D374" s="52"/>
      <c r="E374" s="1"/>
      <c r="F374" s="1"/>
      <c r="G374" s="1"/>
      <c r="H374" s="60" t="str">
        <f>DEC2HEX(I374)</f>
        <v>D7</v>
      </c>
      <c r="I374" s="2">
        <v>215</v>
      </c>
      <c r="J374" s="2" t="str">
        <f>CHAR(I374)</f>
        <v>×</v>
      </c>
      <c r="K374" s="76"/>
    </row>
    <row r="375" spans="1:25" x14ac:dyDescent="0.25">
      <c r="A375">
        <v>374</v>
      </c>
      <c r="B375" s="88" t="s">
        <v>251</v>
      </c>
      <c r="C375" s="105" t="s">
        <v>519</v>
      </c>
      <c r="D375" s="105"/>
      <c r="E375" s="88"/>
      <c r="F375" s="88"/>
      <c r="G375" s="88"/>
      <c r="H375" s="109" t="str">
        <f>DEC2HEX(I375)</f>
        <v>E7</v>
      </c>
      <c r="I375" s="91">
        <v>231</v>
      </c>
      <c r="J375" s="91" t="str">
        <f>CHAR(I375)</f>
        <v>ç</v>
      </c>
    </row>
    <row r="376" spans="1:25" x14ac:dyDescent="0.25">
      <c r="A376">
        <v>375</v>
      </c>
      <c r="B376" s="88" t="s">
        <v>510</v>
      </c>
      <c r="C376" s="105" t="s">
        <v>520</v>
      </c>
      <c r="D376" s="105"/>
      <c r="E376" s="88"/>
      <c r="F376" s="88"/>
      <c r="G376" s="88"/>
      <c r="H376" s="109" t="str">
        <f>DEC2HEX(I376)</f>
        <v>EC</v>
      </c>
      <c r="I376" s="91">
        <v>236</v>
      </c>
      <c r="J376" s="91" t="str">
        <f>CHAR(I376)</f>
        <v>ì</v>
      </c>
    </row>
    <row r="377" spans="1:25" x14ac:dyDescent="0.25">
      <c r="A377">
        <v>376</v>
      </c>
      <c r="B377" s="88" t="s">
        <v>521</v>
      </c>
      <c r="C377" s="105" t="s">
        <v>522</v>
      </c>
      <c r="D377" s="105"/>
      <c r="E377" s="88"/>
      <c r="F377" s="88"/>
      <c r="G377" s="88"/>
      <c r="H377" s="109" t="str">
        <f>DEC2HEX(I377)</f>
        <v>ED</v>
      </c>
      <c r="I377" s="91">
        <v>237</v>
      </c>
      <c r="J377" s="91" t="str">
        <f>CHAR(I377)</f>
        <v>í</v>
      </c>
    </row>
    <row r="378" spans="1:25" s="30" customFormat="1" x14ac:dyDescent="0.25">
      <c r="A378">
        <v>377</v>
      </c>
      <c r="B378" s="88" t="s">
        <v>36</v>
      </c>
      <c r="C378" s="89" t="s">
        <v>523</v>
      </c>
      <c r="D378" s="89"/>
      <c r="E378" s="88"/>
      <c r="F378" s="88"/>
      <c r="G378" s="88"/>
      <c r="H378" s="90" t="str">
        <f>DEC2HEX(I378)</f>
        <v>F7</v>
      </c>
      <c r="I378" s="91">
        <v>247</v>
      </c>
      <c r="J378" s="91" t="str">
        <f>CHAR(I378)</f>
        <v>÷</v>
      </c>
      <c r="K378" s="50"/>
      <c r="L378"/>
      <c r="M378" s="54"/>
      <c r="N378" s="75"/>
      <c r="O378" s="75"/>
      <c r="P378" s="75"/>
      <c r="Q378" s="51"/>
      <c r="R378" s="4"/>
      <c r="S378" s="4"/>
      <c r="T378" s="4"/>
      <c r="U378" s="4"/>
      <c r="V378" s="4"/>
      <c r="W378" s="4"/>
      <c r="X378" s="4"/>
      <c r="Y378" s="4"/>
    </row>
    <row r="379" spans="1:25" s="30" customFormat="1" x14ac:dyDescent="0.25">
      <c r="A379">
        <v>378</v>
      </c>
      <c r="B379" s="88" t="s">
        <v>254</v>
      </c>
      <c r="C379" s="89" t="s">
        <v>531</v>
      </c>
      <c r="D379" s="89"/>
      <c r="E379" s="88"/>
      <c r="F379" s="88"/>
      <c r="G379" s="88"/>
      <c r="H379" s="90" t="str">
        <f>DEC2HEX(I379)</f>
        <v>48</v>
      </c>
      <c r="I379" s="91">
        <v>72</v>
      </c>
      <c r="J379" s="91" t="str">
        <f>CHAR(I379)</f>
        <v>H</v>
      </c>
      <c r="K379" s="50"/>
      <c r="L379" s="4"/>
      <c r="M379" s="54"/>
      <c r="N379" s="75"/>
      <c r="O379" s="75"/>
      <c r="P379" s="75"/>
      <c r="Q379" s="51"/>
      <c r="R379" s="81"/>
    </row>
    <row r="380" spans="1:25" s="30" customFormat="1" x14ac:dyDescent="0.25">
      <c r="A380">
        <v>379</v>
      </c>
      <c r="B380" s="88" t="s">
        <v>510</v>
      </c>
      <c r="C380" s="89" t="s">
        <v>541</v>
      </c>
      <c r="D380" s="89"/>
      <c r="E380" s="88"/>
      <c r="F380" s="88"/>
      <c r="G380" s="88"/>
      <c r="H380" s="90" t="str">
        <f>DEC2HEX(I380)</f>
        <v>7C</v>
      </c>
      <c r="I380" s="91">
        <v>124</v>
      </c>
      <c r="J380" s="91" t="str">
        <f>CHAR(I380)</f>
        <v>|</v>
      </c>
      <c r="K380" s="50"/>
      <c r="L380" s="4"/>
      <c r="M380" s="54"/>
      <c r="N380" s="75"/>
      <c r="O380" s="75"/>
      <c r="P380" s="75"/>
      <c r="Q380" s="51"/>
    </row>
    <row r="381" spans="1:25" x14ac:dyDescent="0.25">
      <c r="A381">
        <v>380</v>
      </c>
      <c r="B381" s="88" t="s">
        <v>510</v>
      </c>
      <c r="C381" s="89" t="s">
        <v>542</v>
      </c>
      <c r="D381" s="89"/>
      <c r="E381" s="88"/>
      <c r="F381" s="88"/>
      <c r="G381" s="88"/>
      <c r="H381" s="109" t="str">
        <f>DEC2HEX(I381)</f>
        <v>7D</v>
      </c>
      <c r="I381" s="91">
        <v>125</v>
      </c>
      <c r="J381" s="91" t="str">
        <f>CHAR(I381)</f>
        <v>}</v>
      </c>
      <c r="L381" s="4"/>
      <c r="R381" s="30"/>
      <c r="S381" s="30"/>
      <c r="T381" s="30"/>
      <c r="U381" s="30"/>
      <c r="V381" s="30"/>
      <c r="W381" s="30"/>
      <c r="X381" s="30"/>
      <c r="Y381" s="30"/>
    </row>
    <row r="382" spans="1:25" x14ac:dyDescent="0.25">
      <c r="A382">
        <v>381</v>
      </c>
      <c r="C382" s="46"/>
      <c r="D382" s="46"/>
      <c r="E382" s="49">
        <v>416</v>
      </c>
      <c r="F382" s="49">
        <v>419</v>
      </c>
      <c r="G382" s="4"/>
      <c r="H382" s="57"/>
      <c r="I382" s="5"/>
      <c r="J382" s="5"/>
      <c r="K382" s="46"/>
      <c r="L382">
        <f>IF(ISBLANK(D36),IF(E382&gt;0,F382-E382+1,0),0)</f>
        <v>0</v>
      </c>
      <c r="M382" s="54">
        <f>IF(ISBLANK(D36),0,IF(G382=0,F382-E382+1,0))</f>
        <v>4</v>
      </c>
    </row>
    <row r="383" spans="1:25" x14ac:dyDescent="0.25">
      <c r="A383">
        <v>382</v>
      </c>
      <c r="C383" s="46"/>
      <c r="D383" s="46"/>
      <c r="E383" s="49">
        <v>464</v>
      </c>
      <c r="F383" s="49">
        <v>467</v>
      </c>
      <c r="G383" s="4"/>
      <c r="K383" s="23"/>
      <c r="L383">
        <f>IF(ISBLANK(D45),IF(E383&gt;0,F383-E383+1,0),0)</f>
        <v>0</v>
      </c>
      <c r="M383" s="54">
        <f>IF(ISBLANK(D45),0,IF(G383=0,F383-E383+1,0))</f>
        <v>4</v>
      </c>
    </row>
    <row r="384" spans="1:25" x14ac:dyDescent="0.25">
      <c r="A384">
        <v>383</v>
      </c>
      <c r="C384" s="46"/>
      <c r="D384" s="46"/>
      <c r="E384" s="49">
        <v>472</v>
      </c>
      <c r="F384" s="49">
        <v>475</v>
      </c>
      <c r="G384" s="4"/>
      <c r="K384" s="23"/>
      <c r="L384">
        <f>IF(ISBLANK(#REF!),IF(E384&gt;0,F384-E384+1,0),0)</f>
        <v>0</v>
      </c>
      <c r="M384" s="54">
        <f>IF(ISBLANK(#REF!),0,IF(G384=0,F384-E384+1,0))</f>
        <v>4</v>
      </c>
    </row>
    <row r="385" spans="1:13" x14ac:dyDescent="0.25">
      <c r="A385">
        <v>384</v>
      </c>
      <c r="D385" s="46"/>
      <c r="E385" s="49">
        <v>596</v>
      </c>
      <c r="F385" s="48">
        <v>599</v>
      </c>
      <c r="G385" s="4"/>
      <c r="K385" s="23"/>
      <c r="L385">
        <f>IF(ISBLANK(D385),IF(E385&gt;0,F385-E385+1,0),0)</f>
        <v>4</v>
      </c>
      <c r="M385" s="54">
        <f>IF(ISBLANK(D385),0,IF(G385=0,F385-E385+1,0))</f>
        <v>0</v>
      </c>
    </row>
    <row r="386" spans="1:13" x14ac:dyDescent="0.25">
      <c r="A386">
        <v>385</v>
      </c>
      <c r="E386" s="49">
        <v>608</v>
      </c>
      <c r="F386" s="49">
        <v>611</v>
      </c>
      <c r="G386" s="4"/>
      <c r="K386" s="23"/>
      <c r="L386">
        <f>IF(ISBLANK(D386),IF(E386&gt;0,F386-E386+1,0),0)</f>
        <v>4</v>
      </c>
      <c r="M386" s="54">
        <f>IF(ISBLANK(D386),0,IF(G386=0,F386-E386+1,0))</f>
        <v>0</v>
      </c>
    </row>
    <row r="387" spans="1:13" x14ac:dyDescent="0.25">
      <c r="A387">
        <v>386</v>
      </c>
      <c r="E387" s="48">
        <v>660</v>
      </c>
      <c r="F387" s="48">
        <v>663</v>
      </c>
      <c r="G387" s="4"/>
      <c r="H387" s="57"/>
      <c r="I387" s="5"/>
      <c r="J387" s="5"/>
      <c r="K387" s="23"/>
      <c r="L387">
        <f>IF(ISBLANK(D387),IF(E387&gt;0,F387-E387+1,0),0)</f>
        <v>4</v>
      </c>
      <c r="M387" s="54">
        <f>IF(ISBLANK(D387),0,IF(G387=0,F387-E387+1,0))</f>
        <v>0</v>
      </c>
    </row>
    <row r="388" spans="1:13" x14ac:dyDescent="0.25">
      <c r="A388">
        <v>387</v>
      </c>
      <c r="E388" s="49">
        <v>704</v>
      </c>
      <c r="F388" s="49">
        <v>707</v>
      </c>
      <c r="G388" s="4"/>
      <c r="K388" s="46"/>
      <c r="L388">
        <f>IF(ISBLANK(D388),IF(E388&gt;0,F388-E388+1,0),0)</f>
        <v>4</v>
      </c>
      <c r="M388" s="54">
        <f>IF(ISBLANK(D388),0,IF(G388=0,F388-E388+1,0))</f>
        <v>0</v>
      </c>
    </row>
    <row r="389" spans="1:13" x14ac:dyDescent="0.25">
      <c r="A389">
        <v>388</v>
      </c>
      <c r="E389" s="49">
        <v>712</v>
      </c>
      <c r="F389" s="49">
        <v>735</v>
      </c>
      <c r="G389" s="4"/>
      <c r="K389" s="46"/>
      <c r="L389">
        <f>IF(ISBLANK(D389),IF(E389&gt;0,F389-E389+1,0),0)</f>
        <v>24</v>
      </c>
      <c r="M389" s="54">
        <f>IF(ISBLANK(D389),0,IF(G389=0,F389-E389+1,0))</f>
        <v>0</v>
      </c>
    </row>
    <row r="390" spans="1:13" x14ac:dyDescent="0.25">
      <c r="A390">
        <v>389</v>
      </c>
      <c r="E390" s="48">
        <v>736</v>
      </c>
      <c r="F390" s="48">
        <v>739</v>
      </c>
      <c r="G390" s="4"/>
      <c r="K390" s="46"/>
      <c r="L390">
        <f>IF(ISBLANK(D390),IF(E390&gt;0,F390-E390+1,0),0)</f>
        <v>4</v>
      </c>
      <c r="M390" s="54">
        <f>IF(ISBLANK(D390),0,IF(G390=0,F390-E390+1,0))</f>
        <v>0</v>
      </c>
    </row>
    <row r="391" spans="1:13" x14ac:dyDescent="0.25">
      <c r="A391">
        <v>390</v>
      </c>
      <c r="E391" s="48">
        <v>752</v>
      </c>
      <c r="F391" s="48">
        <v>755</v>
      </c>
      <c r="G391" s="4"/>
      <c r="K391" s="46"/>
      <c r="L391">
        <f>IF(ISBLANK(D391),IF(E391&gt;0,F391-E391+1,0),0)</f>
        <v>4</v>
      </c>
      <c r="M391" s="54">
        <f>IF(ISBLANK(D391),0,IF(G391=0,F391-E391+1,0))</f>
        <v>0</v>
      </c>
    </row>
    <row r="392" spans="1:13" x14ac:dyDescent="0.25">
      <c r="A392">
        <v>391</v>
      </c>
      <c r="E392" s="49">
        <v>792</v>
      </c>
      <c r="F392" s="49">
        <v>795</v>
      </c>
      <c r="L392">
        <f>IF(ISBLANK(D392),IF(E392&gt;0,F392-E392+1,0),0)</f>
        <v>4</v>
      </c>
      <c r="M392" s="54">
        <f>IF(ISBLANK(D392),0,IF(G392=0,F392-E392+1,0))</f>
        <v>0</v>
      </c>
    </row>
    <row r="393" spans="1:13" x14ac:dyDescent="0.25">
      <c r="A393">
        <v>392</v>
      </c>
      <c r="E393" s="49">
        <v>804</v>
      </c>
      <c r="F393" s="49">
        <v>819</v>
      </c>
      <c r="L393">
        <f>IF(ISBLANK(D393),IF(E393&gt;0,F393-E393+1,0),0)</f>
        <v>16</v>
      </c>
      <c r="M393" s="54">
        <f>IF(ISBLANK(D393),0,IF(G393=0,F393-E393+1,0))</f>
        <v>0</v>
      </c>
    </row>
    <row r="394" spans="1:13" x14ac:dyDescent="0.25">
      <c r="A394">
        <v>393</v>
      </c>
      <c r="E394" s="49">
        <v>836</v>
      </c>
      <c r="F394" s="49">
        <v>839</v>
      </c>
      <c r="L394">
        <f>IF(ISBLANK(D394),IF(E394&gt;0,F394-E394+1,0),0)</f>
        <v>4</v>
      </c>
      <c r="M394" s="54">
        <f>IF(ISBLANK(D394),0,IF(G394=0,F394-E394+1,0))</f>
        <v>0</v>
      </c>
    </row>
    <row r="395" spans="1:13" x14ac:dyDescent="0.25">
      <c r="A395">
        <v>394</v>
      </c>
      <c r="E395" s="49">
        <v>840</v>
      </c>
      <c r="F395" s="49">
        <v>843</v>
      </c>
      <c r="L395">
        <f>IF(ISBLANK(D395),IF(E395&gt;0,F395-E395+1,0),0)</f>
        <v>4</v>
      </c>
      <c r="M395" s="54">
        <f>IF(ISBLANK(D395),0,IF(G395=0,F395-E395+1,0))</f>
        <v>0</v>
      </c>
    </row>
    <row r="396" spans="1:13" x14ac:dyDescent="0.25">
      <c r="A396">
        <v>395</v>
      </c>
      <c r="E396" s="49">
        <v>844</v>
      </c>
      <c r="F396" s="49">
        <v>847</v>
      </c>
      <c r="L396">
        <f>IF(ISBLANK(D396),IF(E396&gt;0,F396-E396+1,0),0)</f>
        <v>4</v>
      </c>
      <c r="M396" s="54">
        <f>IF(ISBLANK(D396),0,IF(G396=0,F396-E396+1,0))</f>
        <v>0</v>
      </c>
    </row>
    <row r="397" spans="1:13" x14ac:dyDescent="0.25">
      <c r="A397">
        <v>396</v>
      </c>
      <c r="E397" s="49">
        <v>848</v>
      </c>
      <c r="F397" s="49">
        <v>851</v>
      </c>
      <c r="L397">
        <f>IF(ISBLANK(D397),IF(E397&gt;0,F397-E397+1,0),0)</f>
        <v>4</v>
      </c>
      <c r="M397" s="54">
        <f>IF(ISBLANK(D397),0,IF(G397=0,F397-E397+1,0))</f>
        <v>0</v>
      </c>
    </row>
    <row r="398" spans="1:13" x14ac:dyDescent="0.25">
      <c r="A398">
        <v>397</v>
      </c>
      <c r="E398" s="49">
        <v>852</v>
      </c>
      <c r="F398" s="49">
        <v>867</v>
      </c>
      <c r="L398">
        <f>IF(ISBLANK(D398),IF(E398&gt;0,F398-E398+1,0),0)</f>
        <v>16</v>
      </c>
      <c r="M398" s="54">
        <f>IF(ISBLANK(D398),0,IF(G398=0,F398-E398+1,0))</f>
        <v>0</v>
      </c>
    </row>
    <row r="399" spans="1:13" x14ac:dyDescent="0.25">
      <c r="A399">
        <v>398</v>
      </c>
      <c r="E399" s="48">
        <v>884</v>
      </c>
      <c r="F399" s="48">
        <v>887</v>
      </c>
      <c r="L399">
        <f>IF(ISBLANK(D399),IF(E399&gt;0,F399-E399+1,0),0)</f>
        <v>4</v>
      </c>
      <c r="M399" s="54">
        <f>IF(ISBLANK(D399),0,IF(G399=0,F399-E399+1,0))</f>
        <v>0</v>
      </c>
    </row>
    <row r="400" spans="1:13" x14ac:dyDescent="0.25">
      <c r="A400">
        <v>399</v>
      </c>
      <c r="E400" s="49">
        <v>900</v>
      </c>
      <c r="F400" s="49">
        <v>903</v>
      </c>
      <c r="L400">
        <f>IF(ISBLANK(D400),IF(E400&gt;0,F400-E400+1,0),0)</f>
        <v>4</v>
      </c>
      <c r="M400" s="54">
        <f>IF(ISBLANK(D400),0,IF(G400=0,F400-E400+1,0))</f>
        <v>0</v>
      </c>
    </row>
    <row r="401" spans="1:13" x14ac:dyDescent="0.25">
      <c r="A401">
        <v>400</v>
      </c>
      <c r="E401" s="48">
        <v>908</v>
      </c>
      <c r="F401" s="48">
        <v>911</v>
      </c>
      <c r="L401">
        <f>IF(ISBLANK(D401),IF(E401&gt;0,F401-E401+1,0),0)</f>
        <v>4</v>
      </c>
      <c r="M401" s="54">
        <f>IF(ISBLANK(D401),0,IF(G401=0,F401-E401+1,0))</f>
        <v>0</v>
      </c>
    </row>
    <row r="402" spans="1:13" x14ac:dyDescent="0.25">
      <c r="A402">
        <v>401</v>
      </c>
      <c r="D402" s="46"/>
      <c r="E402" s="48">
        <v>924</v>
      </c>
      <c r="F402" s="48">
        <v>935</v>
      </c>
      <c r="G402" s="4"/>
      <c r="H402" s="57"/>
      <c r="I402" s="5"/>
      <c r="J402" s="5"/>
      <c r="L402">
        <f>IF(ISBLANK(D402),IF(E402&gt;0,F402-E402+1,0),0)</f>
        <v>12</v>
      </c>
      <c r="M402" s="54">
        <f>IF(ISBLANK(D402),0,IF(G402=0,F402-E402+1,0))</f>
        <v>0</v>
      </c>
    </row>
    <row r="403" spans="1:13" x14ac:dyDescent="0.25">
      <c r="A403">
        <v>402</v>
      </c>
      <c r="E403" s="49">
        <v>940</v>
      </c>
      <c r="F403" s="49">
        <v>943</v>
      </c>
      <c r="L403">
        <f>IF(ISBLANK(D403),IF(E403&gt;0,F403-E403+1,0),0)</f>
        <v>4</v>
      </c>
      <c r="M403" s="54">
        <f>IF(ISBLANK(D403),0,IF(G403=0,F403-E403+1,0))</f>
        <v>0</v>
      </c>
    </row>
    <row r="404" spans="1:13" x14ac:dyDescent="0.25">
      <c r="A404">
        <v>403</v>
      </c>
      <c r="E404" s="49">
        <v>956</v>
      </c>
      <c r="F404" s="49">
        <v>959</v>
      </c>
      <c r="L404">
        <f>IF(ISBLANK(D404),IF(E404&gt;0,F404-E404+1,0),0)</f>
        <v>4</v>
      </c>
      <c r="M404" s="54">
        <f>IF(ISBLANK(D404),0,IF(G404=0,F404-E404+1,0))</f>
        <v>0</v>
      </c>
    </row>
    <row r="405" spans="1:13" x14ac:dyDescent="0.25">
      <c r="A405">
        <v>404</v>
      </c>
      <c r="E405" s="49">
        <v>984</v>
      </c>
      <c r="F405" s="49">
        <v>987</v>
      </c>
      <c r="L405">
        <f>IF(ISBLANK(D405),IF(E405&gt;0,F405-E405+1,0),0)</f>
        <v>4</v>
      </c>
      <c r="M405" s="54">
        <f>IF(ISBLANK(D405),0,IF(G405=0,F405-E405+1,0))</f>
        <v>0</v>
      </c>
    </row>
    <row r="406" spans="1:13" x14ac:dyDescent="0.25">
      <c r="A406">
        <v>405</v>
      </c>
      <c r="H406" s="79" t="str">
        <f>DEC2HEX(I406)</f>
        <v>21</v>
      </c>
      <c r="I406" s="77">
        <v>33</v>
      </c>
      <c r="J406" s="77" t="str">
        <f>CHAR(I406)</f>
        <v>!</v>
      </c>
      <c r="K406" s="80" t="s">
        <v>38</v>
      </c>
      <c r="L406" s="4"/>
    </row>
    <row r="407" spans="1:13" x14ac:dyDescent="0.25">
      <c r="A407">
        <v>406</v>
      </c>
      <c r="H407" s="79" t="str">
        <f>DEC2HEX(I407)</f>
        <v>22</v>
      </c>
      <c r="I407" s="77">
        <v>34</v>
      </c>
      <c r="J407" s="77" t="str">
        <f>CHAR(I407)</f>
        <v>"</v>
      </c>
      <c r="K407" s="80" t="s">
        <v>38</v>
      </c>
      <c r="L407" s="4"/>
    </row>
    <row r="408" spans="1:13" x14ac:dyDescent="0.25">
      <c r="A408">
        <v>407</v>
      </c>
      <c r="H408" s="79" t="str">
        <f>DEC2HEX(I408)</f>
        <v>23</v>
      </c>
      <c r="I408" s="77">
        <v>35</v>
      </c>
      <c r="J408" s="77" t="str">
        <f>CHAR(I408)</f>
        <v>#</v>
      </c>
      <c r="K408" s="80" t="s">
        <v>38</v>
      </c>
      <c r="L408" s="4"/>
    </row>
    <row r="409" spans="1:13" x14ac:dyDescent="0.25">
      <c r="A409">
        <v>408</v>
      </c>
      <c r="H409" s="79" t="str">
        <f>DEC2HEX(I409)</f>
        <v>24</v>
      </c>
      <c r="I409" s="77">
        <v>36</v>
      </c>
      <c r="J409" s="77" t="str">
        <f>CHAR(I409)</f>
        <v>$</v>
      </c>
      <c r="K409" s="80" t="s">
        <v>38</v>
      </c>
      <c r="L409" s="4"/>
    </row>
    <row r="410" spans="1:13" x14ac:dyDescent="0.25">
      <c r="A410">
        <v>409</v>
      </c>
      <c r="H410" s="79" t="str">
        <f>DEC2HEX(I410)</f>
        <v>25</v>
      </c>
      <c r="I410" s="77">
        <v>37</v>
      </c>
      <c r="J410" s="77" t="str">
        <f>CHAR(I410)</f>
        <v>%</v>
      </c>
      <c r="K410" s="80" t="s">
        <v>38</v>
      </c>
      <c r="L410" s="4"/>
    </row>
    <row r="411" spans="1:13" x14ac:dyDescent="0.25">
      <c r="A411">
        <v>410</v>
      </c>
      <c r="H411" s="79" t="str">
        <f>DEC2HEX(I411)</f>
        <v>26</v>
      </c>
      <c r="I411" s="77">
        <v>38</v>
      </c>
      <c r="J411" s="77" t="str">
        <f>CHAR(I411)</f>
        <v>&amp;</v>
      </c>
      <c r="K411" s="80" t="s">
        <v>38</v>
      </c>
      <c r="L411" s="4"/>
    </row>
    <row r="412" spans="1:13" x14ac:dyDescent="0.25">
      <c r="A412">
        <v>411</v>
      </c>
      <c r="H412" s="79" t="str">
        <f>DEC2HEX(I412)</f>
        <v>27</v>
      </c>
      <c r="I412" s="77">
        <v>39</v>
      </c>
      <c r="J412" s="77" t="str">
        <f>CHAR(I412)</f>
        <v>'</v>
      </c>
      <c r="K412" s="80" t="s">
        <v>38</v>
      </c>
      <c r="L412" s="4"/>
    </row>
    <row r="413" spans="1:13" x14ac:dyDescent="0.25">
      <c r="A413">
        <v>412</v>
      </c>
      <c r="H413" s="79" t="str">
        <f>DEC2HEX(I413)</f>
        <v>28</v>
      </c>
      <c r="I413" s="77">
        <v>40</v>
      </c>
      <c r="J413" s="77" t="str">
        <f>CHAR(I413)</f>
        <v>(</v>
      </c>
      <c r="K413" s="80" t="s">
        <v>38</v>
      </c>
      <c r="L413" s="4"/>
    </row>
    <row r="414" spans="1:13" x14ac:dyDescent="0.25">
      <c r="A414">
        <v>413</v>
      </c>
      <c r="H414" s="79" t="str">
        <f>DEC2HEX(I414)</f>
        <v>29</v>
      </c>
      <c r="I414" s="77">
        <v>41</v>
      </c>
      <c r="J414" s="77" t="str">
        <f>CHAR(I414)</f>
        <v>)</v>
      </c>
      <c r="K414" s="80" t="s">
        <v>38</v>
      </c>
      <c r="L414" s="4"/>
    </row>
    <row r="415" spans="1:13" x14ac:dyDescent="0.25">
      <c r="A415">
        <v>414</v>
      </c>
      <c r="H415" s="79" t="str">
        <f>DEC2HEX(I415)</f>
        <v>2A</v>
      </c>
      <c r="I415" s="77">
        <v>42</v>
      </c>
      <c r="J415" s="77" t="str">
        <f>CHAR(I415)</f>
        <v>*</v>
      </c>
      <c r="K415" s="80" t="s">
        <v>38</v>
      </c>
      <c r="L415" s="4"/>
    </row>
    <row r="416" spans="1:13" x14ac:dyDescent="0.25">
      <c r="A416">
        <v>415</v>
      </c>
      <c r="H416" s="79" t="str">
        <f>DEC2HEX(I416)</f>
        <v>2B</v>
      </c>
      <c r="I416" s="77">
        <v>43</v>
      </c>
      <c r="J416" s="77" t="str">
        <f>CHAR(I416)</f>
        <v>+</v>
      </c>
      <c r="K416" s="80" t="s">
        <v>38</v>
      </c>
      <c r="L416" s="4"/>
    </row>
    <row r="417" spans="1:12" x14ac:dyDescent="0.25">
      <c r="A417">
        <v>416</v>
      </c>
      <c r="H417" s="79" t="str">
        <f>DEC2HEX(I417)</f>
        <v>2C</v>
      </c>
      <c r="I417" s="77">
        <v>44</v>
      </c>
      <c r="J417" s="77" t="str">
        <f>CHAR(I417)</f>
        <v>,</v>
      </c>
      <c r="K417" s="80" t="s">
        <v>38</v>
      </c>
      <c r="L417" s="4"/>
    </row>
    <row r="418" spans="1:12" x14ac:dyDescent="0.25">
      <c r="A418">
        <v>417</v>
      </c>
      <c r="H418" s="60" t="str">
        <f>DEC2HEX(I418)</f>
        <v>2F</v>
      </c>
      <c r="I418" s="2">
        <v>47</v>
      </c>
      <c r="J418" s="2" t="str">
        <f>CHAR(I418)</f>
        <v>/</v>
      </c>
      <c r="K418" s="76" t="s">
        <v>39</v>
      </c>
      <c r="L418" s="4"/>
    </row>
    <row r="419" spans="1:12" x14ac:dyDescent="0.25">
      <c r="A419">
        <v>418</v>
      </c>
      <c r="H419" s="60" t="str">
        <f>DEC2HEX(I419)</f>
        <v>30</v>
      </c>
      <c r="I419" s="2">
        <v>48</v>
      </c>
      <c r="J419" s="2" t="str">
        <f>CHAR(I419)</f>
        <v>0</v>
      </c>
      <c r="K419" s="76" t="s">
        <v>39</v>
      </c>
      <c r="L419" s="4"/>
    </row>
    <row r="420" spans="1:12" x14ac:dyDescent="0.25">
      <c r="A420">
        <v>419</v>
      </c>
      <c r="H420" s="60" t="str">
        <f>DEC2HEX(I420)</f>
        <v>31</v>
      </c>
      <c r="I420" s="2">
        <v>49</v>
      </c>
      <c r="J420" s="2" t="str">
        <f>CHAR(I420)</f>
        <v>1</v>
      </c>
      <c r="K420" s="76" t="s">
        <v>39</v>
      </c>
      <c r="L420" s="4"/>
    </row>
    <row r="421" spans="1:12" x14ac:dyDescent="0.25">
      <c r="A421">
        <v>420</v>
      </c>
      <c r="H421" s="60" t="str">
        <f>DEC2HEX(I421)</f>
        <v>32</v>
      </c>
      <c r="I421" s="2">
        <v>50</v>
      </c>
      <c r="J421" s="2" t="str">
        <f>CHAR(I421)</f>
        <v>2</v>
      </c>
      <c r="K421" s="76" t="s">
        <v>39</v>
      </c>
      <c r="L421" s="4"/>
    </row>
    <row r="422" spans="1:12" x14ac:dyDescent="0.25">
      <c r="A422">
        <v>421</v>
      </c>
      <c r="H422" s="60" t="str">
        <f>DEC2HEX(I422)</f>
        <v>33</v>
      </c>
      <c r="I422" s="2">
        <v>51</v>
      </c>
      <c r="J422" s="2" t="str">
        <f>CHAR(I422)</f>
        <v>3</v>
      </c>
      <c r="K422" s="76" t="s">
        <v>39</v>
      </c>
      <c r="L422" s="4"/>
    </row>
    <row r="423" spans="1:12" x14ac:dyDescent="0.25">
      <c r="A423">
        <v>422</v>
      </c>
      <c r="H423" s="60" t="str">
        <f>DEC2HEX(I423)</f>
        <v>34</v>
      </c>
      <c r="I423" s="2">
        <v>52</v>
      </c>
      <c r="J423" s="2" t="str">
        <f>CHAR(I423)</f>
        <v>4</v>
      </c>
      <c r="K423" s="76" t="s">
        <v>39</v>
      </c>
      <c r="L423" s="4"/>
    </row>
    <row r="424" spans="1:12" x14ac:dyDescent="0.25">
      <c r="A424">
        <v>423</v>
      </c>
      <c r="H424" s="60" t="str">
        <f>DEC2HEX(I424)</f>
        <v>35</v>
      </c>
      <c r="I424" s="2">
        <v>53</v>
      </c>
      <c r="J424" s="2" t="str">
        <f>CHAR(I424)</f>
        <v>5</v>
      </c>
      <c r="K424" s="76" t="s">
        <v>39</v>
      </c>
      <c r="L424" s="4"/>
    </row>
    <row r="425" spans="1:12" x14ac:dyDescent="0.25">
      <c r="A425">
        <v>424</v>
      </c>
      <c r="H425" s="60" t="str">
        <f>DEC2HEX(I425)</f>
        <v>36</v>
      </c>
      <c r="I425" s="2">
        <v>54</v>
      </c>
      <c r="J425" s="2" t="str">
        <f>CHAR(I425)</f>
        <v>6</v>
      </c>
      <c r="K425" s="76" t="s">
        <v>39</v>
      </c>
      <c r="L425" s="4"/>
    </row>
    <row r="426" spans="1:12" x14ac:dyDescent="0.25">
      <c r="A426">
        <v>425</v>
      </c>
      <c r="H426" s="60" t="str">
        <f>DEC2HEX(I426)</f>
        <v>37</v>
      </c>
      <c r="I426" s="2">
        <v>55</v>
      </c>
      <c r="J426" s="2" t="str">
        <f>CHAR(I426)</f>
        <v>7</v>
      </c>
      <c r="K426" s="76" t="s">
        <v>39</v>
      </c>
      <c r="L426" s="4"/>
    </row>
    <row r="427" spans="1:12" x14ac:dyDescent="0.25">
      <c r="A427">
        <v>426</v>
      </c>
      <c r="H427" s="60" t="str">
        <f>DEC2HEX(I427)</f>
        <v>38</v>
      </c>
      <c r="I427" s="2">
        <v>56</v>
      </c>
      <c r="J427" s="2" t="str">
        <f>CHAR(I427)</f>
        <v>8</v>
      </c>
      <c r="K427" s="76" t="s">
        <v>39</v>
      </c>
      <c r="L427" s="4"/>
    </row>
    <row r="428" spans="1:12" x14ac:dyDescent="0.25">
      <c r="A428">
        <v>427</v>
      </c>
      <c r="H428" s="60" t="str">
        <f>DEC2HEX(I428)</f>
        <v>39</v>
      </c>
      <c r="I428" s="2">
        <v>57</v>
      </c>
      <c r="J428" s="2" t="str">
        <f>CHAR(I428)</f>
        <v>9</v>
      </c>
      <c r="K428" s="76" t="s">
        <v>39</v>
      </c>
      <c r="L428" s="4"/>
    </row>
    <row r="429" spans="1:12" x14ac:dyDescent="0.25">
      <c r="A429">
        <v>428</v>
      </c>
      <c r="H429" s="79" t="str">
        <f>DEC2HEX(I429)</f>
        <v>3C</v>
      </c>
      <c r="I429" s="77">
        <v>60</v>
      </c>
      <c r="J429" s="77" t="str">
        <f>CHAR(I429)</f>
        <v>&lt;</v>
      </c>
      <c r="K429" s="80" t="s">
        <v>38</v>
      </c>
      <c r="L429" s="4"/>
    </row>
    <row r="430" spans="1:12" x14ac:dyDescent="0.25">
      <c r="A430">
        <v>429</v>
      </c>
      <c r="H430" s="79" t="str">
        <f>DEC2HEX(I430)</f>
        <v>3E</v>
      </c>
      <c r="I430" s="77">
        <v>62</v>
      </c>
      <c r="J430" s="77" t="str">
        <f>CHAR(I430)</f>
        <v>&gt;</v>
      </c>
      <c r="K430" s="80" t="s">
        <v>38</v>
      </c>
      <c r="L430" s="4"/>
    </row>
    <row r="431" spans="1:12" x14ac:dyDescent="0.25">
      <c r="A431">
        <v>430</v>
      </c>
      <c r="H431" s="79" t="str">
        <f>DEC2HEX(I431)</f>
        <v>3F</v>
      </c>
      <c r="I431" s="77">
        <v>63</v>
      </c>
      <c r="J431" s="77" t="str">
        <f>CHAR(I431)</f>
        <v>?</v>
      </c>
      <c r="K431" s="80" t="s">
        <v>38</v>
      </c>
      <c r="L431" s="4"/>
    </row>
    <row r="432" spans="1:12" x14ac:dyDescent="0.25">
      <c r="A432">
        <v>431</v>
      </c>
      <c r="H432" s="60" t="str">
        <f>DEC2HEX(I432)</f>
        <v>5C</v>
      </c>
      <c r="I432" s="2">
        <v>92</v>
      </c>
      <c r="J432" s="2" t="str">
        <f>CHAR(I432)</f>
        <v>\</v>
      </c>
      <c r="K432" s="76" t="s">
        <v>39</v>
      </c>
      <c r="L432" s="4"/>
    </row>
    <row r="433" spans="1:12" x14ac:dyDescent="0.25">
      <c r="A433">
        <v>432</v>
      </c>
      <c r="H433" s="79" t="str">
        <f>DEC2HEX(I433)</f>
        <v>5D</v>
      </c>
      <c r="I433" s="77">
        <v>93</v>
      </c>
      <c r="J433" s="77" t="str">
        <f>CHAR(I433)</f>
        <v>]</v>
      </c>
      <c r="K433" s="80" t="s">
        <v>38</v>
      </c>
      <c r="L433" s="4"/>
    </row>
    <row r="434" spans="1:12" x14ac:dyDescent="0.25">
      <c r="A434">
        <v>433</v>
      </c>
      <c r="H434" s="60" t="str">
        <f>DEC2HEX(I434)</f>
        <v>60</v>
      </c>
      <c r="I434" s="2">
        <v>96</v>
      </c>
      <c r="J434" s="2" t="str">
        <f>CHAR(I434)</f>
        <v>`</v>
      </c>
      <c r="K434" s="76" t="s">
        <v>39</v>
      </c>
      <c r="L434" s="4"/>
    </row>
    <row r="435" spans="1:12" x14ac:dyDescent="0.25">
      <c r="A435">
        <v>434</v>
      </c>
      <c r="H435" s="79" t="str">
        <f>DEC2HEX(I435)</f>
        <v>66</v>
      </c>
      <c r="I435" s="77">
        <v>102</v>
      </c>
      <c r="J435" s="77" t="str">
        <f>CHAR(I435)</f>
        <v>f</v>
      </c>
      <c r="K435" s="80" t="s">
        <v>38</v>
      </c>
      <c r="L435" s="4"/>
    </row>
    <row r="436" spans="1:12" x14ac:dyDescent="0.25">
      <c r="A436">
        <v>435</v>
      </c>
      <c r="H436" s="79" t="str">
        <f>DEC2HEX(I436)</f>
        <v>72</v>
      </c>
      <c r="I436" s="77">
        <v>114</v>
      </c>
      <c r="J436" s="77" t="str">
        <f>CHAR(I436)</f>
        <v>r</v>
      </c>
      <c r="K436" s="80" t="s">
        <v>38</v>
      </c>
      <c r="L436" s="4"/>
    </row>
    <row r="437" spans="1:12" x14ac:dyDescent="0.25">
      <c r="A437">
        <v>436</v>
      </c>
      <c r="H437" s="60" t="str">
        <f>DEC2HEX(I437)</f>
        <v>7F</v>
      </c>
      <c r="I437" s="2">
        <v>127</v>
      </c>
      <c r="J437" s="2" t="str">
        <f>CHAR(I437)</f>
        <v></v>
      </c>
      <c r="K437" s="76" t="s">
        <v>39</v>
      </c>
      <c r="L437" s="4"/>
    </row>
    <row r="438" spans="1:12" x14ac:dyDescent="0.25">
      <c r="A438">
        <v>437</v>
      </c>
      <c r="H438" s="60" t="str">
        <f>DEC2HEX(I438)</f>
        <v>80</v>
      </c>
      <c r="I438" s="2">
        <v>128</v>
      </c>
      <c r="J438" s="2" t="str">
        <f>CHAR(I438)</f>
        <v>€</v>
      </c>
      <c r="K438" s="76" t="s">
        <v>39</v>
      </c>
      <c r="L438" s="4"/>
    </row>
    <row r="439" spans="1:12" x14ac:dyDescent="0.25">
      <c r="A439">
        <v>438</v>
      </c>
      <c r="H439" s="60" t="str">
        <f>DEC2HEX(I439)</f>
        <v>81</v>
      </c>
      <c r="I439" s="2">
        <v>129</v>
      </c>
      <c r="J439" s="2" t="str">
        <f>CHAR(I439)</f>
        <v></v>
      </c>
      <c r="K439" s="76" t="s">
        <v>39</v>
      </c>
      <c r="L439" s="4"/>
    </row>
    <row r="440" spans="1:12" x14ac:dyDescent="0.25">
      <c r="A440">
        <v>439</v>
      </c>
      <c r="H440" s="60" t="str">
        <f>DEC2HEX(I440)</f>
        <v>82</v>
      </c>
      <c r="I440" s="2">
        <v>130</v>
      </c>
      <c r="J440" s="2" t="str">
        <f>CHAR(I440)</f>
        <v>‚</v>
      </c>
      <c r="K440" s="76" t="s">
        <v>39</v>
      </c>
      <c r="L440" s="4"/>
    </row>
    <row r="441" spans="1:12" x14ac:dyDescent="0.25">
      <c r="A441">
        <v>440</v>
      </c>
      <c r="H441" s="60" t="str">
        <f>DEC2HEX(I441)</f>
        <v>83</v>
      </c>
      <c r="I441" s="2">
        <v>131</v>
      </c>
      <c r="J441" s="2" t="str">
        <f>CHAR(I441)</f>
        <v>ƒ</v>
      </c>
      <c r="K441" s="76" t="s">
        <v>39</v>
      </c>
      <c r="L441" s="4"/>
    </row>
    <row r="442" spans="1:12" x14ac:dyDescent="0.25">
      <c r="A442">
        <v>441</v>
      </c>
      <c r="H442" s="104" t="str">
        <f>DEC2HEX(I442)</f>
        <v>84</v>
      </c>
      <c r="I442" s="2">
        <v>132</v>
      </c>
      <c r="J442" s="2" t="str">
        <f>CHAR(I442)</f>
        <v>„</v>
      </c>
      <c r="K442" s="76" t="s">
        <v>39</v>
      </c>
      <c r="L442" s="4"/>
    </row>
    <row r="443" spans="1:12" x14ac:dyDescent="0.25">
      <c r="A443">
        <v>442</v>
      </c>
      <c r="H443" s="60" t="str">
        <f>DEC2HEX(I443)</f>
        <v>85</v>
      </c>
      <c r="I443" s="2">
        <v>133</v>
      </c>
      <c r="J443" s="2" t="str">
        <f>CHAR(I443)</f>
        <v>…</v>
      </c>
      <c r="K443" s="76" t="s">
        <v>39</v>
      </c>
      <c r="L443" s="4"/>
    </row>
    <row r="444" spans="1:12" x14ac:dyDescent="0.25">
      <c r="A444">
        <v>443</v>
      </c>
      <c r="H444" s="60" t="str">
        <f>DEC2HEX(I444)</f>
        <v>86</v>
      </c>
      <c r="I444" s="2">
        <v>134</v>
      </c>
      <c r="J444" s="2" t="str">
        <f>CHAR(I444)</f>
        <v>†</v>
      </c>
      <c r="K444" s="76" t="s">
        <v>39</v>
      </c>
      <c r="L444" s="4"/>
    </row>
    <row r="445" spans="1:12" x14ac:dyDescent="0.25">
      <c r="A445">
        <v>444</v>
      </c>
      <c r="H445" s="60" t="str">
        <f>DEC2HEX(I445)</f>
        <v>87</v>
      </c>
      <c r="I445" s="2">
        <v>135</v>
      </c>
      <c r="J445" s="2" t="str">
        <f>CHAR(I445)</f>
        <v>‡</v>
      </c>
      <c r="K445" s="76" t="s">
        <v>39</v>
      </c>
      <c r="L445" s="4"/>
    </row>
    <row r="446" spans="1:12" x14ac:dyDescent="0.25">
      <c r="A446">
        <v>445</v>
      </c>
      <c r="H446" s="60" t="str">
        <f>DEC2HEX(I446)</f>
        <v>88</v>
      </c>
      <c r="I446" s="2">
        <v>136</v>
      </c>
      <c r="J446" s="2" t="str">
        <f>CHAR(I446)</f>
        <v>ˆ</v>
      </c>
      <c r="K446" s="76" t="s">
        <v>39</v>
      </c>
      <c r="L446" s="4"/>
    </row>
    <row r="447" spans="1:12" x14ac:dyDescent="0.25">
      <c r="A447">
        <v>446</v>
      </c>
      <c r="H447" s="60" t="str">
        <f>DEC2HEX(I447)</f>
        <v>89</v>
      </c>
      <c r="I447" s="2">
        <v>137</v>
      </c>
      <c r="J447" s="2" t="str">
        <f>CHAR(I447)</f>
        <v>‰</v>
      </c>
      <c r="K447" s="76" t="s">
        <v>39</v>
      </c>
      <c r="L447" s="4"/>
    </row>
    <row r="448" spans="1:12" x14ac:dyDescent="0.25">
      <c r="A448">
        <v>447</v>
      </c>
      <c r="H448" s="60" t="str">
        <f>DEC2HEX(I448)</f>
        <v>8A</v>
      </c>
      <c r="I448" s="2">
        <v>138</v>
      </c>
      <c r="J448" s="2" t="str">
        <f>CHAR(I448)</f>
        <v>Š</v>
      </c>
      <c r="K448" s="76" t="s">
        <v>39</v>
      </c>
      <c r="L448" s="4"/>
    </row>
    <row r="449" spans="1:18" x14ac:dyDescent="0.25">
      <c r="A449">
        <v>448</v>
      </c>
      <c r="H449" s="60" t="str">
        <f>DEC2HEX(I449)</f>
        <v>8B</v>
      </c>
      <c r="I449" s="2">
        <v>139</v>
      </c>
      <c r="J449" s="2" t="str">
        <f>CHAR(I449)</f>
        <v>‹</v>
      </c>
      <c r="K449" s="76" t="s">
        <v>39</v>
      </c>
      <c r="L449" s="4"/>
    </row>
    <row r="450" spans="1:18" x14ac:dyDescent="0.25">
      <c r="A450">
        <v>449</v>
      </c>
      <c r="H450" s="60" t="str">
        <f>DEC2HEX(I450)</f>
        <v>8C</v>
      </c>
      <c r="I450" s="2">
        <v>140</v>
      </c>
      <c r="J450" s="2" t="str">
        <f>CHAR(I450)</f>
        <v>Œ</v>
      </c>
      <c r="K450" s="76" t="s">
        <v>39</v>
      </c>
      <c r="L450" s="4"/>
    </row>
    <row r="451" spans="1:18" x14ac:dyDescent="0.25">
      <c r="A451">
        <v>450</v>
      </c>
      <c r="H451" s="60" t="str">
        <f>DEC2HEX(I451)</f>
        <v>8D</v>
      </c>
      <c r="I451" s="2">
        <v>141</v>
      </c>
      <c r="J451" s="2" t="str">
        <f>CHAR(I451)</f>
        <v></v>
      </c>
      <c r="K451" s="76" t="s">
        <v>39</v>
      </c>
      <c r="L451" s="4"/>
    </row>
    <row r="452" spans="1:18" x14ac:dyDescent="0.25">
      <c r="A452">
        <v>451</v>
      </c>
      <c r="H452" s="60" t="str">
        <f>DEC2HEX(I452)</f>
        <v>8E</v>
      </c>
      <c r="I452" s="2">
        <v>142</v>
      </c>
      <c r="J452" s="2" t="str">
        <f>CHAR(I452)</f>
        <v>Ž</v>
      </c>
      <c r="K452" s="76" t="s">
        <v>39</v>
      </c>
      <c r="L452" s="4"/>
    </row>
    <row r="453" spans="1:18" x14ac:dyDescent="0.25">
      <c r="A453">
        <v>452</v>
      </c>
      <c r="H453" s="60" t="str">
        <f>DEC2HEX(I453)</f>
        <v>8F</v>
      </c>
      <c r="I453" s="2">
        <v>143</v>
      </c>
      <c r="J453" s="2" t="str">
        <f>CHAR(I453)</f>
        <v></v>
      </c>
      <c r="K453" s="76" t="s">
        <v>39</v>
      </c>
      <c r="L453" s="4"/>
    </row>
    <row r="454" spans="1:18" x14ac:dyDescent="0.25">
      <c r="A454">
        <v>453</v>
      </c>
      <c r="H454" s="60" t="str">
        <f>DEC2HEX(I454)</f>
        <v>90</v>
      </c>
      <c r="I454" s="2">
        <v>144</v>
      </c>
      <c r="J454" s="2" t="str">
        <f>CHAR(I454)</f>
        <v></v>
      </c>
      <c r="K454" s="76" t="s">
        <v>39</v>
      </c>
      <c r="L454" s="4"/>
    </row>
    <row r="455" spans="1:18" x14ac:dyDescent="0.25">
      <c r="A455">
        <v>454</v>
      </c>
      <c r="H455" s="60" t="str">
        <f>DEC2HEX(I455)</f>
        <v>91</v>
      </c>
      <c r="I455" s="2">
        <v>145</v>
      </c>
      <c r="J455" s="2" t="str">
        <f>CHAR(I455)</f>
        <v>‘</v>
      </c>
      <c r="K455" s="76" t="s">
        <v>39</v>
      </c>
      <c r="L455" s="4"/>
      <c r="R455" s="23"/>
    </row>
    <row r="456" spans="1:18" x14ac:dyDescent="0.25">
      <c r="A456">
        <v>455</v>
      </c>
      <c r="H456" s="60" t="str">
        <f>DEC2HEX(I456)</f>
        <v>92</v>
      </c>
      <c r="I456" s="2">
        <v>146</v>
      </c>
      <c r="J456" s="2" t="str">
        <f>CHAR(I456)</f>
        <v>’</v>
      </c>
      <c r="K456" s="76" t="s">
        <v>39</v>
      </c>
      <c r="L456" s="4"/>
    </row>
    <row r="457" spans="1:18" x14ac:dyDescent="0.25">
      <c r="A457">
        <v>456</v>
      </c>
      <c r="H457" s="60" t="str">
        <f>DEC2HEX(I457)</f>
        <v>93</v>
      </c>
      <c r="I457" s="2">
        <v>147</v>
      </c>
      <c r="J457" s="2" t="str">
        <f>CHAR(I457)</f>
        <v>“</v>
      </c>
      <c r="K457" s="76" t="s">
        <v>39</v>
      </c>
      <c r="L457" s="4"/>
    </row>
    <row r="458" spans="1:18" x14ac:dyDescent="0.25">
      <c r="A458">
        <v>457</v>
      </c>
      <c r="H458" s="60" t="str">
        <f>DEC2HEX(I458)</f>
        <v>94</v>
      </c>
      <c r="I458" s="2">
        <v>148</v>
      </c>
      <c r="J458" s="2" t="str">
        <f>CHAR(I458)</f>
        <v>”</v>
      </c>
      <c r="K458" s="76" t="s">
        <v>39</v>
      </c>
      <c r="L458" s="4"/>
    </row>
    <row r="459" spans="1:18" x14ac:dyDescent="0.25">
      <c r="A459">
        <v>458</v>
      </c>
      <c r="H459" s="60" t="str">
        <f>DEC2HEX(I459)</f>
        <v>95</v>
      </c>
      <c r="I459" s="2">
        <v>149</v>
      </c>
      <c r="J459" s="2" t="str">
        <f>CHAR(I459)</f>
        <v>•</v>
      </c>
      <c r="K459" s="76" t="s">
        <v>39</v>
      </c>
      <c r="L459" s="4"/>
    </row>
    <row r="460" spans="1:18" x14ac:dyDescent="0.25">
      <c r="A460">
        <v>459</v>
      </c>
      <c r="H460" s="60" t="str">
        <f>DEC2HEX(I460)</f>
        <v>96</v>
      </c>
      <c r="I460" s="2">
        <v>150</v>
      </c>
      <c r="J460" s="2" t="str">
        <f>CHAR(I460)</f>
        <v>–</v>
      </c>
      <c r="K460" s="76" t="s">
        <v>39</v>
      </c>
      <c r="L460" s="4"/>
    </row>
    <row r="461" spans="1:18" x14ac:dyDescent="0.25">
      <c r="A461">
        <v>460</v>
      </c>
      <c r="H461" s="60" t="str">
        <f>DEC2HEX(I461)</f>
        <v>97</v>
      </c>
      <c r="I461" s="2">
        <v>151</v>
      </c>
      <c r="J461" s="2" t="str">
        <f>CHAR(I461)</f>
        <v>—</v>
      </c>
      <c r="K461" s="76" t="s">
        <v>39</v>
      </c>
      <c r="L461" s="4"/>
    </row>
    <row r="462" spans="1:18" x14ac:dyDescent="0.25">
      <c r="A462">
        <v>461</v>
      </c>
      <c r="H462" s="60" t="str">
        <f>DEC2HEX(I462)</f>
        <v>98</v>
      </c>
      <c r="I462" s="2">
        <v>152</v>
      </c>
      <c r="J462" s="2" t="str">
        <f>CHAR(I462)</f>
        <v>˜</v>
      </c>
      <c r="K462" s="76" t="s">
        <v>39</v>
      </c>
      <c r="L462" s="4"/>
    </row>
    <row r="463" spans="1:18" x14ac:dyDescent="0.25">
      <c r="A463">
        <v>462</v>
      </c>
      <c r="H463" s="60" t="str">
        <f>DEC2HEX(I463)</f>
        <v>99</v>
      </c>
      <c r="I463" s="2">
        <v>153</v>
      </c>
      <c r="J463" s="2" t="str">
        <f>CHAR(I463)</f>
        <v>™</v>
      </c>
      <c r="K463" s="76" t="s">
        <v>39</v>
      </c>
      <c r="L463" s="4"/>
    </row>
    <row r="464" spans="1:18" x14ac:dyDescent="0.25">
      <c r="A464">
        <v>463</v>
      </c>
      <c r="H464" s="60" t="str">
        <f>DEC2HEX(I464)</f>
        <v>9A</v>
      </c>
      <c r="I464" s="2">
        <v>154</v>
      </c>
      <c r="J464" s="2" t="str">
        <f>CHAR(I464)</f>
        <v>š</v>
      </c>
      <c r="K464" s="76" t="s">
        <v>39</v>
      </c>
      <c r="L464" s="4"/>
    </row>
    <row r="465" spans="1:17" x14ac:dyDescent="0.25">
      <c r="A465">
        <v>464</v>
      </c>
      <c r="H465" s="60" t="str">
        <f>DEC2HEX(I465)</f>
        <v>9B</v>
      </c>
      <c r="I465" s="2">
        <v>155</v>
      </c>
      <c r="J465" s="2" t="str">
        <f>CHAR(I465)</f>
        <v>›</v>
      </c>
      <c r="K465" s="76" t="s">
        <v>39</v>
      </c>
      <c r="L465" s="4"/>
    </row>
    <row r="466" spans="1:17" x14ac:dyDescent="0.25">
      <c r="A466">
        <v>465</v>
      </c>
      <c r="H466" s="60" t="str">
        <f>DEC2HEX(I466)</f>
        <v>9C</v>
      </c>
      <c r="I466" s="2">
        <v>156</v>
      </c>
      <c r="J466" s="2" t="str">
        <f>CHAR(I466)</f>
        <v>œ</v>
      </c>
      <c r="K466" s="76" t="s">
        <v>39</v>
      </c>
      <c r="L466" s="4"/>
    </row>
    <row r="467" spans="1:17" x14ac:dyDescent="0.25">
      <c r="A467">
        <v>466</v>
      </c>
      <c r="H467" s="60" t="str">
        <f>DEC2HEX(I467)</f>
        <v>9D</v>
      </c>
      <c r="I467" s="2">
        <v>157</v>
      </c>
      <c r="J467" s="2" t="str">
        <f>CHAR(I467)</f>
        <v></v>
      </c>
      <c r="K467" s="76" t="s">
        <v>39</v>
      </c>
      <c r="L467" s="4"/>
    </row>
    <row r="468" spans="1:17" x14ac:dyDescent="0.25">
      <c r="A468">
        <v>467</v>
      </c>
      <c r="H468" s="60" t="str">
        <f>DEC2HEX(I468)</f>
        <v>9E</v>
      </c>
      <c r="I468" s="2">
        <v>158</v>
      </c>
      <c r="J468" s="2" t="str">
        <f>CHAR(I468)</f>
        <v>ž</v>
      </c>
      <c r="K468" s="76" t="s">
        <v>39</v>
      </c>
      <c r="L468" s="4"/>
    </row>
    <row r="469" spans="1:17" x14ac:dyDescent="0.25">
      <c r="A469">
        <v>468</v>
      </c>
      <c r="H469" s="60" t="str">
        <f>DEC2HEX(I469)</f>
        <v>9F</v>
      </c>
      <c r="I469" s="2">
        <v>159</v>
      </c>
      <c r="J469" s="2" t="str">
        <f>CHAR(I469)</f>
        <v>Ÿ</v>
      </c>
      <c r="K469" s="76" t="s">
        <v>39</v>
      </c>
      <c r="L469" s="4"/>
    </row>
    <row r="470" spans="1:17" x14ac:dyDescent="0.25">
      <c r="A470">
        <v>469</v>
      </c>
      <c r="H470" s="60" t="str">
        <f>DEC2HEX(I470)</f>
        <v>A0</v>
      </c>
      <c r="I470" s="2">
        <v>160</v>
      </c>
      <c r="J470" s="2" t="str">
        <f>CHAR(I470)</f>
        <v> </v>
      </c>
      <c r="K470" s="76" t="s">
        <v>39</v>
      </c>
      <c r="L470" s="5"/>
    </row>
    <row r="471" spans="1:17" x14ac:dyDescent="0.25">
      <c r="A471">
        <v>470</v>
      </c>
      <c r="H471" s="60" t="str">
        <f>DEC2HEX(I471)</f>
        <v>AD</v>
      </c>
      <c r="I471" s="2">
        <v>173</v>
      </c>
      <c r="J471" s="2" t="str">
        <f>CHAR(I471)</f>
        <v>­</v>
      </c>
      <c r="K471" s="76" t="s">
        <v>39</v>
      </c>
      <c r="L471" s="4"/>
    </row>
    <row r="472" spans="1:17" x14ac:dyDescent="0.25">
      <c r="A472">
        <v>471</v>
      </c>
      <c r="H472" s="79" t="str">
        <f>DEC2HEX(I472)</f>
        <v>B3</v>
      </c>
      <c r="I472" s="77">
        <v>179</v>
      </c>
      <c r="J472" s="77" t="str">
        <f>CHAR(I472)</f>
        <v>³</v>
      </c>
      <c r="K472" s="80" t="s">
        <v>38</v>
      </c>
      <c r="L472" s="4"/>
    </row>
    <row r="473" spans="1:17" s="4" customFormat="1" x14ac:dyDescent="0.25">
      <c r="A473">
        <v>472</v>
      </c>
      <c r="B473"/>
      <c r="C473" s="50"/>
      <c r="D473" s="50"/>
      <c r="E473"/>
      <c r="F473"/>
      <c r="G473"/>
      <c r="H473" s="104" t="str">
        <f>DEC2HEX(I473)</f>
        <v>B4</v>
      </c>
      <c r="I473" s="2">
        <v>180</v>
      </c>
      <c r="J473" s="2" t="str">
        <f>CHAR(I473)</f>
        <v>´</v>
      </c>
      <c r="K473" s="76" t="s">
        <v>39</v>
      </c>
      <c r="M473" s="54"/>
      <c r="N473" s="75"/>
      <c r="O473" s="75"/>
      <c r="P473" s="75"/>
      <c r="Q473" s="51"/>
    </row>
    <row r="474" spans="1:17" s="4" customFormat="1" x14ac:dyDescent="0.25">
      <c r="A474">
        <v>473</v>
      </c>
      <c r="B474"/>
      <c r="C474" s="50"/>
      <c r="D474" s="50"/>
      <c r="E474"/>
      <c r="F474"/>
      <c r="G474"/>
      <c r="H474" s="104" t="str">
        <f>DEC2HEX(I474)</f>
        <v>C5</v>
      </c>
      <c r="I474" s="2">
        <v>197</v>
      </c>
      <c r="J474" s="2" t="str">
        <f>CHAR(I474)</f>
        <v>Å</v>
      </c>
      <c r="K474" s="76" t="s">
        <v>38</v>
      </c>
      <c r="M474" s="54"/>
      <c r="N474" s="75"/>
      <c r="O474" s="75"/>
      <c r="P474" s="75"/>
      <c r="Q474" s="51"/>
    </row>
    <row r="475" spans="1:17" x14ac:dyDescent="0.25">
      <c r="A475">
        <v>474</v>
      </c>
      <c r="H475" s="79" t="str">
        <f>DEC2HEX(I475)</f>
        <v>CA</v>
      </c>
      <c r="I475" s="77">
        <v>202</v>
      </c>
      <c r="J475" s="77" t="str">
        <f>CHAR(I475)</f>
        <v>Ê</v>
      </c>
      <c r="K475" s="80" t="s">
        <v>38</v>
      </c>
      <c r="L475" s="4"/>
    </row>
    <row r="476" spans="1:17" x14ac:dyDescent="0.25">
      <c r="A476">
        <v>475</v>
      </c>
      <c r="H476" s="79" t="str">
        <f>DEC2HEX(I476)</f>
        <v>D3</v>
      </c>
      <c r="I476" s="77">
        <v>211</v>
      </c>
      <c r="J476" s="77" t="str">
        <f>CHAR(I476)</f>
        <v>Ó</v>
      </c>
      <c r="K476" s="80" t="s">
        <v>38</v>
      </c>
      <c r="L476" s="4"/>
    </row>
    <row r="477" spans="1:17" x14ac:dyDescent="0.25">
      <c r="A477">
        <v>476</v>
      </c>
      <c r="H477" s="79" t="str">
        <f>DEC2HEX(I477)</f>
        <v>E2</v>
      </c>
      <c r="I477" s="77">
        <v>226</v>
      </c>
      <c r="J477" s="77" t="str">
        <f>CHAR(I477)</f>
        <v>â</v>
      </c>
      <c r="K477" s="80" t="s">
        <v>38</v>
      </c>
      <c r="L477" s="4"/>
    </row>
    <row r="478" spans="1:17" x14ac:dyDescent="0.25">
      <c r="A478">
        <v>477</v>
      </c>
      <c r="H478" s="79" t="str">
        <f>DEC2HEX(I478)</f>
        <v>E5</v>
      </c>
      <c r="I478" s="77">
        <v>229</v>
      </c>
      <c r="J478" s="77" t="str">
        <f>CHAR(I478)</f>
        <v>å</v>
      </c>
      <c r="K478" s="80" t="s">
        <v>38</v>
      </c>
      <c r="L478" s="4"/>
    </row>
    <row r="479" spans="1:17" x14ac:dyDescent="0.25">
      <c r="A479">
        <v>478</v>
      </c>
      <c r="H479" s="79" t="str">
        <f>DEC2HEX(I479)</f>
        <v>EE</v>
      </c>
      <c r="I479" s="77">
        <v>238</v>
      </c>
      <c r="J479" s="77" t="str">
        <f>CHAR(I479)</f>
        <v>î</v>
      </c>
      <c r="K479" s="80" t="s">
        <v>38</v>
      </c>
      <c r="L479" s="4"/>
    </row>
    <row r="480" spans="1:17" x14ac:dyDescent="0.25">
      <c r="A480">
        <v>479</v>
      </c>
      <c r="H480" s="79" t="str">
        <f>DEC2HEX(I480)</f>
        <v>F1</v>
      </c>
      <c r="I480" s="77">
        <v>241</v>
      </c>
      <c r="J480" s="77" t="str">
        <f>CHAR(I480)</f>
        <v>ñ</v>
      </c>
      <c r="K480" s="80" t="s">
        <v>38</v>
      </c>
      <c r="L480" s="4"/>
    </row>
    <row r="481" spans="1:18" x14ac:dyDescent="0.25">
      <c r="A481">
        <v>480</v>
      </c>
      <c r="H481" s="79" t="str">
        <f>DEC2HEX(I481)</f>
        <v>F4</v>
      </c>
      <c r="I481" s="77">
        <v>244</v>
      </c>
      <c r="J481" s="77" t="str">
        <f>CHAR(I481)</f>
        <v>ô</v>
      </c>
      <c r="K481" s="80" t="s">
        <v>38</v>
      </c>
      <c r="L481" s="4"/>
    </row>
    <row r="482" spans="1:18" x14ac:dyDescent="0.25">
      <c r="A482">
        <v>481</v>
      </c>
      <c r="H482" s="79" t="str">
        <f>DEC2HEX(I482)</f>
        <v>F5</v>
      </c>
      <c r="I482" s="77">
        <v>245</v>
      </c>
      <c r="J482" s="77" t="str">
        <f>CHAR(I482)</f>
        <v>õ</v>
      </c>
      <c r="K482" s="80" t="s">
        <v>38</v>
      </c>
      <c r="L482" s="4"/>
    </row>
    <row r="483" spans="1:18" x14ac:dyDescent="0.25">
      <c r="A483">
        <v>482</v>
      </c>
      <c r="H483" s="79" t="str">
        <f>DEC2HEX(I483)</f>
        <v>F8</v>
      </c>
      <c r="I483" s="77">
        <v>248</v>
      </c>
      <c r="J483" s="77" t="str">
        <f>CHAR(I483)</f>
        <v>ø</v>
      </c>
      <c r="K483" s="80" t="s">
        <v>38</v>
      </c>
      <c r="L483" s="4"/>
    </row>
    <row r="484" spans="1:18" x14ac:dyDescent="0.25">
      <c r="A484">
        <v>483</v>
      </c>
      <c r="H484" s="79" t="str">
        <f>DEC2HEX(I484)</f>
        <v>F9</v>
      </c>
      <c r="I484" s="77">
        <v>249</v>
      </c>
      <c r="J484" s="77" t="str">
        <f>CHAR(I484)</f>
        <v>ù</v>
      </c>
      <c r="K484" s="80" t="s">
        <v>38</v>
      </c>
      <c r="L484" s="4"/>
    </row>
    <row r="485" spans="1:18" x14ac:dyDescent="0.25">
      <c r="A485">
        <v>484</v>
      </c>
      <c r="H485" s="79" t="str">
        <f>DEC2HEX(I485)</f>
        <v>FA</v>
      </c>
      <c r="I485" s="77">
        <v>250</v>
      </c>
      <c r="J485" s="77" t="str">
        <f>CHAR(I485)</f>
        <v>ú</v>
      </c>
      <c r="K485" s="80" t="s">
        <v>38</v>
      </c>
    </row>
    <row r="486" spans="1:18" x14ac:dyDescent="0.25">
      <c r="A486">
        <v>485</v>
      </c>
      <c r="H486" s="79" t="str">
        <f>DEC2HEX(I486)</f>
        <v>FD</v>
      </c>
      <c r="I486" s="77">
        <v>253</v>
      </c>
      <c r="J486" s="77" t="str">
        <f>CHAR(I486)</f>
        <v>ý</v>
      </c>
      <c r="K486" s="80" t="s">
        <v>38</v>
      </c>
    </row>
    <row r="487" spans="1:18" x14ac:dyDescent="0.25">
      <c r="A487">
        <v>486</v>
      </c>
      <c r="H487" s="60" t="str">
        <f>DEC2HEX(I487)</f>
        <v>FF</v>
      </c>
      <c r="I487" s="2">
        <v>255</v>
      </c>
      <c r="J487" s="2" t="str">
        <f>CHAR(I487)</f>
        <v>ÿ</v>
      </c>
      <c r="K487" s="76" t="s">
        <v>39</v>
      </c>
    </row>
    <row r="488" spans="1:18" x14ac:dyDescent="0.25">
      <c r="C488" s="46" t="s">
        <v>571</v>
      </c>
      <c r="D488" s="46"/>
      <c r="E488" s="4"/>
      <c r="F488" s="4"/>
      <c r="G488" s="4"/>
      <c r="K488" s="50"/>
      <c r="Q488" s="51" t="str">
        <f>C488&amp;IF(ISBLANK(D488),"","=")&amp;D488</f>
        <v>; 1: Equal Angle 2: Square 3: Sawtooth</v>
      </c>
    </row>
    <row r="491" spans="1:18" x14ac:dyDescent="0.25">
      <c r="D491" s="46"/>
    </row>
    <row r="493" spans="1:18" x14ac:dyDescent="0.25">
      <c r="D493" s="46"/>
      <c r="R493" s="23"/>
    </row>
    <row r="494" spans="1:18" x14ac:dyDescent="0.25">
      <c r="D494" s="46"/>
    </row>
    <row r="536" spans="8:8" x14ac:dyDescent="0.25">
      <c r="H536" s="23"/>
    </row>
    <row r="537" spans="8:8" x14ac:dyDescent="0.25">
      <c r="H537" s="23"/>
    </row>
    <row r="538" spans="8:8" x14ac:dyDescent="0.25">
      <c r="H538" s="23"/>
    </row>
  </sheetData>
  <sortState xmlns:xlrd2="http://schemas.microsoft.com/office/spreadsheetml/2017/richdata2" ref="A2:Y536">
    <sortCondition ref="A2:A536"/>
  </sortState>
  <phoneticPr fontId="6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16</xdr:col>
                    <xdr:colOff>4371975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ECD23-9E6C-485F-9A77-F8824170DED0}">
  <sheetPr codeName="Sheet2"/>
  <dimension ref="B1:S40"/>
  <sheetViews>
    <sheetView topLeftCell="A7" workbookViewId="0">
      <selection activeCell="C30" sqref="C30"/>
    </sheetView>
  </sheetViews>
  <sheetFormatPr defaultRowHeight="15" x14ac:dyDescent="0.25"/>
  <cols>
    <col min="2" max="2" width="12.5703125" bestFit="1" customWidth="1"/>
    <col min="18" max="18" width="33.85546875" bestFit="1" customWidth="1"/>
    <col min="19" max="19" width="27.85546875" customWidth="1"/>
  </cols>
  <sheetData>
    <row r="1" spans="2:14" x14ac:dyDescent="0.25">
      <c r="C1" s="65" t="s">
        <v>458</v>
      </c>
      <c r="D1" s="69" t="s">
        <v>479</v>
      </c>
      <c r="E1" s="65" t="s">
        <v>458</v>
      </c>
      <c r="F1" s="66" t="s">
        <v>479</v>
      </c>
      <c r="G1" s="65" t="s">
        <v>458</v>
      </c>
      <c r="H1" s="66" t="s">
        <v>479</v>
      </c>
      <c r="I1" s="65" t="s">
        <v>458</v>
      </c>
      <c r="J1" s="66" t="s">
        <v>479</v>
      </c>
      <c r="K1" s="69" t="s">
        <v>458</v>
      </c>
      <c r="L1" s="66" t="s">
        <v>479</v>
      </c>
      <c r="M1" s="65" t="s">
        <v>458</v>
      </c>
      <c r="N1" s="66" t="s">
        <v>479</v>
      </c>
    </row>
    <row r="2" spans="2:14" x14ac:dyDescent="0.25">
      <c r="C2" s="42" t="s">
        <v>8</v>
      </c>
      <c r="D2" s="50"/>
      <c r="E2" s="42" t="s">
        <v>41</v>
      </c>
      <c r="F2" s="54"/>
      <c r="G2" s="42" t="s">
        <v>235</v>
      </c>
      <c r="H2" s="54"/>
      <c r="I2" s="42" t="s">
        <v>481</v>
      </c>
      <c r="J2" s="54"/>
      <c r="K2" s="50" t="s">
        <v>252</v>
      </c>
      <c r="L2" s="54"/>
      <c r="M2" s="42" t="s">
        <v>253</v>
      </c>
      <c r="N2" s="54"/>
    </row>
    <row r="3" spans="2:14" x14ac:dyDescent="0.25">
      <c r="B3" t="s">
        <v>246</v>
      </c>
      <c r="C3" s="71">
        <v>460</v>
      </c>
      <c r="D3" s="50"/>
      <c r="E3" s="71">
        <v>460</v>
      </c>
      <c r="F3" s="54"/>
      <c r="G3" s="72">
        <v>176</v>
      </c>
      <c r="H3" s="54"/>
      <c r="I3" s="72">
        <v>176</v>
      </c>
      <c r="J3" s="54"/>
      <c r="K3" s="73">
        <v>540</v>
      </c>
      <c r="L3" s="54">
        <v>8</v>
      </c>
      <c r="M3" s="74">
        <v>416</v>
      </c>
      <c r="N3" s="54">
        <v>8</v>
      </c>
    </row>
    <row r="4" spans="2:14" x14ac:dyDescent="0.25">
      <c r="B4" t="s">
        <v>247</v>
      </c>
      <c r="C4" s="42">
        <v>244</v>
      </c>
      <c r="D4" s="50"/>
      <c r="E4" s="42">
        <v>468</v>
      </c>
      <c r="F4" s="54"/>
      <c r="G4" s="42">
        <v>484</v>
      </c>
      <c r="H4" s="54"/>
      <c r="I4" s="42">
        <v>204</v>
      </c>
      <c r="J4" s="54"/>
      <c r="K4" s="50">
        <v>544</v>
      </c>
      <c r="L4" s="54"/>
      <c r="M4" s="42">
        <v>404</v>
      </c>
      <c r="N4" s="54"/>
    </row>
    <row r="5" spans="2:14" x14ac:dyDescent="0.25">
      <c r="B5" t="s">
        <v>248</v>
      </c>
      <c r="C5" s="42">
        <v>268</v>
      </c>
      <c r="D5" s="50"/>
      <c r="E5" s="42"/>
      <c r="F5" s="54"/>
      <c r="G5" s="42"/>
      <c r="H5" s="54"/>
      <c r="I5" s="42"/>
      <c r="J5" s="54"/>
      <c r="K5" s="50">
        <v>548</v>
      </c>
      <c r="L5" s="54"/>
      <c r="M5" s="42">
        <v>380</v>
      </c>
      <c r="N5" s="54"/>
    </row>
    <row r="6" spans="2:14" x14ac:dyDescent="0.25">
      <c r="B6" t="s">
        <v>250</v>
      </c>
      <c r="C6" s="71">
        <v>460</v>
      </c>
      <c r="D6" s="50"/>
      <c r="E6" s="71">
        <v>460</v>
      </c>
      <c r="F6" s="54">
        <v>217</v>
      </c>
      <c r="G6" s="72">
        <v>176</v>
      </c>
      <c r="H6" s="54">
        <v>218</v>
      </c>
      <c r="I6" s="72">
        <v>176</v>
      </c>
      <c r="J6" s="54">
        <v>242</v>
      </c>
      <c r="K6" s="73">
        <v>540</v>
      </c>
      <c r="L6" s="54">
        <v>24</v>
      </c>
      <c r="M6" s="74">
        <v>416</v>
      </c>
      <c r="N6" s="54">
        <v>24</v>
      </c>
    </row>
    <row r="7" spans="2:14" x14ac:dyDescent="0.25">
      <c r="B7" t="s">
        <v>478</v>
      </c>
      <c r="C7" s="67"/>
      <c r="D7" s="70"/>
      <c r="E7" s="42"/>
      <c r="F7" s="54"/>
      <c r="G7" s="42">
        <v>188</v>
      </c>
      <c r="H7" s="54">
        <v>243</v>
      </c>
      <c r="I7" s="42">
        <v>188</v>
      </c>
      <c r="J7" s="54">
        <v>243</v>
      </c>
      <c r="K7" s="50"/>
      <c r="L7" s="54"/>
      <c r="M7" s="42"/>
      <c r="N7" s="54"/>
    </row>
    <row r="8" spans="2:14" x14ac:dyDescent="0.25">
      <c r="B8" t="s">
        <v>480</v>
      </c>
      <c r="C8" s="42"/>
      <c r="D8" s="50"/>
      <c r="E8" s="42"/>
      <c r="F8" s="54"/>
      <c r="G8" s="42"/>
      <c r="H8" s="54"/>
      <c r="I8" s="42"/>
      <c r="J8" s="54"/>
      <c r="K8" s="73">
        <v>540</v>
      </c>
      <c r="L8" s="54">
        <v>16</v>
      </c>
      <c r="M8" s="74">
        <v>416</v>
      </c>
      <c r="N8" s="54">
        <v>16</v>
      </c>
    </row>
    <row r="9" spans="2:14" x14ac:dyDescent="0.25">
      <c r="B9" t="s">
        <v>249</v>
      </c>
      <c r="C9" s="67"/>
      <c r="D9" s="70"/>
      <c r="E9" s="67">
        <v>512</v>
      </c>
      <c r="F9" s="68"/>
      <c r="G9" s="67">
        <v>488</v>
      </c>
      <c r="H9" s="68"/>
      <c r="I9" s="67">
        <v>216</v>
      </c>
      <c r="J9" s="68"/>
      <c r="K9" s="70">
        <v>408</v>
      </c>
      <c r="L9" s="68"/>
      <c r="M9" s="67">
        <v>600</v>
      </c>
      <c r="N9" s="68"/>
    </row>
    <row r="12" spans="2:14" x14ac:dyDescent="0.25">
      <c r="E12">
        <f>SUM(E14:E38)</f>
        <v>895</v>
      </c>
    </row>
    <row r="13" spans="2:14" x14ac:dyDescent="0.25">
      <c r="C13" t="s">
        <v>196</v>
      </c>
      <c r="E13" t="s">
        <v>5</v>
      </c>
      <c r="G13" t="s">
        <v>490</v>
      </c>
      <c r="M13">
        <v>1</v>
      </c>
      <c r="N13">
        <v>1</v>
      </c>
    </row>
    <row r="14" spans="2:14" x14ac:dyDescent="0.25">
      <c r="C14">
        <v>24</v>
      </c>
      <c r="E14">
        <v>111</v>
      </c>
      <c r="G14">
        <v>32</v>
      </c>
    </row>
    <row r="15" spans="2:14" x14ac:dyDescent="0.25">
      <c r="C15">
        <v>3</v>
      </c>
      <c r="E15">
        <v>30</v>
      </c>
      <c r="G15">
        <v>28</v>
      </c>
    </row>
    <row r="16" spans="2:14" x14ac:dyDescent="0.25">
      <c r="C16">
        <v>6</v>
      </c>
      <c r="E16">
        <f>7*8</f>
        <v>56</v>
      </c>
      <c r="G16">
        <v>38</v>
      </c>
    </row>
    <row r="17" spans="3:19" x14ac:dyDescent="0.25">
      <c r="C17">
        <v>9</v>
      </c>
      <c r="E17">
        <v>28</v>
      </c>
      <c r="G17">
        <v>52</v>
      </c>
    </row>
    <row r="18" spans="3:19" x14ac:dyDescent="0.25">
      <c r="C18">
        <v>8</v>
      </c>
      <c r="E18">
        <v>44</v>
      </c>
      <c r="G18">
        <v>47</v>
      </c>
    </row>
    <row r="19" spans="3:19" x14ac:dyDescent="0.25">
      <c r="C19">
        <v>1</v>
      </c>
      <c r="E19">
        <v>45</v>
      </c>
      <c r="G19">
        <v>106</v>
      </c>
    </row>
    <row r="20" spans="3:19" x14ac:dyDescent="0.25">
      <c r="E20">
        <v>45</v>
      </c>
      <c r="G20">
        <v>9</v>
      </c>
      <c r="N20">
        <v>0</v>
      </c>
      <c r="O20">
        <v>0</v>
      </c>
      <c r="P20">
        <v>0</v>
      </c>
      <c r="Q20">
        <v>0</v>
      </c>
      <c r="R20">
        <v>1</v>
      </c>
    </row>
    <row r="21" spans="3:19" x14ac:dyDescent="0.25">
      <c r="E21">
        <v>45</v>
      </c>
      <c r="G21">
        <v>29</v>
      </c>
      <c r="M21">
        <v>32</v>
      </c>
      <c r="N21">
        <v>16</v>
      </c>
      <c r="O21">
        <v>8</v>
      </c>
      <c r="P21">
        <v>4</v>
      </c>
      <c r="Q21">
        <v>2</v>
      </c>
      <c r="R21">
        <v>0</v>
      </c>
    </row>
    <row r="22" spans="3:19" x14ac:dyDescent="0.25">
      <c r="E22">
        <v>88</v>
      </c>
      <c r="G22">
        <v>9</v>
      </c>
      <c r="M22">
        <v>16</v>
      </c>
      <c r="N22">
        <v>0</v>
      </c>
    </row>
    <row r="23" spans="3:19" x14ac:dyDescent="0.25">
      <c r="E23">
        <v>12</v>
      </c>
      <c r="G23">
        <v>70</v>
      </c>
      <c r="M23">
        <v>8</v>
      </c>
      <c r="N23">
        <v>0</v>
      </c>
    </row>
    <row r="24" spans="3:19" x14ac:dyDescent="0.25">
      <c r="E24">
        <v>17</v>
      </c>
      <c r="G24">
        <v>66</v>
      </c>
      <c r="M24">
        <v>4</v>
      </c>
      <c r="N24">
        <v>0</v>
      </c>
    </row>
    <row r="25" spans="3:19" x14ac:dyDescent="0.25">
      <c r="E25">
        <v>5</v>
      </c>
      <c r="G25">
        <v>65</v>
      </c>
      <c r="M25">
        <v>2</v>
      </c>
      <c r="N25">
        <v>1</v>
      </c>
    </row>
    <row r="26" spans="3:19" x14ac:dyDescent="0.25">
      <c r="E26">
        <v>12</v>
      </c>
      <c r="G26">
        <v>65</v>
      </c>
    </row>
    <row r="27" spans="3:19" x14ac:dyDescent="0.25">
      <c r="E27">
        <v>22</v>
      </c>
      <c r="G27">
        <v>65</v>
      </c>
      <c r="M27">
        <v>1</v>
      </c>
      <c r="N27">
        <v>1</v>
      </c>
    </row>
    <row r="28" spans="3:19" x14ac:dyDescent="0.25">
      <c r="E28">
        <v>22</v>
      </c>
      <c r="G28">
        <v>5</v>
      </c>
    </row>
    <row r="29" spans="3:19" x14ac:dyDescent="0.25">
      <c r="E29">
        <v>40</v>
      </c>
      <c r="G29">
        <v>15</v>
      </c>
    </row>
    <row r="30" spans="3:19" x14ac:dyDescent="0.25">
      <c r="E30">
        <v>26</v>
      </c>
      <c r="G30">
        <v>49</v>
      </c>
      <c r="M30">
        <v>32</v>
      </c>
      <c r="N30">
        <v>1</v>
      </c>
      <c r="O30" t="str">
        <f>DEC2BIN(N30)</f>
        <v>1</v>
      </c>
      <c r="P30" t="str">
        <f>DEC2BIN(N30,8)</f>
        <v>00000001</v>
      </c>
      <c r="R30" t="str">
        <f>P30&amp;P31&amp;P32&amp;P33</f>
        <v>00000001001000000000000100100000</v>
      </c>
      <c r="S30">
        <f>BIN2DEC(P30)</f>
        <v>1</v>
      </c>
    </row>
    <row r="31" spans="3:19" x14ac:dyDescent="0.25">
      <c r="E31">
        <v>46</v>
      </c>
      <c r="G31">
        <v>15</v>
      </c>
      <c r="N31">
        <v>32</v>
      </c>
      <c r="O31" t="str">
        <f>DEC2BIN(N31)</f>
        <v>100000</v>
      </c>
      <c r="P31" t="str">
        <f>DEC2BIN(N31,8)</f>
        <v>00100000</v>
      </c>
      <c r="R31">
        <v>1.001E+24</v>
      </c>
      <c r="S31" t="e">
        <f>BIN2DEC(R31)</f>
        <v>#NUM!</v>
      </c>
    </row>
    <row r="32" spans="3:19" x14ac:dyDescent="0.25">
      <c r="E32">
        <v>46</v>
      </c>
      <c r="G32">
        <v>90</v>
      </c>
      <c r="N32">
        <v>1</v>
      </c>
      <c r="O32" t="str">
        <f t="shared" ref="O32:O33" si="0">DEC2BIN(N32)</f>
        <v>1</v>
      </c>
      <c r="P32" t="str">
        <f t="shared" ref="P32:P33" si="1">DEC2BIN(N32,8)</f>
        <v>00000001</v>
      </c>
    </row>
    <row r="33" spans="5:16" x14ac:dyDescent="0.25">
      <c r="E33">
        <v>35</v>
      </c>
      <c r="G33">
        <v>90</v>
      </c>
      <c r="N33">
        <v>32</v>
      </c>
      <c r="O33" t="str">
        <f t="shared" si="0"/>
        <v>100000</v>
      </c>
      <c r="P33" t="str">
        <f t="shared" si="1"/>
        <v>00100000</v>
      </c>
    </row>
    <row r="34" spans="5:16" x14ac:dyDescent="0.25">
      <c r="E34">
        <v>31</v>
      </c>
      <c r="G34">
        <v>99</v>
      </c>
    </row>
    <row r="35" spans="5:16" x14ac:dyDescent="0.25">
      <c r="E35">
        <v>24</v>
      </c>
      <c r="G35">
        <v>33</v>
      </c>
    </row>
    <row r="36" spans="5:16" x14ac:dyDescent="0.25">
      <c r="E36">
        <v>36</v>
      </c>
      <c r="G36">
        <v>28</v>
      </c>
    </row>
    <row r="37" spans="5:16" x14ac:dyDescent="0.25">
      <c r="E37">
        <v>5</v>
      </c>
      <c r="G37">
        <v>141</v>
      </c>
    </row>
    <row r="38" spans="5:16" x14ac:dyDescent="0.25">
      <c r="E38">
        <v>24</v>
      </c>
      <c r="G38">
        <v>14</v>
      </c>
    </row>
    <row r="39" spans="5:16" x14ac:dyDescent="0.25">
      <c r="G39">
        <v>77</v>
      </c>
    </row>
    <row r="40" spans="5:16" x14ac:dyDescent="0.25">
      <c r="G40">
        <v>148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O13" sqref="O13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P166"/>
  <sheetViews>
    <sheetView topLeftCell="E1" workbookViewId="0">
      <selection activeCell="G16" sqref="G16"/>
    </sheetView>
  </sheetViews>
  <sheetFormatPr defaultRowHeight="15" x14ac:dyDescent="0.25"/>
  <cols>
    <col min="1" max="1" width="15.85546875" customWidth="1"/>
    <col min="2" max="2" width="8.28515625" bestFit="1" customWidth="1"/>
    <col min="3" max="3" width="25" customWidth="1"/>
    <col min="4" max="4" width="16.140625" customWidth="1"/>
    <col min="7" max="7" width="38" customWidth="1"/>
    <col min="8" max="8" width="10.28515625" hidden="1" customWidth="1"/>
    <col min="9" max="9" width="11" customWidth="1"/>
    <col min="10" max="10" width="23.7109375" customWidth="1"/>
    <col min="13" max="13" width="11" style="4" customWidth="1"/>
    <col min="14" max="14" width="23.85546875" style="4" customWidth="1"/>
    <col min="15" max="16" width="9.140625" style="4"/>
  </cols>
  <sheetData>
    <row r="3" spans="1:15" x14ac:dyDescent="0.25">
      <c r="A3" s="14" t="s">
        <v>192</v>
      </c>
      <c r="B3" s="14" t="s">
        <v>141</v>
      </c>
      <c r="C3" s="15" t="s">
        <v>144</v>
      </c>
      <c r="D3" s="16" t="s">
        <v>145</v>
      </c>
      <c r="F3" s="6" t="s">
        <v>188</v>
      </c>
      <c r="G3" s="7" t="s">
        <v>175</v>
      </c>
      <c r="H3" s="7" t="s">
        <v>174</v>
      </c>
      <c r="I3" s="7" t="s">
        <v>174</v>
      </c>
      <c r="J3" s="95" t="s">
        <v>189</v>
      </c>
      <c r="M3" s="92"/>
      <c r="N3" s="92"/>
      <c r="O3" s="92"/>
    </row>
    <row r="4" spans="1:15" x14ac:dyDescent="0.25">
      <c r="A4" s="17" t="s">
        <v>43</v>
      </c>
      <c r="B4" s="17"/>
      <c r="C4" s="18"/>
      <c r="D4" s="19"/>
      <c r="F4" s="8">
        <v>228</v>
      </c>
      <c r="G4" s="9" t="s">
        <v>534</v>
      </c>
      <c r="H4" s="9" t="s">
        <v>148</v>
      </c>
      <c r="I4" s="9">
        <v>0</v>
      </c>
      <c r="J4" s="96" t="s">
        <v>176</v>
      </c>
      <c r="K4">
        <f>I4+F4</f>
        <v>228</v>
      </c>
      <c r="M4" s="93"/>
      <c r="N4" s="93"/>
      <c r="O4" s="93"/>
    </row>
    <row r="5" spans="1:15" x14ac:dyDescent="0.25">
      <c r="A5" s="20"/>
      <c r="B5" s="20" t="s">
        <v>51</v>
      </c>
      <c r="C5" s="21" t="s">
        <v>52</v>
      </c>
      <c r="D5" s="22">
        <f t="shared" ref="D5" si="0">_xlfn.IFS(B5="uint32_t",4,B5="int",4,B5="float",4,B5="bool",2,B5="int32_t",4)</f>
        <v>4</v>
      </c>
      <c r="F5" s="10">
        <v>76</v>
      </c>
      <c r="G5" s="11" t="s">
        <v>149</v>
      </c>
      <c r="H5" s="11" t="s">
        <v>150</v>
      </c>
      <c r="I5" s="11">
        <v>300</v>
      </c>
      <c r="J5" s="97" t="s">
        <v>178</v>
      </c>
      <c r="K5">
        <f t="shared" ref="K5:K21" si="1">I5+F5</f>
        <v>376</v>
      </c>
      <c r="L5">
        <f>I5-K4</f>
        <v>72</v>
      </c>
      <c r="M5" s="93"/>
      <c r="N5" s="93"/>
      <c r="O5" s="93"/>
    </row>
    <row r="6" spans="1:15" x14ac:dyDescent="0.25">
      <c r="A6" s="17"/>
      <c r="B6" s="20" t="s">
        <v>51</v>
      </c>
      <c r="C6" s="21" t="s">
        <v>55</v>
      </c>
      <c r="D6" s="22">
        <f t="shared" ref="D6:D14" si="2">_xlfn.IFS(B6="uint32_t",4,B6="int",4,B6="float",4,B6="bool",2,B6="int32_t",4)</f>
        <v>4</v>
      </c>
      <c r="F6" s="8">
        <v>84</v>
      </c>
      <c r="G6" s="9" t="s">
        <v>159</v>
      </c>
      <c r="H6" s="9" t="s">
        <v>160</v>
      </c>
      <c r="I6" s="9">
        <v>500</v>
      </c>
      <c r="J6" s="96" t="s">
        <v>184</v>
      </c>
      <c r="K6">
        <f t="shared" si="1"/>
        <v>584</v>
      </c>
      <c r="L6">
        <f t="shared" ref="L6:L21" si="3">I6-K5</f>
        <v>124</v>
      </c>
      <c r="M6" s="93"/>
      <c r="N6" s="93"/>
      <c r="O6" s="93"/>
    </row>
    <row r="7" spans="1:15" x14ac:dyDescent="0.25">
      <c r="A7" s="20"/>
      <c r="B7" s="17" t="s">
        <v>53</v>
      </c>
      <c r="C7" s="18" t="s">
        <v>54</v>
      </c>
      <c r="D7" s="19">
        <f t="shared" si="2"/>
        <v>4</v>
      </c>
      <c r="F7" s="10">
        <v>100</v>
      </c>
      <c r="G7" s="11" t="s">
        <v>157</v>
      </c>
      <c r="H7" s="11" t="s">
        <v>158</v>
      </c>
      <c r="I7" s="11">
        <v>600</v>
      </c>
      <c r="J7" s="97" t="s">
        <v>177</v>
      </c>
      <c r="K7">
        <f t="shared" si="1"/>
        <v>700</v>
      </c>
      <c r="L7">
        <f t="shared" si="3"/>
        <v>16</v>
      </c>
      <c r="M7" s="93"/>
      <c r="N7" s="93"/>
      <c r="O7" s="93"/>
    </row>
    <row r="8" spans="1:15" x14ac:dyDescent="0.25">
      <c r="B8" s="17" t="s">
        <v>53</v>
      </c>
      <c r="C8" s="18" t="s">
        <v>56</v>
      </c>
      <c r="D8" s="19">
        <f t="shared" si="2"/>
        <v>4</v>
      </c>
      <c r="F8" s="8">
        <v>96</v>
      </c>
      <c r="G8" s="9" t="s">
        <v>163</v>
      </c>
      <c r="H8" s="9" t="s">
        <v>164</v>
      </c>
      <c r="I8" s="9">
        <v>750</v>
      </c>
      <c r="J8" s="96" t="s">
        <v>186</v>
      </c>
      <c r="K8">
        <f t="shared" si="1"/>
        <v>846</v>
      </c>
      <c r="L8">
        <f>I8-K7</f>
        <v>50</v>
      </c>
      <c r="M8" s="93"/>
      <c r="N8" s="93"/>
      <c r="O8" s="93"/>
    </row>
    <row r="9" spans="1:15" x14ac:dyDescent="0.25">
      <c r="A9" s="20"/>
      <c r="B9" s="20" t="s">
        <v>51</v>
      </c>
      <c r="C9" s="21" t="s">
        <v>57</v>
      </c>
      <c r="D9" s="22">
        <f t="shared" si="2"/>
        <v>4</v>
      </c>
      <c r="F9" s="10">
        <v>100</v>
      </c>
      <c r="G9" s="11" t="s">
        <v>535</v>
      </c>
      <c r="H9" s="11" t="s">
        <v>165</v>
      </c>
      <c r="I9" s="11">
        <v>900</v>
      </c>
      <c r="J9" s="97" t="s">
        <v>179</v>
      </c>
      <c r="K9">
        <f t="shared" si="1"/>
        <v>1000</v>
      </c>
      <c r="L9">
        <f t="shared" si="3"/>
        <v>54</v>
      </c>
      <c r="M9" s="93"/>
      <c r="N9" s="93"/>
      <c r="O9" s="93"/>
    </row>
    <row r="10" spans="1:15" x14ac:dyDescent="0.25">
      <c r="A10" s="17"/>
      <c r="B10" s="17" t="s">
        <v>53</v>
      </c>
      <c r="C10" s="18" t="s">
        <v>58</v>
      </c>
      <c r="D10" s="19">
        <f t="shared" si="2"/>
        <v>4</v>
      </c>
      <c r="F10" s="8">
        <v>112</v>
      </c>
      <c r="G10" s="9" t="s">
        <v>161</v>
      </c>
      <c r="H10" s="9" t="s">
        <v>162</v>
      </c>
      <c r="I10" s="9">
        <v>1100</v>
      </c>
      <c r="J10" s="96" t="s">
        <v>185</v>
      </c>
      <c r="K10">
        <f t="shared" si="1"/>
        <v>1212</v>
      </c>
      <c r="L10">
        <f t="shared" si="3"/>
        <v>100</v>
      </c>
      <c r="M10" s="93"/>
      <c r="N10" s="93"/>
      <c r="O10" s="93"/>
    </row>
    <row r="11" spans="1:15" x14ac:dyDescent="0.25">
      <c r="A11" s="17"/>
      <c r="B11" s="20" t="s">
        <v>53</v>
      </c>
      <c r="C11" s="21" t="s">
        <v>59</v>
      </c>
      <c r="D11" s="22">
        <f t="shared" si="2"/>
        <v>4</v>
      </c>
      <c r="F11" s="10">
        <v>108</v>
      </c>
      <c r="G11" s="11" t="s">
        <v>536</v>
      </c>
      <c r="H11" s="11" t="s">
        <v>166</v>
      </c>
      <c r="I11" s="11">
        <v>1250</v>
      </c>
      <c r="J11" s="97" t="s">
        <v>187</v>
      </c>
      <c r="K11">
        <f t="shared" si="1"/>
        <v>1358</v>
      </c>
      <c r="L11">
        <f t="shared" si="3"/>
        <v>38</v>
      </c>
      <c r="M11" s="93"/>
      <c r="N11" s="93"/>
      <c r="O11" s="93"/>
    </row>
    <row r="12" spans="1:15" x14ac:dyDescent="0.25">
      <c r="A12" s="20"/>
      <c r="B12" s="17" t="s">
        <v>60</v>
      </c>
      <c r="C12" s="18" t="s">
        <v>200</v>
      </c>
      <c r="D12" s="22">
        <f t="shared" si="2"/>
        <v>4</v>
      </c>
      <c r="F12" s="8">
        <v>52</v>
      </c>
      <c r="G12" s="9" t="s">
        <v>545</v>
      </c>
      <c r="H12" s="9" t="s">
        <v>167</v>
      </c>
      <c r="I12" s="9">
        <v>1400</v>
      </c>
      <c r="J12" s="96" t="s">
        <v>180</v>
      </c>
      <c r="K12">
        <f t="shared" si="1"/>
        <v>1452</v>
      </c>
      <c r="L12">
        <f t="shared" si="3"/>
        <v>42</v>
      </c>
      <c r="M12" s="93"/>
      <c r="N12" s="93"/>
      <c r="O12" s="93"/>
    </row>
    <row r="13" spans="1:15" x14ac:dyDescent="0.25">
      <c r="A13" s="20"/>
      <c r="B13" s="17" t="s">
        <v>60</v>
      </c>
      <c r="C13" s="21" t="s">
        <v>201</v>
      </c>
      <c r="D13" s="22">
        <f t="shared" si="2"/>
        <v>4</v>
      </c>
      <c r="F13" s="10">
        <v>24</v>
      </c>
      <c r="G13" s="11" t="s">
        <v>168</v>
      </c>
      <c r="H13" s="11" t="s">
        <v>169</v>
      </c>
      <c r="I13" s="11">
        <v>1500</v>
      </c>
      <c r="J13" s="97" t="s">
        <v>181</v>
      </c>
      <c r="K13">
        <f t="shared" si="1"/>
        <v>1524</v>
      </c>
      <c r="L13">
        <f t="shared" si="3"/>
        <v>48</v>
      </c>
      <c r="M13" s="93"/>
      <c r="N13" s="93"/>
      <c r="O13" s="93"/>
    </row>
    <row r="14" spans="1:15" x14ac:dyDescent="0.25">
      <c r="A14" s="20"/>
      <c r="B14" s="20" t="s">
        <v>60</v>
      </c>
      <c r="C14" s="21" t="s">
        <v>202</v>
      </c>
      <c r="D14" s="22">
        <f t="shared" si="2"/>
        <v>4</v>
      </c>
      <c r="F14" s="10">
        <v>24</v>
      </c>
      <c r="G14" s="9" t="s">
        <v>170</v>
      </c>
      <c r="H14" s="9" t="s">
        <v>171</v>
      </c>
      <c r="I14" s="9">
        <v>1550</v>
      </c>
      <c r="J14" s="96" t="s">
        <v>182</v>
      </c>
      <c r="K14">
        <f t="shared" si="1"/>
        <v>1574</v>
      </c>
      <c r="L14">
        <f t="shared" si="3"/>
        <v>26</v>
      </c>
      <c r="M14" s="93"/>
      <c r="N14" s="93"/>
      <c r="O14" s="93"/>
    </row>
    <row r="15" spans="1:15" x14ac:dyDescent="0.25">
      <c r="A15" s="20"/>
      <c r="B15" s="17" t="s">
        <v>60</v>
      </c>
      <c r="C15" s="18" t="s">
        <v>203</v>
      </c>
      <c r="D15" s="22">
        <v>4</v>
      </c>
      <c r="F15" s="10">
        <v>24</v>
      </c>
      <c r="G15" s="11" t="s">
        <v>172</v>
      </c>
      <c r="H15" s="11" t="s">
        <v>173</v>
      </c>
      <c r="I15" s="11">
        <v>1600</v>
      </c>
      <c r="J15" s="97" t="s">
        <v>183</v>
      </c>
      <c r="K15">
        <f t="shared" si="1"/>
        <v>1624</v>
      </c>
      <c r="L15">
        <f t="shared" si="3"/>
        <v>26</v>
      </c>
      <c r="M15" s="94"/>
      <c r="N15" s="94"/>
      <c r="O15" s="94"/>
    </row>
    <row r="16" spans="1:15" x14ac:dyDescent="0.25">
      <c r="A16" s="20"/>
      <c r="B16" s="17"/>
      <c r="C16" s="18"/>
      <c r="D16" s="22"/>
      <c r="F16" s="10">
        <v>24</v>
      </c>
      <c r="G16" s="9" t="s">
        <v>532</v>
      </c>
      <c r="H16" s="9" t="s">
        <v>173</v>
      </c>
      <c r="I16" s="9">
        <v>1650</v>
      </c>
      <c r="J16" s="96" t="s">
        <v>537</v>
      </c>
      <c r="K16">
        <f t="shared" si="1"/>
        <v>1674</v>
      </c>
      <c r="L16">
        <f t="shared" si="3"/>
        <v>26</v>
      </c>
      <c r="M16" s="93"/>
      <c r="N16" s="93"/>
      <c r="O16" s="93"/>
    </row>
    <row r="17" spans="1:15" x14ac:dyDescent="0.25">
      <c r="A17" s="20"/>
      <c r="B17" s="17"/>
      <c r="C17" s="18"/>
      <c r="D17" s="22"/>
      <c r="F17" s="10">
        <v>24</v>
      </c>
      <c r="G17" s="11" t="s">
        <v>533</v>
      </c>
      <c r="H17" s="11" t="s">
        <v>173</v>
      </c>
      <c r="I17" s="11">
        <v>1700</v>
      </c>
      <c r="J17" s="97" t="s">
        <v>538</v>
      </c>
      <c r="K17">
        <f t="shared" si="1"/>
        <v>1724</v>
      </c>
      <c r="L17">
        <f t="shared" si="3"/>
        <v>26</v>
      </c>
      <c r="M17" s="93"/>
      <c r="N17" s="93"/>
      <c r="O17" s="93"/>
    </row>
    <row r="18" spans="1:15" x14ac:dyDescent="0.25">
      <c r="A18" s="17"/>
      <c r="B18" s="17" t="s">
        <v>60</v>
      </c>
      <c r="C18" s="21" t="s">
        <v>204</v>
      </c>
      <c r="D18" s="19">
        <f>_xlfn.IFS(B18="uint32_t",4,B18="int",4,B18="float",4,B18="bool",2,B18="int32_t",4)</f>
        <v>4</v>
      </c>
      <c r="F18" s="8">
        <v>13</v>
      </c>
      <c r="G18" s="9" t="s">
        <v>151</v>
      </c>
      <c r="H18" s="9" t="s">
        <v>152</v>
      </c>
      <c r="I18" s="9">
        <v>1950</v>
      </c>
      <c r="J18" s="96" t="s">
        <v>191</v>
      </c>
      <c r="K18">
        <f t="shared" si="1"/>
        <v>1963</v>
      </c>
      <c r="L18">
        <f t="shared" si="3"/>
        <v>226</v>
      </c>
      <c r="M18" s="93"/>
      <c r="N18" s="93"/>
      <c r="O18" s="93"/>
    </row>
    <row r="19" spans="1:15" x14ac:dyDescent="0.25">
      <c r="A19" s="20"/>
      <c r="B19" s="20" t="s">
        <v>60</v>
      </c>
      <c r="C19" s="21" t="s">
        <v>205</v>
      </c>
      <c r="D19" s="22">
        <f>_xlfn.IFS(B19="uint32_t",4,B19="int",4,B19="float",4,B19="bool",2,B19="int32_t",4)</f>
        <v>4</v>
      </c>
      <c r="F19" s="10">
        <v>5</v>
      </c>
      <c r="G19" s="11" t="s">
        <v>153</v>
      </c>
      <c r="H19" s="11" t="s">
        <v>154</v>
      </c>
      <c r="I19" s="11">
        <v>2000</v>
      </c>
      <c r="J19" s="97" t="s">
        <v>190</v>
      </c>
      <c r="K19">
        <f t="shared" si="1"/>
        <v>2005</v>
      </c>
      <c r="L19">
        <f t="shared" si="3"/>
        <v>37</v>
      </c>
      <c r="M19" s="93"/>
      <c r="N19" s="93"/>
      <c r="O19" s="93"/>
    </row>
    <row r="20" spans="1:15" x14ac:dyDescent="0.25">
      <c r="A20" s="17"/>
      <c r="B20" s="17"/>
      <c r="C20" s="24" t="s">
        <v>193</v>
      </c>
      <c r="D20" s="27">
        <f>SUM(D5:D19)</f>
        <v>52</v>
      </c>
      <c r="F20" s="8">
        <v>13</v>
      </c>
      <c r="G20" s="9" t="s">
        <v>540</v>
      </c>
      <c r="H20" s="9" t="s">
        <v>155</v>
      </c>
      <c r="I20" s="9">
        <v>2050</v>
      </c>
      <c r="J20" s="96" t="s">
        <v>191</v>
      </c>
      <c r="K20">
        <f t="shared" si="1"/>
        <v>2063</v>
      </c>
      <c r="L20">
        <f t="shared" si="3"/>
        <v>45</v>
      </c>
      <c r="M20" s="93"/>
      <c r="N20" s="93"/>
      <c r="O20" s="93"/>
    </row>
    <row r="21" spans="1:15" x14ac:dyDescent="0.25">
      <c r="A21" s="20" t="s">
        <v>44</v>
      </c>
      <c r="B21" s="20"/>
      <c r="C21" s="21"/>
      <c r="D21" s="22"/>
      <c r="F21" s="98">
        <v>5</v>
      </c>
      <c r="G21" s="99" t="s">
        <v>539</v>
      </c>
      <c r="H21" s="99" t="s">
        <v>156</v>
      </c>
      <c r="I21" s="99">
        <v>2100</v>
      </c>
      <c r="J21" s="100" t="s">
        <v>190</v>
      </c>
      <c r="K21">
        <f t="shared" si="1"/>
        <v>2105</v>
      </c>
      <c r="L21">
        <f t="shared" si="3"/>
        <v>37</v>
      </c>
      <c r="M21" s="93"/>
      <c r="N21" s="93"/>
      <c r="O21" s="93"/>
    </row>
    <row r="26" spans="1:15" x14ac:dyDescent="0.25">
      <c r="A26" s="20"/>
      <c r="B26" s="20" t="s">
        <v>61</v>
      </c>
      <c r="C26" s="21" t="s">
        <v>62</v>
      </c>
      <c r="D26" s="22">
        <f t="shared" ref="D26:D37" si="4">_xlfn.IFS(B26="uint32_t",4,B26="int",4,B26="float",4,B26="bool",2,B26="int32_t",4)</f>
        <v>4</v>
      </c>
    </row>
    <row r="27" spans="1:15" x14ac:dyDescent="0.25">
      <c r="A27" s="17"/>
      <c r="B27" s="17" t="s">
        <v>51</v>
      </c>
      <c r="C27" s="18" t="s">
        <v>63</v>
      </c>
      <c r="D27" s="19">
        <f t="shared" si="4"/>
        <v>4</v>
      </c>
    </row>
    <row r="28" spans="1:15" x14ac:dyDescent="0.25">
      <c r="A28" s="20"/>
      <c r="B28" s="20" t="s">
        <v>61</v>
      </c>
      <c r="C28" s="21" t="s">
        <v>54</v>
      </c>
      <c r="D28" s="22">
        <f t="shared" si="4"/>
        <v>4</v>
      </c>
    </row>
    <row r="29" spans="1:15" x14ac:dyDescent="0.25">
      <c r="A29" s="17"/>
      <c r="B29" s="17" t="s">
        <v>51</v>
      </c>
      <c r="C29" s="18" t="s">
        <v>55</v>
      </c>
      <c r="D29" s="19">
        <f t="shared" si="4"/>
        <v>4</v>
      </c>
      <c r="F29" s="4"/>
      <c r="G29" s="4"/>
      <c r="H29" s="4"/>
      <c r="I29" s="4"/>
      <c r="J29" s="4"/>
    </row>
    <row r="30" spans="1:15" x14ac:dyDescent="0.25">
      <c r="A30" s="20"/>
      <c r="B30" s="20" t="s">
        <v>61</v>
      </c>
      <c r="C30" s="21" t="s">
        <v>56</v>
      </c>
      <c r="D30" s="22">
        <f t="shared" si="4"/>
        <v>4</v>
      </c>
      <c r="F30" s="4"/>
      <c r="G30" s="4"/>
      <c r="H30" s="4"/>
      <c r="I30" s="4"/>
      <c r="J30" s="4"/>
    </row>
    <row r="31" spans="1:15" x14ac:dyDescent="0.25">
      <c r="A31" s="17"/>
      <c r="B31" s="17" t="s">
        <v>51</v>
      </c>
      <c r="C31" s="18" t="s">
        <v>57</v>
      </c>
      <c r="D31" s="19">
        <f t="shared" si="4"/>
        <v>4</v>
      </c>
      <c r="F31" s="4"/>
      <c r="G31" s="93"/>
      <c r="H31" s="4"/>
      <c r="I31" s="4"/>
      <c r="J31" s="4"/>
    </row>
    <row r="32" spans="1:15" x14ac:dyDescent="0.25">
      <c r="A32" s="20"/>
      <c r="B32" s="20" t="s">
        <v>61</v>
      </c>
      <c r="C32" s="21" t="s">
        <v>64</v>
      </c>
      <c r="D32" s="22">
        <f t="shared" si="4"/>
        <v>4</v>
      </c>
      <c r="F32" s="4"/>
      <c r="G32" s="93"/>
      <c r="H32" s="4"/>
      <c r="I32" s="4"/>
      <c r="J32" s="4"/>
    </row>
    <row r="33" spans="1:10" x14ac:dyDescent="0.25">
      <c r="A33" s="17"/>
      <c r="B33" s="17" t="s">
        <v>61</v>
      </c>
      <c r="C33" s="18" t="s">
        <v>58</v>
      </c>
      <c r="D33" s="19">
        <f t="shared" si="4"/>
        <v>4</v>
      </c>
      <c r="F33" s="4"/>
      <c r="G33" s="93"/>
      <c r="H33" s="4"/>
      <c r="I33" s="4"/>
      <c r="J33" s="4"/>
    </row>
    <row r="34" spans="1:10" x14ac:dyDescent="0.25">
      <c r="A34" s="20"/>
      <c r="B34" s="20" t="s">
        <v>61</v>
      </c>
      <c r="C34" s="21" t="s">
        <v>59</v>
      </c>
      <c r="D34" s="22">
        <f t="shared" si="4"/>
        <v>4</v>
      </c>
      <c r="F34" s="4"/>
      <c r="G34" s="94"/>
      <c r="H34" s="4"/>
      <c r="I34" s="4"/>
      <c r="J34" s="4"/>
    </row>
    <row r="35" spans="1:10" x14ac:dyDescent="0.25">
      <c r="A35" s="17"/>
      <c r="B35" s="17" t="s">
        <v>51</v>
      </c>
      <c r="C35" s="18" t="s">
        <v>65</v>
      </c>
      <c r="D35" s="19">
        <f t="shared" si="4"/>
        <v>4</v>
      </c>
      <c r="F35" s="4"/>
      <c r="G35" s="93"/>
      <c r="H35" s="4"/>
      <c r="I35" s="4"/>
      <c r="J35" s="4"/>
    </row>
    <row r="36" spans="1:10" x14ac:dyDescent="0.25">
      <c r="A36" s="20"/>
      <c r="B36" s="20" t="s">
        <v>60</v>
      </c>
      <c r="C36" s="21" t="s">
        <v>66</v>
      </c>
      <c r="D36" s="22">
        <f t="shared" si="4"/>
        <v>4</v>
      </c>
      <c r="F36" s="4"/>
      <c r="G36" s="94"/>
      <c r="H36" s="4"/>
      <c r="I36" s="4"/>
      <c r="J36" s="4"/>
    </row>
    <row r="37" spans="1:10" x14ac:dyDescent="0.25">
      <c r="A37" s="17"/>
      <c r="B37" s="17" t="s">
        <v>60</v>
      </c>
      <c r="C37" s="18" t="s">
        <v>67</v>
      </c>
      <c r="D37" s="19">
        <f t="shared" si="4"/>
        <v>4</v>
      </c>
      <c r="F37" s="4"/>
      <c r="G37" s="4"/>
      <c r="H37" s="4"/>
      <c r="I37" s="4"/>
      <c r="J37" s="4"/>
    </row>
    <row r="38" spans="1:10" x14ac:dyDescent="0.25">
      <c r="A38" s="20"/>
      <c r="B38" s="20"/>
      <c r="C38" s="25" t="s">
        <v>193</v>
      </c>
      <c r="D38" s="22">
        <f>SUM(D26:D37)</f>
        <v>48</v>
      </c>
      <c r="F38" s="4"/>
      <c r="G38" s="4"/>
      <c r="H38" s="4"/>
      <c r="I38" s="4"/>
      <c r="J38" s="4"/>
    </row>
    <row r="39" spans="1:10" x14ac:dyDescent="0.25">
      <c r="A39" s="17" t="s">
        <v>45</v>
      </c>
      <c r="B39" s="17"/>
      <c r="C39" s="18"/>
      <c r="D39" s="19"/>
      <c r="F39" s="4"/>
      <c r="G39" s="4"/>
      <c r="H39" s="4"/>
      <c r="I39" s="4"/>
      <c r="J39" s="4"/>
    </row>
    <row r="40" spans="1:10" x14ac:dyDescent="0.25">
      <c r="A40" s="20"/>
      <c r="B40" s="20" t="s">
        <v>51</v>
      </c>
      <c r="C40" s="21" t="s">
        <v>68</v>
      </c>
      <c r="D40" s="22">
        <f>_xlfn.IFS(B40="uint32_t",4,B40="int",4,B40="float",4,B40="bool",2,B40="int32_t",4)</f>
        <v>4</v>
      </c>
    </row>
    <row r="41" spans="1:10" x14ac:dyDescent="0.25">
      <c r="A41" s="17"/>
      <c r="B41" s="17" t="s">
        <v>69</v>
      </c>
      <c r="C41" s="18" t="s">
        <v>70</v>
      </c>
      <c r="D41" s="19">
        <f t="shared" ref="D41:D77" si="5">_xlfn.IFS(B41="uint32_t",4,B41="int",4,B41="float",4,B41="bool",2,B41="int32_t",4)</f>
        <v>2</v>
      </c>
    </row>
    <row r="42" spans="1:10" x14ac:dyDescent="0.25">
      <c r="A42" s="20"/>
      <c r="B42" s="20" t="s">
        <v>51</v>
      </c>
      <c r="C42" s="21" t="s">
        <v>71</v>
      </c>
      <c r="D42" s="22">
        <f t="shared" si="5"/>
        <v>4</v>
      </c>
    </row>
    <row r="43" spans="1:10" x14ac:dyDescent="0.25">
      <c r="A43" s="17"/>
      <c r="B43" s="17" t="s">
        <v>60</v>
      </c>
      <c r="C43" s="18" t="s">
        <v>72</v>
      </c>
      <c r="D43" s="19">
        <f t="shared" si="5"/>
        <v>4</v>
      </c>
    </row>
    <row r="44" spans="1:10" x14ac:dyDescent="0.25">
      <c r="A44" s="20"/>
      <c r="B44" s="17" t="s">
        <v>53</v>
      </c>
      <c r="C44" s="28" t="s">
        <v>197</v>
      </c>
      <c r="D44" s="19">
        <f t="shared" si="5"/>
        <v>4</v>
      </c>
    </row>
    <row r="45" spans="1:10" x14ac:dyDescent="0.25">
      <c r="A45" s="17"/>
      <c r="B45" s="17" t="s">
        <v>51</v>
      </c>
      <c r="C45" s="18" t="s">
        <v>73</v>
      </c>
      <c r="D45" s="19">
        <f t="shared" si="5"/>
        <v>4</v>
      </c>
    </row>
    <row r="46" spans="1:10" x14ac:dyDescent="0.25">
      <c r="A46" s="20"/>
      <c r="B46" s="20" t="s">
        <v>69</v>
      </c>
      <c r="C46" s="21" t="s">
        <v>74</v>
      </c>
      <c r="D46" s="22">
        <f t="shared" si="5"/>
        <v>2</v>
      </c>
    </row>
    <row r="47" spans="1:10" x14ac:dyDescent="0.25">
      <c r="A47" s="17"/>
      <c r="B47" s="17" t="s">
        <v>51</v>
      </c>
      <c r="C47" s="18" t="s">
        <v>75</v>
      </c>
      <c r="D47" s="19">
        <f t="shared" si="5"/>
        <v>4</v>
      </c>
    </row>
    <row r="48" spans="1:10" x14ac:dyDescent="0.25">
      <c r="A48" s="20"/>
      <c r="B48" s="20" t="s">
        <v>60</v>
      </c>
      <c r="C48" s="21" t="s">
        <v>76</v>
      </c>
      <c r="D48" s="22">
        <f t="shared" si="5"/>
        <v>4</v>
      </c>
    </row>
    <row r="49" spans="1:4" x14ac:dyDescent="0.25">
      <c r="A49" s="17"/>
      <c r="B49" s="17" t="s">
        <v>51</v>
      </c>
      <c r="C49" s="18" t="s">
        <v>77</v>
      </c>
      <c r="D49" s="19">
        <f t="shared" si="5"/>
        <v>4</v>
      </c>
    </row>
    <row r="50" spans="1:4" x14ac:dyDescent="0.25">
      <c r="A50" s="20"/>
      <c r="B50" s="20" t="s">
        <v>51</v>
      </c>
      <c r="C50" s="21" t="s">
        <v>78</v>
      </c>
      <c r="D50" s="22">
        <f t="shared" si="5"/>
        <v>4</v>
      </c>
    </row>
    <row r="51" spans="1:4" x14ac:dyDescent="0.25">
      <c r="A51" s="17"/>
      <c r="B51" s="17"/>
      <c r="C51" s="18"/>
      <c r="D51" s="19"/>
    </row>
    <row r="52" spans="1:4" x14ac:dyDescent="0.25">
      <c r="A52" s="20"/>
      <c r="B52" s="20" t="s">
        <v>51</v>
      </c>
      <c r="C52" s="21" t="s">
        <v>79</v>
      </c>
      <c r="D52" s="22">
        <f t="shared" si="5"/>
        <v>4</v>
      </c>
    </row>
    <row r="53" spans="1:4" x14ac:dyDescent="0.25">
      <c r="A53" s="17"/>
      <c r="B53" s="17" t="s">
        <v>69</v>
      </c>
      <c r="C53" s="18" t="s">
        <v>80</v>
      </c>
      <c r="D53" s="19">
        <f t="shared" si="5"/>
        <v>2</v>
      </c>
    </row>
    <row r="54" spans="1:4" x14ac:dyDescent="0.25">
      <c r="A54" s="20"/>
      <c r="B54" s="20" t="s">
        <v>51</v>
      </c>
      <c r="C54" s="21" t="s">
        <v>81</v>
      </c>
      <c r="D54" s="22">
        <f t="shared" si="5"/>
        <v>4</v>
      </c>
    </row>
    <row r="55" spans="1:4" x14ac:dyDescent="0.25">
      <c r="A55" s="17"/>
      <c r="B55" s="17" t="s">
        <v>60</v>
      </c>
      <c r="C55" s="18" t="s">
        <v>82</v>
      </c>
      <c r="D55" s="19">
        <f t="shared" si="5"/>
        <v>4</v>
      </c>
    </row>
    <row r="56" spans="1:4" x14ac:dyDescent="0.25">
      <c r="A56" s="20"/>
      <c r="B56" s="20" t="s">
        <v>51</v>
      </c>
      <c r="C56" s="21" t="s">
        <v>83</v>
      </c>
      <c r="D56" s="22">
        <f t="shared" si="5"/>
        <v>4</v>
      </c>
    </row>
    <row r="57" spans="1:4" x14ac:dyDescent="0.25">
      <c r="A57" s="17"/>
      <c r="B57" s="17" t="s">
        <v>51</v>
      </c>
      <c r="C57" s="18" t="s">
        <v>84</v>
      </c>
      <c r="D57" s="19">
        <f t="shared" si="5"/>
        <v>4</v>
      </c>
    </row>
    <row r="58" spans="1:4" x14ac:dyDescent="0.25">
      <c r="A58" s="20"/>
      <c r="B58" s="20"/>
      <c r="C58" s="21"/>
      <c r="D58" s="22"/>
    </row>
    <row r="59" spans="1:4" x14ac:dyDescent="0.25">
      <c r="A59" s="17"/>
      <c r="B59" s="17" t="s">
        <v>51</v>
      </c>
      <c r="C59" s="18" t="s">
        <v>85</v>
      </c>
      <c r="D59" s="19">
        <f t="shared" si="5"/>
        <v>4</v>
      </c>
    </row>
    <row r="60" spans="1:4" x14ac:dyDescent="0.25">
      <c r="A60" s="20"/>
      <c r="B60" s="20" t="s">
        <v>69</v>
      </c>
      <c r="C60" s="21" t="s">
        <v>86</v>
      </c>
      <c r="D60" s="22">
        <f t="shared" si="5"/>
        <v>2</v>
      </c>
    </row>
    <row r="61" spans="1:4" x14ac:dyDescent="0.25">
      <c r="A61" s="17"/>
      <c r="B61" s="17" t="s">
        <v>51</v>
      </c>
      <c r="C61" s="18" t="s">
        <v>87</v>
      </c>
      <c r="D61" s="19">
        <f t="shared" si="5"/>
        <v>4</v>
      </c>
    </row>
    <row r="62" spans="1:4" x14ac:dyDescent="0.25">
      <c r="A62" s="20"/>
      <c r="B62" s="20" t="s">
        <v>60</v>
      </c>
      <c r="C62" s="21" t="s">
        <v>88</v>
      </c>
      <c r="D62" s="22">
        <f t="shared" si="5"/>
        <v>4</v>
      </c>
    </row>
    <row r="63" spans="1:4" x14ac:dyDescent="0.25">
      <c r="A63" s="17"/>
      <c r="B63" s="17" t="s">
        <v>51</v>
      </c>
      <c r="C63" s="18" t="s">
        <v>89</v>
      </c>
      <c r="D63" s="19">
        <f t="shared" si="5"/>
        <v>4</v>
      </c>
    </row>
    <row r="64" spans="1:4" x14ac:dyDescent="0.25">
      <c r="A64" s="20"/>
      <c r="B64" s="20" t="s">
        <v>51</v>
      </c>
      <c r="C64" s="21" t="s">
        <v>90</v>
      </c>
      <c r="D64" s="22">
        <f t="shared" si="5"/>
        <v>4</v>
      </c>
    </row>
    <row r="65" spans="1:4" x14ac:dyDescent="0.25">
      <c r="A65" s="17"/>
      <c r="B65" s="17"/>
      <c r="C65" s="18"/>
      <c r="D65" s="19"/>
    </row>
    <row r="66" spans="1:4" x14ac:dyDescent="0.25">
      <c r="A66" s="20"/>
      <c r="B66" s="20" t="s">
        <v>61</v>
      </c>
      <c r="C66" s="21" t="s">
        <v>91</v>
      </c>
      <c r="D66" s="22">
        <f t="shared" si="5"/>
        <v>4</v>
      </c>
    </row>
    <row r="67" spans="1:4" x14ac:dyDescent="0.25">
      <c r="A67" s="17"/>
      <c r="B67" s="17" t="s">
        <v>51</v>
      </c>
      <c r="C67" s="18" t="s">
        <v>92</v>
      </c>
      <c r="D67" s="19">
        <f t="shared" si="5"/>
        <v>4</v>
      </c>
    </row>
    <row r="68" spans="1:4" x14ac:dyDescent="0.25">
      <c r="A68" s="20"/>
      <c r="B68" s="20" t="s">
        <v>61</v>
      </c>
      <c r="C68" s="21" t="s">
        <v>93</v>
      </c>
      <c r="D68" s="22">
        <f t="shared" si="5"/>
        <v>4</v>
      </c>
    </row>
    <row r="69" spans="1:4" x14ac:dyDescent="0.25">
      <c r="A69" s="17"/>
      <c r="B69" s="17" t="s">
        <v>51</v>
      </c>
      <c r="C69" s="18" t="s">
        <v>94</v>
      </c>
      <c r="D69" s="19">
        <f t="shared" si="5"/>
        <v>4</v>
      </c>
    </row>
    <row r="70" spans="1:4" x14ac:dyDescent="0.25">
      <c r="A70" s="20"/>
      <c r="B70" s="20"/>
      <c r="C70" s="25" t="s">
        <v>193</v>
      </c>
      <c r="D70" s="22">
        <f>SUM(D40:D69)</f>
        <v>100</v>
      </c>
    </row>
    <row r="71" spans="1:4" x14ac:dyDescent="0.25">
      <c r="A71" s="17" t="s">
        <v>46</v>
      </c>
      <c r="B71" s="17"/>
      <c r="C71" s="18"/>
      <c r="D71" s="19"/>
    </row>
    <row r="72" spans="1:4" x14ac:dyDescent="0.25">
      <c r="A72" s="20"/>
      <c r="B72" s="20" t="s">
        <v>61</v>
      </c>
      <c r="C72" s="21" t="s">
        <v>62</v>
      </c>
      <c r="D72" s="22">
        <f t="shared" si="5"/>
        <v>4</v>
      </c>
    </row>
    <row r="73" spans="1:4" x14ac:dyDescent="0.25">
      <c r="A73" s="17"/>
      <c r="B73" s="17" t="s">
        <v>51</v>
      </c>
      <c r="C73" s="18" t="s">
        <v>63</v>
      </c>
      <c r="D73" s="19">
        <f t="shared" si="5"/>
        <v>4</v>
      </c>
    </row>
    <row r="74" spans="1:4" x14ac:dyDescent="0.25">
      <c r="A74" s="20"/>
      <c r="B74" s="20" t="s">
        <v>61</v>
      </c>
      <c r="C74" s="21" t="s">
        <v>95</v>
      </c>
      <c r="D74" s="22">
        <f t="shared" si="5"/>
        <v>4</v>
      </c>
    </row>
    <row r="75" spans="1:4" x14ac:dyDescent="0.25">
      <c r="A75" s="17"/>
      <c r="B75" s="17" t="s">
        <v>51</v>
      </c>
      <c r="C75" s="18" t="s">
        <v>96</v>
      </c>
      <c r="D75" s="19">
        <f t="shared" si="5"/>
        <v>4</v>
      </c>
    </row>
    <row r="76" spans="1:4" x14ac:dyDescent="0.25">
      <c r="A76" s="20"/>
      <c r="B76" s="20" t="s">
        <v>61</v>
      </c>
      <c r="C76" s="21" t="s">
        <v>64</v>
      </c>
      <c r="D76" s="22">
        <f t="shared" si="5"/>
        <v>4</v>
      </c>
    </row>
    <row r="77" spans="1:4" x14ac:dyDescent="0.25">
      <c r="A77" s="17"/>
      <c r="B77" s="17" t="s">
        <v>61</v>
      </c>
      <c r="C77" s="18" t="s">
        <v>97</v>
      </c>
      <c r="D77" s="19">
        <f t="shared" si="5"/>
        <v>4</v>
      </c>
    </row>
    <row r="78" spans="1:4" x14ac:dyDescent="0.25">
      <c r="A78" s="20"/>
      <c r="B78" s="20"/>
      <c r="C78" s="25" t="s">
        <v>193</v>
      </c>
      <c r="D78" s="22">
        <f>SUM(D72:D77)</f>
        <v>24</v>
      </c>
    </row>
    <row r="79" spans="1:4" x14ac:dyDescent="0.25">
      <c r="A79" s="17" t="s">
        <v>146</v>
      </c>
      <c r="B79" s="17"/>
      <c r="C79" s="18"/>
      <c r="D79" s="19"/>
    </row>
    <row r="80" spans="1:4" x14ac:dyDescent="0.25">
      <c r="A80" s="20"/>
      <c r="B80" s="20" t="s">
        <v>61</v>
      </c>
      <c r="C80" s="21" t="s">
        <v>62</v>
      </c>
      <c r="D80" s="22">
        <f>_xlfn.IFS(B80="uint32_t",4,B80="int",4,B80="float",4,B80="bool",2,B80="int32_t",4)</f>
        <v>4</v>
      </c>
    </row>
    <row r="81" spans="1:4" x14ac:dyDescent="0.25">
      <c r="A81" s="17"/>
      <c r="B81" s="17" t="s">
        <v>51</v>
      </c>
      <c r="C81" s="18" t="s">
        <v>63</v>
      </c>
      <c r="D81" s="19">
        <f t="shared" ref="D81:D144" si="6">_xlfn.IFS(B81="uint32_t",4,B81="int",4,B81="float",4,B81="bool",2,B81="int32_t",4)</f>
        <v>4</v>
      </c>
    </row>
    <row r="82" spans="1:4" x14ac:dyDescent="0.25">
      <c r="A82" s="20"/>
      <c r="B82" s="20" t="s">
        <v>61</v>
      </c>
      <c r="C82" s="21" t="s">
        <v>54</v>
      </c>
      <c r="D82" s="22">
        <f t="shared" si="6"/>
        <v>4</v>
      </c>
    </row>
    <row r="83" spans="1:4" x14ac:dyDescent="0.25">
      <c r="A83" s="17"/>
      <c r="B83" s="17" t="s">
        <v>61</v>
      </c>
      <c r="C83" s="18" t="s">
        <v>56</v>
      </c>
      <c r="D83" s="19">
        <f t="shared" si="6"/>
        <v>4</v>
      </c>
    </row>
    <row r="84" spans="1:4" x14ac:dyDescent="0.25">
      <c r="A84" s="20"/>
      <c r="B84" s="20" t="s">
        <v>61</v>
      </c>
      <c r="C84" s="21" t="s">
        <v>64</v>
      </c>
      <c r="D84" s="22">
        <f t="shared" si="6"/>
        <v>4</v>
      </c>
    </row>
    <row r="85" spans="1:4" x14ac:dyDescent="0.25">
      <c r="A85" s="17"/>
      <c r="B85" s="17" t="s">
        <v>61</v>
      </c>
      <c r="C85" s="18" t="s">
        <v>58</v>
      </c>
      <c r="D85" s="19">
        <f t="shared" si="6"/>
        <v>4</v>
      </c>
    </row>
    <row r="86" spans="1:4" x14ac:dyDescent="0.25">
      <c r="A86" s="20"/>
      <c r="B86" s="20" t="s">
        <v>61</v>
      </c>
      <c r="C86" s="21" t="s">
        <v>59</v>
      </c>
      <c r="D86" s="22">
        <f t="shared" si="6"/>
        <v>4</v>
      </c>
    </row>
    <row r="87" spans="1:4" x14ac:dyDescent="0.25">
      <c r="A87" s="17"/>
      <c r="B87" s="17" t="s">
        <v>51</v>
      </c>
      <c r="C87" s="18" t="s">
        <v>55</v>
      </c>
      <c r="D87" s="19">
        <f t="shared" si="6"/>
        <v>4</v>
      </c>
    </row>
    <row r="88" spans="1:4" x14ac:dyDescent="0.25">
      <c r="A88" s="20"/>
      <c r="B88" s="20" t="s">
        <v>51</v>
      </c>
      <c r="C88" s="21" t="s">
        <v>57</v>
      </c>
      <c r="D88" s="22">
        <f t="shared" si="6"/>
        <v>4</v>
      </c>
    </row>
    <row r="89" spans="1:4" x14ac:dyDescent="0.25">
      <c r="A89" s="17"/>
      <c r="B89" s="17" t="s">
        <v>61</v>
      </c>
      <c r="C89" s="18" t="s">
        <v>100</v>
      </c>
      <c r="D89" s="19">
        <f t="shared" si="6"/>
        <v>4</v>
      </c>
    </row>
    <row r="90" spans="1:4" x14ac:dyDescent="0.25">
      <c r="A90" s="20"/>
      <c r="B90" s="20" t="s">
        <v>61</v>
      </c>
      <c r="C90" s="21" t="s">
        <v>101</v>
      </c>
      <c r="D90" s="22">
        <f t="shared" si="6"/>
        <v>4</v>
      </c>
    </row>
    <row r="91" spans="1:4" x14ac:dyDescent="0.25">
      <c r="A91" s="17"/>
      <c r="B91" s="17" t="s">
        <v>61</v>
      </c>
      <c r="C91" s="18" t="s">
        <v>102</v>
      </c>
      <c r="D91" s="19">
        <f t="shared" si="6"/>
        <v>4</v>
      </c>
    </row>
    <row r="92" spans="1:4" x14ac:dyDescent="0.25">
      <c r="A92" s="20"/>
      <c r="B92" s="20" t="s">
        <v>61</v>
      </c>
      <c r="C92" s="21" t="s">
        <v>103</v>
      </c>
      <c r="D92" s="22">
        <f t="shared" si="6"/>
        <v>4</v>
      </c>
    </row>
    <row r="93" spans="1:4" x14ac:dyDescent="0.25">
      <c r="A93" s="17"/>
      <c r="B93" s="17"/>
      <c r="C93" s="18"/>
      <c r="D93" s="19"/>
    </row>
    <row r="94" spans="1:4" x14ac:dyDescent="0.25">
      <c r="A94" s="20"/>
      <c r="B94" s="20" t="s">
        <v>60</v>
      </c>
      <c r="C94" s="21" t="s">
        <v>104</v>
      </c>
      <c r="D94" s="22">
        <f t="shared" si="6"/>
        <v>4</v>
      </c>
    </row>
    <row r="95" spans="1:4" x14ac:dyDescent="0.25">
      <c r="A95" s="17"/>
      <c r="B95" s="17" t="s">
        <v>60</v>
      </c>
      <c r="C95" s="18" t="s">
        <v>105</v>
      </c>
      <c r="D95" s="19">
        <f t="shared" si="6"/>
        <v>4</v>
      </c>
    </row>
    <row r="96" spans="1:4" x14ac:dyDescent="0.25">
      <c r="A96" s="20"/>
      <c r="B96" s="20" t="s">
        <v>60</v>
      </c>
      <c r="C96" s="21" t="s">
        <v>106</v>
      </c>
      <c r="D96" s="22">
        <f t="shared" si="6"/>
        <v>4</v>
      </c>
    </row>
    <row r="97" spans="1:4" x14ac:dyDescent="0.25">
      <c r="A97" s="17"/>
      <c r="B97" s="17" t="s">
        <v>60</v>
      </c>
      <c r="C97" s="18" t="s">
        <v>107</v>
      </c>
      <c r="D97" s="19">
        <f t="shared" si="6"/>
        <v>4</v>
      </c>
    </row>
    <row r="98" spans="1:4" x14ac:dyDescent="0.25">
      <c r="A98" s="20"/>
      <c r="B98" s="20" t="s">
        <v>60</v>
      </c>
      <c r="C98" s="21" t="s">
        <v>108</v>
      </c>
      <c r="D98" s="22">
        <f t="shared" si="6"/>
        <v>4</v>
      </c>
    </row>
    <row r="99" spans="1:4" x14ac:dyDescent="0.25">
      <c r="A99" s="17"/>
      <c r="B99" s="17" t="s">
        <v>60</v>
      </c>
      <c r="C99" s="18" t="s">
        <v>109</v>
      </c>
      <c r="D99" s="19">
        <f t="shared" si="6"/>
        <v>4</v>
      </c>
    </row>
    <row r="100" spans="1:4" x14ac:dyDescent="0.25">
      <c r="A100" s="20"/>
      <c r="B100" s="20" t="s">
        <v>60</v>
      </c>
      <c r="C100" s="21" t="s">
        <v>110</v>
      </c>
      <c r="D100" s="22">
        <f t="shared" si="6"/>
        <v>4</v>
      </c>
    </row>
    <row r="101" spans="1:4" x14ac:dyDescent="0.25">
      <c r="A101" s="17"/>
      <c r="B101" s="17" t="s">
        <v>60</v>
      </c>
      <c r="C101" s="18" t="s">
        <v>111</v>
      </c>
      <c r="D101" s="19">
        <f t="shared" si="6"/>
        <v>4</v>
      </c>
    </row>
    <row r="102" spans="1:4" x14ac:dyDescent="0.25">
      <c r="A102" s="20"/>
      <c r="B102" s="20" t="s">
        <v>51</v>
      </c>
      <c r="C102" s="21" t="s">
        <v>52</v>
      </c>
      <c r="D102" s="22">
        <f t="shared" si="6"/>
        <v>4</v>
      </c>
    </row>
    <row r="103" spans="1:4" x14ac:dyDescent="0.25">
      <c r="A103" s="17"/>
      <c r="B103" s="17" t="s">
        <v>51</v>
      </c>
      <c r="C103" s="18" t="s">
        <v>112</v>
      </c>
      <c r="D103" s="19">
        <f t="shared" si="6"/>
        <v>4</v>
      </c>
    </row>
    <row r="104" spans="1:4" x14ac:dyDescent="0.25">
      <c r="A104" s="20"/>
      <c r="B104" s="20"/>
      <c r="C104" s="25" t="s">
        <v>193</v>
      </c>
      <c r="D104" s="22">
        <f>SUM(D80:D103)</f>
        <v>92</v>
      </c>
    </row>
    <row r="105" spans="1:4" x14ac:dyDescent="0.25">
      <c r="A105" s="17" t="s">
        <v>47</v>
      </c>
      <c r="B105" s="17"/>
      <c r="C105" s="18"/>
      <c r="D105" s="19"/>
    </row>
    <row r="106" spans="1:4" x14ac:dyDescent="0.25">
      <c r="A106" s="20"/>
      <c r="B106" s="20" t="s">
        <v>61</v>
      </c>
      <c r="C106" s="21" t="s">
        <v>62</v>
      </c>
      <c r="D106" s="22">
        <f t="shared" si="6"/>
        <v>4</v>
      </c>
    </row>
    <row r="107" spans="1:4" x14ac:dyDescent="0.25">
      <c r="A107" s="17"/>
      <c r="B107" s="17" t="s">
        <v>51</v>
      </c>
      <c r="C107" s="18" t="s">
        <v>63</v>
      </c>
      <c r="D107" s="19">
        <f t="shared" si="6"/>
        <v>4</v>
      </c>
    </row>
    <row r="108" spans="1:4" x14ac:dyDescent="0.25">
      <c r="A108" s="20"/>
      <c r="B108" s="20" t="s">
        <v>61</v>
      </c>
      <c r="C108" s="21" t="s">
        <v>54</v>
      </c>
      <c r="D108" s="22">
        <f t="shared" si="6"/>
        <v>4</v>
      </c>
    </row>
    <row r="109" spans="1:4" x14ac:dyDescent="0.25">
      <c r="A109" s="17"/>
      <c r="B109" s="17" t="s">
        <v>51</v>
      </c>
      <c r="C109" s="18" t="s">
        <v>55</v>
      </c>
      <c r="D109" s="19">
        <f t="shared" si="6"/>
        <v>4</v>
      </c>
    </row>
    <row r="110" spans="1:4" x14ac:dyDescent="0.25">
      <c r="A110" s="20"/>
      <c r="B110" s="20" t="s">
        <v>51</v>
      </c>
      <c r="C110" s="21" t="s">
        <v>56</v>
      </c>
      <c r="D110" s="22">
        <f t="shared" si="6"/>
        <v>4</v>
      </c>
    </row>
    <row r="111" spans="1:4" x14ac:dyDescent="0.25">
      <c r="A111" s="17"/>
      <c r="B111" s="17" t="s">
        <v>51</v>
      </c>
      <c r="C111" s="18" t="s">
        <v>57</v>
      </c>
      <c r="D111" s="19">
        <f t="shared" si="6"/>
        <v>4</v>
      </c>
    </row>
    <row r="112" spans="1:4" x14ac:dyDescent="0.25">
      <c r="A112" s="20"/>
      <c r="B112" s="20" t="s">
        <v>61</v>
      </c>
      <c r="C112" s="21" t="s">
        <v>64</v>
      </c>
      <c r="D112" s="22">
        <f t="shared" si="6"/>
        <v>4</v>
      </c>
    </row>
    <row r="113" spans="1:4" x14ac:dyDescent="0.25">
      <c r="A113" s="17"/>
      <c r="B113" s="17" t="s">
        <v>61</v>
      </c>
      <c r="C113" s="18" t="s">
        <v>113</v>
      </c>
      <c r="D113" s="19">
        <f t="shared" si="6"/>
        <v>4</v>
      </c>
    </row>
    <row r="114" spans="1:4" x14ac:dyDescent="0.25">
      <c r="A114" s="20"/>
      <c r="B114" s="20" t="s">
        <v>61</v>
      </c>
      <c r="C114" s="21" t="s">
        <v>114</v>
      </c>
      <c r="D114" s="22">
        <f t="shared" si="6"/>
        <v>4</v>
      </c>
    </row>
    <row r="115" spans="1:4" x14ac:dyDescent="0.25">
      <c r="A115" s="17"/>
      <c r="B115" s="17" t="s">
        <v>51</v>
      </c>
      <c r="C115" s="18" t="s">
        <v>52</v>
      </c>
      <c r="D115" s="19">
        <f t="shared" si="6"/>
        <v>4</v>
      </c>
    </row>
    <row r="116" spans="1:4" x14ac:dyDescent="0.25">
      <c r="A116" s="20"/>
      <c r="B116" s="20" t="s">
        <v>51</v>
      </c>
      <c r="C116" s="21" t="s">
        <v>115</v>
      </c>
      <c r="D116" s="22">
        <f t="shared" si="6"/>
        <v>4</v>
      </c>
    </row>
    <row r="117" spans="1:4" x14ac:dyDescent="0.25">
      <c r="A117" s="17"/>
      <c r="B117" s="17" t="s">
        <v>61</v>
      </c>
      <c r="C117" s="18" t="s">
        <v>58</v>
      </c>
      <c r="D117" s="19">
        <f t="shared" si="6"/>
        <v>4</v>
      </c>
    </row>
    <row r="118" spans="1:4" x14ac:dyDescent="0.25">
      <c r="A118" s="20"/>
      <c r="B118" s="20" t="s">
        <v>61</v>
      </c>
      <c r="C118" s="21" t="s">
        <v>59</v>
      </c>
      <c r="D118" s="22">
        <f t="shared" si="6"/>
        <v>4</v>
      </c>
    </row>
    <row r="119" spans="1:4" x14ac:dyDescent="0.25">
      <c r="A119" s="17"/>
      <c r="B119" s="17" t="s">
        <v>60</v>
      </c>
      <c r="C119" s="18" t="s">
        <v>116</v>
      </c>
      <c r="D119" s="19">
        <f t="shared" si="6"/>
        <v>4</v>
      </c>
    </row>
    <row r="120" spans="1:4" x14ac:dyDescent="0.25">
      <c r="A120" s="20"/>
      <c r="B120" s="20" t="s">
        <v>60</v>
      </c>
      <c r="C120" s="21" t="s">
        <v>117</v>
      </c>
      <c r="D120" s="22">
        <f t="shared" si="6"/>
        <v>4</v>
      </c>
    </row>
    <row r="121" spans="1:4" x14ac:dyDescent="0.25">
      <c r="A121" s="17"/>
      <c r="B121" s="17" t="s">
        <v>60</v>
      </c>
      <c r="C121" s="18" t="s">
        <v>118</v>
      </c>
      <c r="D121" s="19">
        <f t="shared" si="6"/>
        <v>4</v>
      </c>
    </row>
    <row r="122" spans="1:4" x14ac:dyDescent="0.25">
      <c r="A122" s="20"/>
      <c r="B122" s="20" t="s">
        <v>60</v>
      </c>
      <c r="C122" s="21" t="s">
        <v>119</v>
      </c>
      <c r="D122" s="22">
        <f t="shared" si="6"/>
        <v>4</v>
      </c>
    </row>
    <row r="123" spans="1:4" x14ac:dyDescent="0.25">
      <c r="A123" s="17"/>
      <c r="B123" s="17"/>
      <c r="C123" s="24" t="s">
        <v>193</v>
      </c>
      <c r="D123" s="19">
        <f>SUM(D106:D122)</f>
        <v>68</v>
      </c>
    </row>
    <row r="124" spans="1:4" x14ac:dyDescent="0.25">
      <c r="A124" s="20" t="s">
        <v>50</v>
      </c>
      <c r="B124" s="20"/>
      <c r="C124" s="21"/>
      <c r="D124" s="22"/>
    </row>
    <row r="125" spans="1:4" x14ac:dyDescent="0.25">
      <c r="A125" s="17"/>
      <c r="B125" s="17" t="s">
        <v>51</v>
      </c>
      <c r="C125" s="18" t="s">
        <v>120</v>
      </c>
      <c r="D125" s="19">
        <f t="shared" si="6"/>
        <v>4</v>
      </c>
    </row>
    <row r="126" spans="1:4" x14ac:dyDescent="0.25">
      <c r="A126" s="20"/>
      <c r="B126" s="20" t="s">
        <v>61</v>
      </c>
      <c r="C126" s="21" t="s">
        <v>62</v>
      </c>
      <c r="D126" s="22">
        <f t="shared" si="6"/>
        <v>4</v>
      </c>
    </row>
    <row r="127" spans="1:4" x14ac:dyDescent="0.25">
      <c r="A127" s="17"/>
      <c r="B127" s="17" t="s">
        <v>61</v>
      </c>
      <c r="C127" s="18" t="s">
        <v>54</v>
      </c>
      <c r="D127" s="19">
        <f t="shared" si="6"/>
        <v>4</v>
      </c>
    </row>
    <row r="128" spans="1:4" x14ac:dyDescent="0.25">
      <c r="A128" s="20"/>
      <c r="B128" s="20" t="s">
        <v>61</v>
      </c>
      <c r="C128" s="21" t="s">
        <v>56</v>
      </c>
      <c r="D128" s="22">
        <f t="shared" si="6"/>
        <v>4</v>
      </c>
    </row>
    <row r="129" spans="1:4" x14ac:dyDescent="0.25">
      <c r="A129" s="17"/>
      <c r="B129" s="17" t="s">
        <v>61</v>
      </c>
      <c r="C129" s="18" t="s">
        <v>122</v>
      </c>
      <c r="D129" s="19">
        <f t="shared" si="6"/>
        <v>4</v>
      </c>
    </row>
    <row r="130" spans="1:4" x14ac:dyDescent="0.25">
      <c r="A130" s="20"/>
      <c r="B130" s="20" t="s">
        <v>61</v>
      </c>
      <c r="C130" s="21" t="s">
        <v>64</v>
      </c>
      <c r="D130" s="22">
        <f t="shared" si="6"/>
        <v>4</v>
      </c>
    </row>
    <row r="131" spans="1:4" x14ac:dyDescent="0.25">
      <c r="A131" s="17"/>
      <c r="B131" s="17" t="s">
        <v>61</v>
      </c>
      <c r="C131" s="18" t="s">
        <v>58</v>
      </c>
      <c r="D131" s="19">
        <f t="shared" si="6"/>
        <v>4</v>
      </c>
    </row>
    <row r="132" spans="1:4" x14ac:dyDescent="0.25">
      <c r="A132" s="20"/>
      <c r="B132" s="20" t="s">
        <v>61</v>
      </c>
      <c r="C132" s="21" t="s">
        <v>59</v>
      </c>
      <c r="D132" s="22">
        <f t="shared" si="6"/>
        <v>4</v>
      </c>
    </row>
    <row r="133" spans="1:4" x14ac:dyDescent="0.25">
      <c r="A133" s="17"/>
      <c r="B133" s="17" t="s">
        <v>61</v>
      </c>
      <c r="C133" s="18" t="s">
        <v>123</v>
      </c>
      <c r="D133" s="19">
        <f t="shared" si="6"/>
        <v>4</v>
      </c>
    </row>
    <row r="134" spans="1:4" x14ac:dyDescent="0.25">
      <c r="A134" s="20"/>
      <c r="B134" s="20" t="s">
        <v>51</v>
      </c>
      <c r="C134" s="21" t="s">
        <v>63</v>
      </c>
      <c r="D134" s="22">
        <f t="shared" si="6"/>
        <v>4</v>
      </c>
    </row>
    <row r="135" spans="1:4" x14ac:dyDescent="0.25">
      <c r="A135" s="17"/>
      <c r="B135" s="17" t="s">
        <v>51</v>
      </c>
      <c r="C135" s="18" t="s">
        <v>55</v>
      </c>
      <c r="D135" s="19">
        <f t="shared" si="6"/>
        <v>4</v>
      </c>
    </row>
    <row r="136" spans="1:4" x14ac:dyDescent="0.25">
      <c r="A136" s="20"/>
      <c r="B136" s="20" t="s">
        <v>51</v>
      </c>
      <c r="C136" s="21" t="s">
        <v>57</v>
      </c>
      <c r="D136" s="22">
        <f t="shared" si="6"/>
        <v>4</v>
      </c>
    </row>
    <row r="137" spans="1:4" x14ac:dyDescent="0.25">
      <c r="A137" s="17"/>
      <c r="B137" s="17" t="s">
        <v>51</v>
      </c>
      <c r="C137" s="18" t="s">
        <v>124</v>
      </c>
      <c r="D137" s="19">
        <f t="shared" si="6"/>
        <v>4</v>
      </c>
    </row>
    <row r="138" spans="1:4" x14ac:dyDescent="0.25">
      <c r="A138" s="20"/>
      <c r="B138" s="20" t="s">
        <v>51</v>
      </c>
      <c r="C138" s="21" t="s">
        <v>52</v>
      </c>
      <c r="D138" s="22">
        <f t="shared" si="6"/>
        <v>4</v>
      </c>
    </row>
    <row r="139" spans="1:4" x14ac:dyDescent="0.25">
      <c r="A139" s="17"/>
      <c r="B139" s="17"/>
      <c r="C139" s="24" t="s">
        <v>193</v>
      </c>
      <c r="D139" s="19">
        <f>SUM(D125:D138)</f>
        <v>56</v>
      </c>
    </row>
    <row r="140" spans="1:4" x14ac:dyDescent="0.25">
      <c r="A140" s="20" t="s">
        <v>48</v>
      </c>
      <c r="B140" s="20"/>
      <c r="C140" s="21"/>
      <c r="D140" s="22"/>
    </row>
    <row r="141" spans="1:4" x14ac:dyDescent="0.25">
      <c r="A141" s="17"/>
      <c r="B141" s="17" t="s">
        <v>51</v>
      </c>
      <c r="C141" s="18" t="s">
        <v>52</v>
      </c>
      <c r="D141" s="19">
        <f t="shared" si="6"/>
        <v>4</v>
      </c>
    </row>
    <row r="142" spans="1:4" x14ac:dyDescent="0.25">
      <c r="A142" s="20"/>
      <c r="B142" s="20" t="s">
        <v>51</v>
      </c>
      <c r="C142" s="21" t="s">
        <v>125</v>
      </c>
      <c r="D142" s="22">
        <f t="shared" si="6"/>
        <v>4</v>
      </c>
    </row>
    <row r="143" spans="1:4" x14ac:dyDescent="0.25">
      <c r="A143" s="17"/>
      <c r="B143" s="17" t="s">
        <v>121</v>
      </c>
      <c r="C143" s="18" t="s">
        <v>126</v>
      </c>
      <c r="D143" s="19"/>
    </row>
    <row r="144" spans="1:4" x14ac:dyDescent="0.25">
      <c r="A144" s="20"/>
      <c r="B144" s="20" t="s">
        <v>51</v>
      </c>
      <c r="C144" s="21" t="s">
        <v>127</v>
      </c>
      <c r="D144" s="22">
        <f t="shared" si="6"/>
        <v>4</v>
      </c>
    </row>
    <row r="145" spans="1:4" x14ac:dyDescent="0.25">
      <c r="A145" s="17"/>
      <c r="B145" s="17" t="s">
        <v>60</v>
      </c>
      <c r="C145" s="18" t="s">
        <v>128</v>
      </c>
      <c r="D145" s="19">
        <f t="shared" ref="D145:D165" si="7">_xlfn.IFS(B145="uint32_t",4,B145="int",4,B145="float",4,B145="bool",2,B145="int32_t",4)</f>
        <v>4</v>
      </c>
    </row>
    <row r="146" spans="1:4" x14ac:dyDescent="0.25">
      <c r="A146" s="20"/>
      <c r="B146" s="20" t="s">
        <v>61</v>
      </c>
      <c r="C146" s="21" t="s">
        <v>129</v>
      </c>
      <c r="D146" s="22">
        <f t="shared" si="7"/>
        <v>4</v>
      </c>
    </row>
    <row r="147" spans="1:4" x14ac:dyDescent="0.25">
      <c r="A147" s="17"/>
      <c r="B147" s="17" t="s">
        <v>61</v>
      </c>
      <c r="C147" s="18" t="s">
        <v>130</v>
      </c>
      <c r="D147" s="19">
        <f t="shared" si="7"/>
        <v>4</v>
      </c>
    </row>
    <row r="148" spans="1:4" x14ac:dyDescent="0.25">
      <c r="A148" s="20"/>
      <c r="B148" s="20" t="s">
        <v>60</v>
      </c>
      <c r="C148" s="21" t="s">
        <v>131</v>
      </c>
      <c r="D148" s="22">
        <f t="shared" si="7"/>
        <v>4</v>
      </c>
    </row>
    <row r="149" spans="1:4" x14ac:dyDescent="0.25">
      <c r="A149" s="17"/>
      <c r="B149" s="17" t="s">
        <v>121</v>
      </c>
      <c r="C149" s="18" t="s">
        <v>132</v>
      </c>
      <c r="D149" s="19"/>
    </row>
    <row r="150" spans="1:4" x14ac:dyDescent="0.25">
      <c r="A150" s="20"/>
      <c r="B150" s="20" t="s">
        <v>61</v>
      </c>
      <c r="C150" s="21" t="s">
        <v>133</v>
      </c>
      <c r="D150" s="22">
        <f t="shared" si="7"/>
        <v>4</v>
      </c>
    </row>
    <row r="151" spans="1:4" x14ac:dyDescent="0.25">
      <c r="A151" s="17"/>
      <c r="B151" s="17" t="s">
        <v>60</v>
      </c>
      <c r="C151" s="18" t="s">
        <v>134</v>
      </c>
      <c r="D151" s="19">
        <f t="shared" si="7"/>
        <v>4</v>
      </c>
    </row>
    <row r="152" spans="1:4" x14ac:dyDescent="0.25">
      <c r="A152" s="20"/>
      <c r="B152" s="20" t="s">
        <v>61</v>
      </c>
      <c r="C152" s="21" t="s">
        <v>135</v>
      </c>
      <c r="D152" s="22">
        <f t="shared" si="7"/>
        <v>4</v>
      </c>
    </row>
    <row r="153" spans="1:4" x14ac:dyDescent="0.25">
      <c r="A153" s="17"/>
      <c r="B153" s="17" t="s">
        <v>61</v>
      </c>
      <c r="C153" s="18" t="s">
        <v>136</v>
      </c>
      <c r="D153" s="19">
        <f t="shared" si="7"/>
        <v>4</v>
      </c>
    </row>
    <row r="154" spans="1:4" x14ac:dyDescent="0.25">
      <c r="A154" s="20"/>
      <c r="B154" s="20" t="s">
        <v>60</v>
      </c>
      <c r="C154" s="21" t="s">
        <v>137</v>
      </c>
      <c r="D154" s="22">
        <f t="shared" si="7"/>
        <v>4</v>
      </c>
    </row>
    <row r="155" spans="1:4" x14ac:dyDescent="0.25">
      <c r="A155" s="17"/>
      <c r="B155" s="17"/>
      <c r="C155" s="24" t="s">
        <v>193</v>
      </c>
      <c r="D155" s="19">
        <f>SUM(D141:D154)</f>
        <v>48</v>
      </c>
    </row>
    <row r="156" spans="1:4" x14ac:dyDescent="0.25">
      <c r="A156" s="20" t="s">
        <v>49</v>
      </c>
      <c r="B156" s="20"/>
      <c r="C156" s="21"/>
      <c r="D156" s="22"/>
    </row>
    <row r="157" spans="1:4" x14ac:dyDescent="0.25">
      <c r="A157" s="17"/>
      <c r="B157" s="17" t="s">
        <v>61</v>
      </c>
      <c r="C157" s="18" t="s">
        <v>138</v>
      </c>
      <c r="D157" s="19">
        <f t="shared" si="7"/>
        <v>4</v>
      </c>
    </row>
    <row r="158" spans="1:4" x14ac:dyDescent="0.25">
      <c r="A158" s="20"/>
      <c r="B158" s="20" t="s">
        <v>61</v>
      </c>
      <c r="C158" s="21" t="s">
        <v>98</v>
      </c>
      <c r="D158" s="22">
        <f t="shared" si="7"/>
        <v>4</v>
      </c>
    </row>
    <row r="159" spans="1:4" x14ac:dyDescent="0.25">
      <c r="A159" s="17"/>
      <c r="B159" s="17" t="s">
        <v>61</v>
      </c>
      <c r="C159" s="18" t="s">
        <v>139</v>
      </c>
      <c r="D159" s="19">
        <f t="shared" si="7"/>
        <v>4</v>
      </c>
    </row>
    <row r="160" spans="1:4" x14ac:dyDescent="0.25">
      <c r="A160" s="20"/>
      <c r="B160" s="20" t="s">
        <v>51</v>
      </c>
      <c r="C160" s="21" t="s">
        <v>99</v>
      </c>
      <c r="D160" s="22">
        <f t="shared" si="7"/>
        <v>4</v>
      </c>
    </row>
    <row r="161" spans="1:4" x14ac:dyDescent="0.25">
      <c r="A161" s="17"/>
      <c r="B161" s="17"/>
      <c r="C161" s="24" t="s">
        <v>193</v>
      </c>
      <c r="D161" s="19">
        <f>SUM(D157:D160)</f>
        <v>16</v>
      </c>
    </row>
    <row r="162" spans="1:4" x14ac:dyDescent="0.25">
      <c r="A162" s="20" t="s">
        <v>147</v>
      </c>
      <c r="B162" s="20"/>
      <c r="C162" s="21"/>
      <c r="D162" s="22"/>
    </row>
    <row r="163" spans="1:4" x14ac:dyDescent="0.25">
      <c r="A163" s="17"/>
      <c r="B163" s="17" t="s">
        <v>51</v>
      </c>
      <c r="C163" s="18" t="s">
        <v>140</v>
      </c>
      <c r="D163" s="19">
        <f t="shared" si="7"/>
        <v>4</v>
      </c>
    </row>
    <row r="164" spans="1:4" x14ac:dyDescent="0.25">
      <c r="A164" s="20"/>
      <c r="B164" s="20" t="s">
        <v>51</v>
      </c>
      <c r="C164" s="21" t="s">
        <v>142</v>
      </c>
      <c r="D164" s="22">
        <f t="shared" si="7"/>
        <v>4</v>
      </c>
    </row>
    <row r="165" spans="1:4" x14ac:dyDescent="0.25">
      <c r="A165" s="17"/>
      <c r="B165" s="17" t="s">
        <v>61</v>
      </c>
      <c r="C165" s="18" t="s">
        <v>143</v>
      </c>
      <c r="D165" s="19">
        <f t="shared" si="7"/>
        <v>4</v>
      </c>
    </row>
    <row r="166" spans="1:4" x14ac:dyDescent="0.25">
      <c r="A166" s="12"/>
      <c r="B166" s="12"/>
      <c r="C166" s="26" t="s">
        <v>193</v>
      </c>
      <c r="D166" s="13">
        <f>SUM(D163:D165)</f>
        <v>12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I43"/>
  <sheetViews>
    <sheetView workbookViewId="0">
      <selection activeCell="H21" sqref="H21"/>
    </sheetView>
  </sheetViews>
  <sheetFormatPr defaultRowHeight="15" x14ac:dyDescent="0.25"/>
  <sheetData>
    <row r="1" spans="1:2" x14ac:dyDescent="0.25">
      <c r="A1" t="s">
        <v>210</v>
      </c>
    </row>
    <row r="2" spans="1:2" x14ac:dyDescent="0.25">
      <c r="B2" s="34" t="s">
        <v>242</v>
      </c>
    </row>
    <row r="3" spans="1:2" x14ac:dyDescent="0.25">
      <c r="B3" s="34" t="s">
        <v>241</v>
      </c>
    </row>
    <row r="4" spans="1:2" x14ac:dyDescent="0.25">
      <c r="B4" s="34" t="s">
        <v>234</v>
      </c>
    </row>
    <row r="5" spans="1:2" x14ac:dyDescent="0.25">
      <c r="B5" s="35" t="s">
        <v>233</v>
      </c>
    </row>
    <row r="6" spans="1:2" x14ac:dyDescent="0.25">
      <c r="B6" s="35"/>
    </row>
    <row r="7" spans="1:2" x14ac:dyDescent="0.25">
      <c r="B7" s="34" t="s">
        <v>211</v>
      </c>
    </row>
    <row r="8" spans="1:2" x14ac:dyDescent="0.25">
      <c r="B8" s="34" t="s">
        <v>226</v>
      </c>
    </row>
    <row r="9" spans="1:2" x14ac:dyDescent="0.25">
      <c r="B9" s="34" t="s">
        <v>232</v>
      </c>
    </row>
    <row r="10" spans="1:2" x14ac:dyDescent="0.25">
      <c r="B10" s="34" t="s">
        <v>219</v>
      </c>
    </row>
    <row r="11" spans="1:2" x14ac:dyDescent="0.25">
      <c r="B11" s="34" t="s">
        <v>217</v>
      </c>
    </row>
    <row r="12" spans="1:2" x14ac:dyDescent="0.25">
      <c r="B12" s="34" t="s">
        <v>218</v>
      </c>
    </row>
    <row r="13" spans="1:2" x14ac:dyDescent="0.25">
      <c r="B13" s="34" t="s">
        <v>220</v>
      </c>
    </row>
    <row r="14" spans="1:2" x14ac:dyDescent="0.25">
      <c r="B14" s="34" t="s">
        <v>239</v>
      </c>
    </row>
    <row r="15" spans="1:2" x14ac:dyDescent="0.25">
      <c r="B15" s="34" t="s">
        <v>236</v>
      </c>
    </row>
    <row r="16" spans="1:2" x14ac:dyDescent="0.25">
      <c r="B16" s="35" t="s">
        <v>231</v>
      </c>
    </row>
    <row r="17" spans="2:9" x14ac:dyDescent="0.25">
      <c r="B17" t="s">
        <v>243</v>
      </c>
      <c r="C17" t="s">
        <v>240</v>
      </c>
      <c r="D17" t="s">
        <v>235</v>
      </c>
      <c r="E17" t="s">
        <v>41</v>
      </c>
      <c r="F17" t="s">
        <v>234</v>
      </c>
      <c r="G17" t="s">
        <v>241</v>
      </c>
      <c r="H17" t="s">
        <v>244</v>
      </c>
      <c r="I17" t="s">
        <v>245</v>
      </c>
    </row>
    <row r="18" spans="2:9" x14ac:dyDescent="0.25">
      <c r="B18" s="35"/>
    </row>
    <row r="19" spans="2:9" x14ac:dyDescent="0.25">
      <c r="B19" s="35"/>
    </row>
    <row r="20" spans="2:9" x14ac:dyDescent="0.25">
      <c r="B20" s="34" t="s">
        <v>229</v>
      </c>
    </row>
    <row r="21" spans="2:9" x14ac:dyDescent="0.25">
      <c r="B21" s="34" t="s">
        <v>230</v>
      </c>
    </row>
    <row r="22" spans="2:9" x14ac:dyDescent="0.25">
      <c r="B22" s="34" t="s">
        <v>227</v>
      </c>
    </row>
    <row r="23" spans="2:9" x14ac:dyDescent="0.25">
      <c r="B23" s="34" t="s">
        <v>228</v>
      </c>
    </row>
    <row r="24" spans="2:9" x14ac:dyDescent="0.25">
      <c r="B24" s="34" t="s">
        <v>237</v>
      </c>
    </row>
    <row r="25" spans="2:9" x14ac:dyDescent="0.25">
      <c r="B25" s="34" t="s">
        <v>238</v>
      </c>
    </row>
    <row r="26" spans="2:9" x14ac:dyDescent="0.25">
      <c r="B26" s="36" t="s">
        <v>214</v>
      </c>
    </row>
    <row r="27" spans="2:9" x14ac:dyDescent="0.25">
      <c r="B27" s="36" t="s">
        <v>213</v>
      </c>
    </row>
    <row r="28" spans="2:9" x14ac:dyDescent="0.25">
      <c r="B28" s="36" t="s">
        <v>215</v>
      </c>
    </row>
    <row r="29" spans="2:9" x14ac:dyDescent="0.25">
      <c r="B29" s="36" t="s">
        <v>216</v>
      </c>
    </row>
    <row r="30" spans="2:9" x14ac:dyDescent="0.25">
      <c r="B30" s="36"/>
    </row>
    <row r="31" spans="2:9" x14ac:dyDescent="0.25">
      <c r="B31" s="34" t="s">
        <v>240</v>
      </c>
    </row>
    <row r="32" spans="2:9" x14ac:dyDescent="0.25">
      <c r="B32" s="34"/>
    </row>
    <row r="33" spans="2:2" x14ac:dyDescent="0.25">
      <c r="B33" s="34"/>
    </row>
    <row r="34" spans="2:2" x14ac:dyDescent="0.25">
      <c r="B34" s="34" t="s">
        <v>225</v>
      </c>
    </row>
    <row r="35" spans="2:2" x14ac:dyDescent="0.25">
      <c r="B35" s="34" t="s">
        <v>222</v>
      </c>
    </row>
    <row r="36" spans="2:2" x14ac:dyDescent="0.25">
      <c r="B36" s="34" t="s">
        <v>224</v>
      </c>
    </row>
    <row r="37" spans="2:2" x14ac:dyDescent="0.25">
      <c r="B37" s="34" t="s">
        <v>221</v>
      </c>
    </row>
    <row r="38" spans="2:2" x14ac:dyDescent="0.25">
      <c r="B38" s="34" t="s">
        <v>223</v>
      </c>
    </row>
    <row r="39" spans="2:2" x14ac:dyDescent="0.25">
      <c r="B39" s="34" t="s">
        <v>212</v>
      </c>
    </row>
    <row r="40" spans="2:2" x14ac:dyDescent="0.25">
      <c r="B40" s="34" t="s">
        <v>212</v>
      </c>
    </row>
    <row r="41" spans="2:2" x14ac:dyDescent="0.25">
      <c r="B41" s="34" t="s">
        <v>235</v>
      </c>
    </row>
    <row r="42" spans="2:2" x14ac:dyDescent="0.25">
      <c r="B42" s="34"/>
    </row>
    <row r="43" spans="2:2" x14ac:dyDescent="0.25">
      <c r="B43" s="34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Y283"/>
  <sheetViews>
    <sheetView topLeftCell="N1" zoomScale="150" zoomScaleNormal="150" workbookViewId="0">
      <selection activeCell="W2" sqref="W2"/>
    </sheetView>
  </sheetViews>
  <sheetFormatPr defaultRowHeight="15" x14ac:dyDescent="0.25"/>
  <cols>
    <col min="6" max="6" width="11.85546875" bestFit="1" customWidth="1"/>
    <col min="12" max="12" width="30.85546875" bestFit="1" customWidth="1"/>
  </cols>
  <sheetData>
    <row r="1" spans="2:25" x14ac:dyDescent="0.25">
      <c r="B1" t="s">
        <v>5</v>
      </c>
      <c r="C1" t="s">
        <v>37</v>
      </c>
      <c r="D1" t="s">
        <v>206</v>
      </c>
      <c r="E1" t="s">
        <v>42</v>
      </c>
      <c r="F1" t="s">
        <v>35</v>
      </c>
      <c r="G1" t="s">
        <v>40</v>
      </c>
      <c r="H1" t="s">
        <v>207</v>
      </c>
      <c r="I1" t="s">
        <v>208</v>
      </c>
      <c r="J1" t="s">
        <v>209</v>
      </c>
      <c r="P1" t="s">
        <v>572</v>
      </c>
      <c r="S1" t="s">
        <v>573</v>
      </c>
      <c r="U1" t="s">
        <v>574</v>
      </c>
      <c r="W1" t="s">
        <v>575</v>
      </c>
    </row>
    <row r="2" spans="2:25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>
        <v>0</v>
      </c>
      <c r="O2">
        <v>68</v>
      </c>
      <c r="P2">
        <v>136</v>
      </c>
      <c r="Q2" s="32">
        <v>196</v>
      </c>
      <c r="R2" s="32">
        <v>211</v>
      </c>
      <c r="S2" s="29">
        <v>244</v>
      </c>
      <c r="T2" s="29">
        <v>259</v>
      </c>
      <c r="U2">
        <v>289</v>
      </c>
      <c r="V2">
        <v>321</v>
      </c>
      <c r="W2" s="29">
        <v>353</v>
      </c>
      <c r="X2" s="29">
        <v>383</v>
      </c>
      <c r="Y2" s="29">
        <v>415</v>
      </c>
    </row>
    <row r="3" spans="2:25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N3">
        <v>41</v>
      </c>
      <c r="O3">
        <v>47</v>
      </c>
      <c r="P3">
        <v>47</v>
      </c>
      <c r="Q3" s="32">
        <v>47</v>
      </c>
      <c r="R3" s="32">
        <v>47</v>
      </c>
      <c r="S3" s="29">
        <v>47</v>
      </c>
      <c r="T3" s="29">
        <v>47</v>
      </c>
      <c r="U3">
        <v>47</v>
      </c>
      <c r="V3">
        <v>47</v>
      </c>
      <c r="W3" s="29">
        <v>47</v>
      </c>
      <c r="X3" s="29">
        <v>47</v>
      </c>
      <c r="Y3" s="29">
        <v>47</v>
      </c>
    </row>
    <row r="4" spans="2:25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N4">
        <v>65</v>
      </c>
      <c r="O4">
        <v>65</v>
      </c>
      <c r="P4">
        <v>60</v>
      </c>
      <c r="Q4" s="32">
        <v>15</v>
      </c>
      <c r="R4" s="32">
        <v>30</v>
      </c>
      <c r="S4" s="29">
        <v>15</v>
      </c>
      <c r="T4" s="29">
        <v>30</v>
      </c>
      <c r="U4">
        <v>30</v>
      </c>
      <c r="V4">
        <v>30</v>
      </c>
      <c r="W4" s="29">
        <v>30</v>
      </c>
      <c r="X4" s="29">
        <v>30</v>
      </c>
      <c r="Y4" s="29">
        <v>65</v>
      </c>
    </row>
    <row r="5" spans="2:25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N5">
        <v>30</v>
      </c>
      <c r="O5">
        <v>30</v>
      </c>
      <c r="P5">
        <v>30</v>
      </c>
      <c r="Q5" s="32">
        <v>30</v>
      </c>
      <c r="R5" s="32">
        <v>30</v>
      </c>
      <c r="S5" s="29">
        <v>30</v>
      </c>
      <c r="T5" s="29">
        <v>30</v>
      </c>
      <c r="U5">
        <v>30</v>
      </c>
      <c r="V5">
        <v>30</v>
      </c>
      <c r="W5" s="29">
        <v>30</v>
      </c>
      <c r="X5" s="29">
        <v>30</v>
      </c>
      <c r="Y5" s="29">
        <v>30</v>
      </c>
    </row>
    <row r="8" spans="2:25" x14ac:dyDescent="0.25">
      <c r="F8">
        <v>325</v>
      </c>
    </row>
    <row r="9" spans="2:25" x14ac:dyDescent="0.25">
      <c r="F9">
        <v>62</v>
      </c>
      <c r="G9">
        <v>92</v>
      </c>
      <c r="H9">
        <v>122</v>
      </c>
      <c r="I9">
        <v>152</v>
      </c>
      <c r="J9">
        <v>182</v>
      </c>
    </row>
    <row r="10" spans="2:25" x14ac:dyDescent="0.25">
      <c r="B10" s="39"/>
      <c r="F10">
        <v>60</v>
      </c>
    </row>
    <row r="11" spans="2:25" x14ac:dyDescent="0.25">
      <c r="F11">
        <v>25</v>
      </c>
    </row>
    <row r="12" spans="2:25" x14ac:dyDescent="0.25">
      <c r="B12" s="31" t="str">
        <f t="shared" ref="B12:B75" si="0">DEC2HEX(C12)</f>
        <v>24</v>
      </c>
      <c r="C12" s="31">
        <v>36</v>
      </c>
      <c r="D12" s="40" t="str">
        <f t="shared" ref="D12:D75" si="1">CHAR(C12)</f>
        <v>$</v>
      </c>
      <c r="L12" t="s">
        <v>257</v>
      </c>
      <c r="M12" t="s">
        <v>267</v>
      </c>
    </row>
    <row r="13" spans="2:25" x14ac:dyDescent="0.25">
      <c r="B13" s="31" t="str">
        <f t="shared" si="0"/>
        <v>25</v>
      </c>
      <c r="C13" s="31">
        <v>37</v>
      </c>
      <c r="D13" s="40" t="str">
        <f t="shared" si="1"/>
        <v>%</v>
      </c>
      <c r="L13" t="s">
        <v>258</v>
      </c>
      <c r="M13" t="s">
        <v>268</v>
      </c>
    </row>
    <row r="14" spans="2:25" x14ac:dyDescent="0.25">
      <c r="B14" s="31" t="str">
        <f t="shared" si="0"/>
        <v>26</v>
      </c>
      <c r="C14" s="31">
        <v>38</v>
      </c>
      <c r="D14" s="40" t="str">
        <f t="shared" si="1"/>
        <v>&amp;</v>
      </c>
      <c r="F14">
        <v>56</v>
      </c>
      <c r="H14">
        <v>272</v>
      </c>
      <c r="L14" t="s">
        <v>259</v>
      </c>
      <c r="M14" t="s">
        <v>269</v>
      </c>
    </row>
    <row r="15" spans="2:25" x14ac:dyDescent="0.25">
      <c r="B15" s="31" t="str">
        <f t="shared" si="0"/>
        <v>27</v>
      </c>
      <c r="C15" s="31">
        <v>39</v>
      </c>
      <c r="D15" s="40" t="str">
        <f t="shared" si="1"/>
        <v>'</v>
      </c>
      <c r="E15">
        <v>424</v>
      </c>
      <c r="F15">
        <v>179</v>
      </c>
      <c r="H15">
        <v>260</v>
      </c>
      <c r="L15" t="s">
        <v>260</v>
      </c>
      <c r="M15" t="s">
        <v>270</v>
      </c>
    </row>
    <row r="16" spans="2:25" x14ac:dyDescent="0.25">
      <c r="B16" s="31" t="str">
        <f t="shared" si="0"/>
        <v>28</v>
      </c>
      <c r="C16" s="31">
        <v>40</v>
      </c>
      <c r="D16" s="40" t="str">
        <f t="shared" si="1"/>
        <v>(</v>
      </c>
      <c r="L16" t="s">
        <v>261</v>
      </c>
      <c r="M16" t="s">
        <v>271</v>
      </c>
    </row>
    <row r="17" spans="2:13" x14ac:dyDescent="0.25">
      <c r="B17" s="31" t="str">
        <f t="shared" si="0"/>
        <v>29</v>
      </c>
      <c r="C17" s="31">
        <v>41</v>
      </c>
      <c r="D17" s="40" t="str">
        <f t="shared" si="1"/>
        <v>)</v>
      </c>
      <c r="H17">
        <v>104</v>
      </c>
      <c r="L17" t="s">
        <v>262</v>
      </c>
      <c r="M17" t="s">
        <v>272</v>
      </c>
    </row>
    <row r="18" spans="2:13" x14ac:dyDescent="0.25">
      <c r="B18" s="31" t="str">
        <f t="shared" si="0"/>
        <v>2A</v>
      </c>
      <c r="C18" s="31">
        <v>42</v>
      </c>
      <c r="D18" s="40" t="str">
        <f t="shared" si="1"/>
        <v>*</v>
      </c>
      <c r="F18" t="s">
        <v>255</v>
      </c>
      <c r="H18">
        <v>122</v>
      </c>
      <c r="L18" t="s">
        <v>263</v>
      </c>
      <c r="M18" t="s">
        <v>273</v>
      </c>
    </row>
    <row r="19" spans="2:13" x14ac:dyDescent="0.25">
      <c r="B19" s="31" t="str">
        <f t="shared" si="0"/>
        <v>2B</v>
      </c>
      <c r="C19" s="31">
        <v>43</v>
      </c>
      <c r="D19" s="40" t="str">
        <f t="shared" si="1"/>
        <v>+</v>
      </c>
      <c r="F19" t="s">
        <v>256</v>
      </c>
      <c r="H19">
        <v>140</v>
      </c>
      <c r="L19" t="s">
        <v>264</v>
      </c>
      <c r="M19" t="s">
        <v>274</v>
      </c>
    </row>
    <row r="20" spans="2:13" x14ac:dyDescent="0.25">
      <c r="B20" s="31" t="str">
        <f t="shared" si="0"/>
        <v>2C</v>
      </c>
      <c r="C20" s="31">
        <v>44</v>
      </c>
      <c r="D20" s="40" t="str">
        <f t="shared" si="1"/>
        <v>,</v>
      </c>
      <c r="F20" t="s">
        <v>9</v>
      </c>
      <c r="L20" t="s">
        <v>265</v>
      </c>
      <c r="M20" t="s">
        <v>275</v>
      </c>
    </row>
    <row r="21" spans="2:13" x14ac:dyDescent="0.25">
      <c r="B21" s="31" t="str">
        <f t="shared" si="0"/>
        <v>2D</v>
      </c>
      <c r="C21" s="31">
        <v>45</v>
      </c>
      <c r="D21" s="40" t="str">
        <f t="shared" si="1"/>
        <v>-</v>
      </c>
      <c r="L21" t="s">
        <v>266</v>
      </c>
      <c r="M21" t="s">
        <v>276</v>
      </c>
    </row>
    <row r="22" spans="2:13" x14ac:dyDescent="0.25">
      <c r="B22" s="31" t="str">
        <f t="shared" si="0"/>
        <v>2E</v>
      </c>
      <c r="C22" s="31">
        <v>46</v>
      </c>
      <c r="D22" s="40" t="str">
        <f t="shared" si="1"/>
        <v>.</v>
      </c>
    </row>
    <row r="23" spans="2:13" x14ac:dyDescent="0.25">
      <c r="B23" s="31" t="str">
        <f t="shared" si="0"/>
        <v>2F</v>
      </c>
      <c r="C23" s="31">
        <v>47</v>
      </c>
      <c r="D23" s="40" t="str">
        <f t="shared" si="1"/>
        <v>/</v>
      </c>
      <c r="F23">
        <v>57</v>
      </c>
      <c r="G23">
        <v>270</v>
      </c>
      <c r="I23">
        <v>230</v>
      </c>
      <c r="L23" t="s">
        <v>277</v>
      </c>
    </row>
    <row r="24" spans="2:13" x14ac:dyDescent="0.25">
      <c r="B24" s="31" t="str">
        <f t="shared" si="0"/>
        <v>30</v>
      </c>
      <c r="C24" s="31">
        <v>48</v>
      </c>
      <c r="D24" s="40" t="str">
        <f t="shared" si="1"/>
        <v>0</v>
      </c>
      <c r="F24">
        <v>32</v>
      </c>
      <c r="G24">
        <v>248</v>
      </c>
      <c r="I24">
        <v>234</v>
      </c>
      <c r="L24" t="s">
        <v>278</v>
      </c>
    </row>
    <row r="25" spans="2:13" x14ac:dyDescent="0.25">
      <c r="B25" s="31" t="str">
        <f t="shared" si="0"/>
        <v>31</v>
      </c>
      <c r="C25" s="31">
        <v>49</v>
      </c>
      <c r="D25" s="40" t="str">
        <f t="shared" si="1"/>
        <v>1</v>
      </c>
      <c r="F25">
        <v>140</v>
      </c>
      <c r="G25">
        <v>70</v>
      </c>
    </row>
    <row r="26" spans="2:13" x14ac:dyDescent="0.25">
      <c r="B26" s="31" t="str">
        <f t="shared" si="0"/>
        <v>32</v>
      </c>
      <c r="C26" s="31">
        <v>50</v>
      </c>
      <c r="D26" s="40" t="str">
        <f t="shared" si="1"/>
        <v>2</v>
      </c>
      <c r="F26">
        <v>18</v>
      </c>
      <c r="G26">
        <v>18</v>
      </c>
      <c r="L26" t="s">
        <v>279</v>
      </c>
    </row>
    <row r="27" spans="2:13" x14ac:dyDescent="0.25">
      <c r="B27" s="31" t="str">
        <f t="shared" si="0"/>
        <v>33</v>
      </c>
      <c r="C27" s="31">
        <v>51</v>
      </c>
      <c r="D27" s="40" t="str">
        <f t="shared" si="1"/>
        <v>3</v>
      </c>
    </row>
    <row r="28" spans="2:13" x14ac:dyDescent="0.25">
      <c r="B28" s="31" t="str">
        <f t="shared" si="0"/>
        <v>34</v>
      </c>
      <c r="C28" s="31">
        <v>52</v>
      </c>
      <c r="D28" s="40" t="str">
        <f t="shared" si="1"/>
        <v>4</v>
      </c>
    </row>
    <row r="29" spans="2:13" x14ac:dyDescent="0.25">
      <c r="B29" s="31" t="str">
        <f t="shared" si="0"/>
        <v>35</v>
      </c>
      <c r="C29" s="31">
        <v>53</v>
      </c>
      <c r="D29" s="40" t="str">
        <f t="shared" si="1"/>
        <v>5</v>
      </c>
    </row>
    <row r="30" spans="2:13" x14ac:dyDescent="0.25">
      <c r="B30" s="31" t="str">
        <f t="shared" si="0"/>
        <v>36</v>
      </c>
      <c r="C30" s="31">
        <v>54</v>
      </c>
      <c r="D30" s="40" t="str">
        <f t="shared" si="1"/>
        <v>6</v>
      </c>
      <c r="F30" t="s">
        <v>280</v>
      </c>
      <c r="G30" t="s">
        <v>287</v>
      </c>
    </row>
    <row r="31" spans="2:13" x14ac:dyDescent="0.25">
      <c r="B31" s="31" t="str">
        <f t="shared" si="0"/>
        <v>37</v>
      </c>
      <c r="C31" s="31">
        <v>55</v>
      </c>
      <c r="D31" s="40" t="str">
        <f t="shared" si="1"/>
        <v>7</v>
      </c>
      <c r="F31" t="s">
        <v>281</v>
      </c>
      <c r="G31" t="s">
        <v>288</v>
      </c>
    </row>
    <row r="32" spans="2:13" x14ac:dyDescent="0.25">
      <c r="B32" s="31" t="str">
        <f t="shared" si="0"/>
        <v>38</v>
      </c>
      <c r="C32" s="31">
        <v>56</v>
      </c>
      <c r="D32" s="40" t="str">
        <f t="shared" si="1"/>
        <v>8</v>
      </c>
      <c r="F32" t="s">
        <v>282</v>
      </c>
      <c r="G32" t="s">
        <v>279</v>
      </c>
      <c r="I32">
        <v>82</v>
      </c>
    </row>
    <row r="33" spans="2:7" x14ac:dyDescent="0.25">
      <c r="B33" s="31" t="str">
        <f t="shared" si="0"/>
        <v>39</v>
      </c>
      <c r="C33" s="31">
        <v>57</v>
      </c>
      <c r="D33" s="40" t="str">
        <f t="shared" si="1"/>
        <v>9</v>
      </c>
      <c r="F33" t="s">
        <v>283</v>
      </c>
      <c r="G33" t="s">
        <v>289</v>
      </c>
    </row>
    <row r="34" spans="2:7" x14ac:dyDescent="0.25">
      <c r="B34" s="31" t="str">
        <f t="shared" si="0"/>
        <v>3A</v>
      </c>
      <c r="C34" s="31">
        <v>58</v>
      </c>
      <c r="D34" s="40" t="str">
        <f t="shared" si="1"/>
        <v>:</v>
      </c>
      <c r="F34" t="s">
        <v>34</v>
      </c>
      <c r="G34" t="s">
        <v>290</v>
      </c>
    </row>
    <row r="35" spans="2:7" x14ac:dyDescent="0.25">
      <c r="B35" s="31" t="str">
        <f t="shared" si="0"/>
        <v>3B</v>
      </c>
      <c r="C35" s="31">
        <v>59</v>
      </c>
      <c r="D35" s="40" t="str">
        <f t="shared" si="1"/>
        <v>;</v>
      </c>
      <c r="F35" t="s">
        <v>284</v>
      </c>
      <c r="G35" t="s">
        <v>291</v>
      </c>
    </row>
    <row r="36" spans="2:7" x14ac:dyDescent="0.25">
      <c r="B36" s="31" t="str">
        <f t="shared" si="0"/>
        <v>3C</v>
      </c>
      <c r="C36" s="31">
        <v>60</v>
      </c>
      <c r="D36" s="40" t="str">
        <f t="shared" si="1"/>
        <v>&lt;</v>
      </c>
      <c r="F36" t="s">
        <v>285</v>
      </c>
      <c r="G36" t="s">
        <v>292</v>
      </c>
    </row>
    <row r="37" spans="2:7" x14ac:dyDescent="0.25">
      <c r="B37" s="31" t="str">
        <f t="shared" si="0"/>
        <v>3D</v>
      </c>
      <c r="C37" s="31">
        <v>61</v>
      </c>
      <c r="D37" s="40" t="str">
        <f t="shared" si="1"/>
        <v>=</v>
      </c>
      <c r="F37" t="s">
        <v>286</v>
      </c>
      <c r="G37" t="s">
        <v>293</v>
      </c>
    </row>
    <row r="38" spans="2:7" x14ac:dyDescent="0.25">
      <c r="B38" s="31" t="str">
        <f t="shared" si="0"/>
        <v>3E</v>
      </c>
      <c r="C38" s="31">
        <v>62</v>
      </c>
      <c r="D38" s="40" t="str">
        <f t="shared" si="1"/>
        <v>&gt;</v>
      </c>
    </row>
    <row r="39" spans="2:7" x14ac:dyDescent="0.25">
      <c r="B39" s="31" t="str">
        <f t="shared" si="0"/>
        <v>3F</v>
      </c>
      <c r="C39" s="31">
        <v>63</v>
      </c>
      <c r="D39" s="40" t="str">
        <f t="shared" si="1"/>
        <v>?</v>
      </c>
    </row>
    <row r="40" spans="2:7" x14ac:dyDescent="0.25">
      <c r="B40" s="31" t="str">
        <f t="shared" si="0"/>
        <v>40</v>
      </c>
      <c r="C40" s="31">
        <v>64</v>
      </c>
      <c r="D40" s="40" t="str">
        <f t="shared" si="1"/>
        <v>@</v>
      </c>
    </row>
    <row r="41" spans="2:7" x14ac:dyDescent="0.25">
      <c r="B41" s="31" t="str">
        <f t="shared" si="0"/>
        <v>41</v>
      </c>
      <c r="C41" s="31">
        <v>65</v>
      </c>
      <c r="D41" s="40" t="str">
        <f t="shared" si="1"/>
        <v>A</v>
      </c>
    </row>
    <row r="42" spans="2:7" x14ac:dyDescent="0.25">
      <c r="B42" s="31" t="str">
        <f t="shared" si="0"/>
        <v>42</v>
      </c>
      <c r="C42" s="31">
        <v>66</v>
      </c>
      <c r="D42" s="40" t="str">
        <f t="shared" si="1"/>
        <v>B</v>
      </c>
    </row>
    <row r="43" spans="2:7" x14ac:dyDescent="0.25">
      <c r="B43" s="31" t="str">
        <f t="shared" si="0"/>
        <v>43</v>
      </c>
      <c r="C43" s="31">
        <v>67</v>
      </c>
      <c r="D43" s="40" t="str">
        <f t="shared" si="1"/>
        <v>C</v>
      </c>
    </row>
    <row r="44" spans="2:7" x14ac:dyDescent="0.25">
      <c r="B44" s="31" t="str">
        <f t="shared" si="0"/>
        <v>44</v>
      </c>
      <c r="C44" s="31">
        <v>68</v>
      </c>
      <c r="D44" s="40" t="str">
        <f t="shared" si="1"/>
        <v>D</v>
      </c>
    </row>
    <row r="45" spans="2:7" x14ac:dyDescent="0.25">
      <c r="B45" s="31" t="str">
        <f t="shared" si="0"/>
        <v>45</v>
      </c>
      <c r="C45" s="31">
        <v>69</v>
      </c>
      <c r="D45" s="40" t="str">
        <f t="shared" si="1"/>
        <v>E</v>
      </c>
    </row>
    <row r="46" spans="2:7" x14ac:dyDescent="0.25">
      <c r="B46" s="31" t="str">
        <f t="shared" si="0"/>
        <v>46</v>
      </c>
      <c r="C46" s="31">
        <v>70</v>
      </c>
      <c r="D46" s="40" t="str">
        <f t="shared" si="1"/>
        <v>F</v>
      </c>
    </row>
    <row r="47" spans="2:7" x14ac:dyDescent="0.25">
      <c r="B47" s="31" t="str">
        <f t="shared" si="0"/>
        <v>47</v>
      </c>
      <c r="C47" s="31">
        <v>71</v>
      </c>
      <c r="D47" s="40" t="str">
        <f t="shared" si="1"/>
        <v>G</v>
      </c>
    </row>
    <row r="48" spans="2:7" x14ac:dyDescent="0.25">
      <c r="B48" s="31" t="str">
        <f t="shared" si="0"/>
        <v>48</v>
      </c>
      <c r="C48" s="31">
        <v>72</v>
      </c>
      <c r="D48" s="40" t="str">
        <f t="shared" si="1"/>
        <v>H</v>
      </c>
    </row>
    <row r="49" spans="2:4" x14ac:dyDescent="0.25">
      <c r="B49" s="31" t="str">
        <f t="shared" si="0"/>
        <v>49</v>
      </c>
      <c r="C49" s="31">
        <v>73</v>
      </c>
      <c r="D49" s="40" t="str">
        <f t="shared" si="1"/>
        <v>I</v>
      </c>
    </row>
    <row r="50" spans="2:4" x14ac:dyDescent="0.25">
      <c r="B50" s="31" t="str">
        <f t="shared" si="0"/>
        <v>4A</v>
      </c>
      <c r="C50" s="31">
        <v>74</v>
      </c>
      <c r="D50" s="40" t="str">
        <f t="shared" si="1"/>
        <v>J</v>
      </c>
    </row>
    <row r="51" spans="2:4" x14ac:dyDescent="0.25">
      <c r="B51" s="31" t="str">
        <f t="shared" si="0"/>
        <v>4B</v>
      </c>
      <c r="C51" s="31">
        <v>75</v>
      </c>
      <c r="D51" s="40" t="str">
        <f t="shared" si="1"/>
        <v>K</v>
      </c>
    </row>
    <row r="52" spans="2:4" x14ac:dyDescent="0.25">
      <c r="B52" s="31" t="str">
        <f t="shared" si="0"/>
        <v>4C</v>
      </c>
      <c r="C52" s="31">
        <v>76</v>
      </c>
      <c r="D52" s="40" t="str">
        <f t="shared" si="1"/>
        <v>L</v>
      </c>
    </row>
    <row r="53" spans="2:4" x14ac:dyDescent="0.25">
      <c r="B53" s="31" t="str">
        <f t="shared" si="0"/>
        <v>4D</v>
      </c>
      <c r="C53" s="31">
        <v>77</v>
      </c>
      <c r="D53" s="40" t="str">
        <f t="shared" si="1"/>
        <v>M</v>
      </c>
    </row>
    <row r="54" spans="2:4" x14ac:dyDescent="0.25">
      <c r="B54" s="31" t="str">
        <f t="shared" si="0"/>
        <v>4E</v>
      </c>
      <c r="C54" s="31">
        <v>78</v>
      </c>
      <c r="D54" s="40" t="str">
        <f t="shared" si="1"/>
        <v>N</v>
      </c>
    </row>
    <row r="55" spans="2:4" x14ac:dyDescent="0.25">
      <c r="B55" s="31" t="str">
        <f t="shared" si="0"/>
        <v>4F</v>
      </c>
      <c r="C55" s="31">
        <v>79</v>
      </c>
      <c r="D55" s="40" t="str">
        <f t="shared" si="1"/>
        <v>O</v>
      </c>
    </row>
    <row r="56" spans="2:4" x14ac:dyDescent="0.25">
      <c r="B56" s="31" t="str">
        <f t="shared" si="0"/>
        <v>50</v>
      </c>
      <c r="C56" s="31">
        <v>80</v>
      </c>
      <c r="D56" s="40" t="str">
        <f t="shared" si="1"/>
        <v>P</v>
      </c>
    </row>
    <row r="57" spans="2:4" x14ac:dyDescent="0.25">
      <c r="B57" s="31" t="str">
        <f t="shared" si="0"/>
        <v>51</v>
      </c>
      <c r="C57" s="31">
        <v>81</v>
      </c>
      <c r="D57" s="40" t="str">
        <f t="shared" si="1"/>
        <v>Q</v>
      </c>
    </row>
    <row r="58" spans="2:4" x14ac:dyDescent="0.25">
      <c r="B58" s="31" t="str">
        <f t="shared" si="0"/>
        <v>52</v>
      </c>
      <c r="C58" s="31">
        <v>82</v>
      </c>
      <c r="D58" s="40" t="str">
        <f t="shared" si="1"/>
        <v>R</v>
      </c>
    </row>
    <row r="59" spans="2:4" x14ac:dyDescent="0.25">
      <c r="B59" s="31" t="str">
        <f t="shared" si="0"/>
        <v>53</v>
      </c>
      <c r="C59" s="31">
        <v>83</v>
      </c>
      <c r="D59" s="40" t="str">
        <f t="shared" si="1"/>
        <v>S</v>
      </c>
    </row>
    <row r="60" spans="2:4" x14ac:dyDescent="0.25">
      <c r="B60" s="31" t="str">
        <f t="shared" si="0"/>
        <v>54</v>
      </c>
      <c r="C60" s="31">
        <v>84</v>
      </c>
      <c r="D60" s="40" t="str">
        <f t="shared" si="1"/>
        <v>T</v>
      </c>
    </row>
    <row r="61" spans="2:4" x14ac:dyDescent="0.25">
      <c r="B61" s="31" t="str">
        <f t="shared" si="0"/>
        <v>55</v>
      </c>
      <c r="C61" s="31">
        <v>85</v>
      </c>
      <c r="D61" s="40" t="str">
        <f t="shared" si="1"/>
        <v>U</v>
      </c>
    </row>
    <row r="62" spans="2:4" x14ac:dyDescent="0.25">
      <c r="B62" s="31" t="str">
        <f t="shared" si="0"/>
        <v>56</v>
      </c>
      <c r="C62" s="31">
        <v>86</v>
      </c>
      <c r="D62" s="40" t="str">
        <f t="shared" si="1"/>
        <v>V</v>
      </c>
    </row>
    <row r="63" spans="2:4" x14ac:dyDescent="0.25">
      <c r="B63" s="31" t="str">
        <f t="shared" si="0"/>
        <v>57</v>
      </c>
      <c r="C63" s="31">
        <v>87</v>
      </c>
      <c r="D63" s="40" t="str">
        <f t="shared" si="1"/>
        <v>W</v>
      </c>
    </row>
    <row r="64" spans="2:4" x14ac:dyDescent="0.25">
      <c r="B64" s="31" t="str">
        <f t="shared" si="0"/>
        <v>58</v>
      </c>
      <c r="C64" s="31">
        <v>88</v>
      </c>
      <c r="D64" s="40" t="str">
        <f t="shared" si="1"/>
        <v>X</v>
      </c>
    </row>
    <row r="65" spans="2:4" x14ac:dyDescent="0.25">
      <c r="B65" s="31" t="str">
        <f t="shared" si="0"/>
        <v>59</v>
      </c>
      <c r="C65" s="31">
        <v>89</v>
      </c>
      <c r="D65" s="40" t="str">
        <f t="shared" si="1"/>
        <v>Y</v>
      </c>
    </row>
    <row r="66" spans="2:4" x14ac:dyDescent="0.25">
      <c r="B66" s="31" t="str">
        <f t="shared" si="0"/>
        <v>5A</v>
      </c>
      <c r="C66" s="31">
        <v>90</v>
      </c>
      <c r="D66" s="40" t="str">
        <f t="shared" si="1"/>
        <v>Z</v>
      </c>
    </row>
    <row r="67" spans="2:4" x14ac:dyDescent="0.25">
      <c r="B67" s="31" t="str">
        <f t="shared" si="0"/>
        <v>5B</v>
      </c>
      <c r="C67" s="31">
        <v>91</v>
      </c>
      <c r="D67" s="40" t="str">
        <f t="shared" si="1"/>
        <v>[</v>
      </c>
    </row>
    <row r="68" spans="2:4" x14ac:dyDescent="0.25">
      <c r="B68" s="31" t="str">
        <f t="shared" si="0"/>
        <v>5C</v>
      </c>
      <c r="C68" s="31">
        <v>92</v>
      </c>
      <c r="D68" s="40" t="str">
        <f t="shared" si="1"/>
        <v>\</v>
      </c>
    </row>
    <row r="69" spans="2:4" x14ac:dyDescent="0.25">
      <c r="B69" s="31" t="str">
        <f t="shared" si="0"/>
        <v>5D</v>
      </c>
      <c r="C69" s="31">
        <v>93</v>
      </c>
      <c r="D69" s="40" t="str">
        <f t="shared" si="1"/>
        <v>]</v>
      </c>
    </row>
    <row r="70" spans="2:4" x14ac:dyDescent="0.25">
      <c r="B70" s="31" t="str">
        <f t="shared" si="0"/>
        <v>5E</v>
      </c>
      <c r="C70" s="31">
        <v>94</v>
      </c>
      <c r="D70" s="40" t="str">
        <f t="shared" si="1"/>
        <v>^</v>
      </c>
    </row>
    <row r="71" spans="2:4" x14ac:dyDescent="0.25">
      <c r="B71" s="31" t="str">
        <f t="shared" si="0"/>
        <v>5F</v>
      </c>
      <c r="C71" s="31">
        <v>95</v>
      </c>
      <c r="D71" s="40" t="str">
        <f t="shared" si="1"/>
        <v>_</v>
      </c>
    </row>
    <row r="72" spans="2:4" x14ac:dyDescent="0.25">
      <c r="B72" s="31" t="str">
        <f t="shared" si="0"/>
        <v>60</v>
      </c>
      <c r="C72" s="31">
        <v>96</v>
      </c>
      <c r="D72" s="40" t="str">
        <f t="shared" si="1"/>
        <v>`</v>
      </c>
    </row>
    <row r="73" spans="2:4" x14ac:dyDescent="0.25">
      <c r="B73" s="31" t="str">
        <f t="shared" si="0"/>
        <v>61</v>
      </c>
      <c r="C73" s="31">
        <v>97</v>
      </c>
      <c r="D73" s="40" t="str">
        <f t="shared" si="1"/>
        <v>a</v>
      </c>
    </row>
    <row r="74" spans="2:4" x14ac:dyDescent="0.25">
      <c r="B74" s="31" t="str">
        <f t="shared" si="0"/>
        <v>62</v>
      </c>
      <c r="C74" s="31">
        <v>98</v>
      </c>
      <c r="D74" s="40" t="str">
        <f t="shared" si="1"/>
        <v>b</v>
      </c>
    </row>
    <row r="75" spans="2:4" x14ac:dyDescent="0.25">
      <c r="B75" s="31" t="str">
        <f t="shared" si="0"/>
        <v>63</v>
      </c>
      <c r="C75" s="31">
        <v>99</v>
      </c>
      <c r="D75" s="40" t="str">
        <f t="shared" si="1"/>
        <v>c</v>
      </c>
    </row>
    <row r="76" spans="2:4" x14ac:dyDescent="0.25">
      <c r="B76" s="31" t="str">
        <f t="shared" ref="B76:B140" si="2">DEC2HEX(C76)</f>
        <v>64</v>
      </c>
      <c r="C76" s="31">
        <v>100</v>
      </c>
      <c r="D76" s="40" t="str">
        <f t="shared" ref="D76:D140" si="3">CHAR(C76)</f>
        <v>d</v>
      </c>
    </row>
    <row r="77" spans="2:4" x14ac:dyDescent="0.25">
      <c r="B77" s="31" t="str">
        <f t="shared" si="2"/>
        <v>65</v>
      </c>
      <c r="C77" s="31">
        <v>101</v>
      </c>
      <c r="D77" s="40" t="str">
        <f t="shared" si="3"/>
        <v>e</v>
      </c>
    </row>
    <row r="78" spans="2:4" x14ac:dyDescent="0.25">
      <c r="B78" s="31" t="str">
        <f t="shared" si="2"/>
        <v>66</v>
      </c>
      <c r="C78" s="31">
        <v>102</v>
      </c>
      <c r="D78" s="40" t="str">
        <f t="shared" si="3"/>
        <v>f</v>
      </c>
    </row>
    <row r="79" spans="2:4" x14ac:dyDescent="0.25">
      <c r="B79" s="31" t="str">
        <f t="shared" si="2"/>
        <v>67</v>
      </c>
      <c r="C79" s="31">
        <v>103</v>
      </c>
      <c r="D79" s="40" t="str">
        <f t="shared" si="3"/>
        <v>g</v>
      </c>
    </row>
    <row r="80" spans="2:4" x14ac:dyDescent="0.25">
      <c r="B80" s="31" t="str">
        <f t="shared" si="2"/>
        <v>68</v>
      </c>
      <c r="C80" s="31">
        <v>104</v>
      </c>
      <c r="D80" s="40" t="str">
        <f t="shared" si="3"/>
        <v>h</v>
      </c>
    </row>
    <row r="81" spans="2:4" x14ac:dyDescent="0.25">
      <c r="B81" s="31" t="str">
        <f t="shared" si="2"/>
        <v>69</v>
      </c>
      <c r="C81" s="31">
        <v>105</v>
      </c>
      <c r="D81" s="40" t="str">
        <f t="shared" si="3"/>
        <v>i</v>
      </c>
    </row>
    <row r="82" spans="2:4" x14ac:dyDescent="0.25">
      <c r="B82" s="31" t="str">
        <f t="shared" si="2"/>
        <v>6A</v>
      </c>
      <c r="C82" s="31">
        <v>106</v>
      </c>
      <c r="D82" s="40" t="str">
        <f t="shared" si="3"/>
        <v>j</v>
      </c>
    </row>
    <row r="83" spans="2:4" x14ac:dyDescent="0.25">
      <c r="B83" s="31" t="str">
        <f t="shared" si="2"/>
        <v>6B</v>
      </c>
      <c r="C83" s="31">
        <v>107</v>
      </c>
      <c r="D83" s="40" t="str">
        <f t="shared" si="3"/>
        <v>k</v>
      </c>
    </row>
    <row r="84" spans="2:4" x14ac:dyDescent="0.25">
      <c r="B84" s="31" t="str">
        <f t="shared" si="2"/>
        <v>6C</v>
      </c>
      <c r="C84" s="31">
        <v>108</v>
      </c>
      <c r="D84" s="40" t="str">
        <f t="shared" si="3"/>
        <v>l</v>
      </c>
    </row>
    <row r="85" spans="2:4" x14ac:dyDescent="0.25">
      <c r="B85" s="31" t="str">
        <f t="shared" si="2"/>
        <v>6D</v>
      </c>
      <c r="C85" s="31">
        <v>109</v>
      </c>
      <c r="D85" s="40" t="str">
        <f t="shared" si="3"/>
        <v>m</v>
      </c>
    </row>
    <row r="86" spans="2:4" x14ac:dyDescent="0.25">
      <c r="B86" s="31" t="str">
        <f t="shared" si="2"/>
        <v>6E</v>
      </c>
      <c r="C86" s="31">
        <v>110</v>
      </c>
      <c r="D86" s="40" t="str">
        <f t="shared" si="3"/>
        <v>n</v>
      </c>
    </row>
    <row r="87" spans="2:4" x14ac:dyDescent="0.25">
      <c r="B87" s="31" t="str">
        <f t="shared" si="2"/>
        <v>6F</v>
      </c>
      <c r="C87" s="31">
        <v>111</v>
      </c>
      <c r="D87" s="40" t="str">
        <f t="shared" si="3"/>
        <v>o</v>
      </c>
    </row>
    <row r="88" spans="2:4" x14ac:dyDescent="0.25">
      <c r="B88" s="31" t="str">
        <f t="shared" si="2"/>
        <v>70</v>
      </c>
      <c r="C88" s="31">
        <v>112</v>
      </c>
      <c r="D88" s="40" t="str">
        <f t="shared" si="3"/>
        <v>p</v>
      </c>
    </row>
    <row r="89" spans="2:4" x14ac:dyDescent="0.25">
      <c r="B89" s="31" t="str">
        <f t="shared" si="2"/>
        <v>71</v>
      </c>
      <c r="C89" s="31">
        <v>113</v>
      </c>
      <c r="D89" s="40" t="str">
        <f t="shared" si="3"/>
        <v>q</v>
      </c>
    </row>
    <row r="90" spans="2:4" x14ac:dyDescent="0.25">
      <c r="B90" s="31" t="str">
        <f t="shared" si="2"/>
        <v>72</v>
      </c>
      <c r="C90" s="31">
        <v>114</v>
      </c>
      <c r="D90" s="40" t="str">
        <f t="shared" si="3"/>
        <v>r</v>
      </c>
    </row>
    <row r="91" spans="2:4" x14ac:dyDescent="0.25">
      <c r="B91" s="31" t="str">
        <f t="shared" si="2"/>
        <v>73</v>
      </c>
      <c r="C91" s="31">
        <v>115</v>
      </c>
      <c r="D91" s="40" t="str">
        <f t="shared" si="3"/>
        <v>s</v>
      </c>
    </row>
    <row r="92" spans="2:4" x14ac:dyDescent="0.25">
      <c r="B92" s="31" t="str">
        <f t="shared" si="2"/>
        <v>74</v>
      </c>
      <c r="C92" s="31">
        <v>116</v>
      </c>
      <c r="D92" s="40" t="str">
        <f t="shared" si="3"/>
        <v>t</v>
      </c>
    </row>
    <row r="93" spans="2:4" x14ac:dyDescent="0.25">
      <c r="B93" s="31" t="str">
        <f t="shared" si="2"/>
        <v>75</v>
      </c>
      <c r="C93" s="31">
        <v>117</v>
      </c>
      <c r="D93" s="40" t="str">
        <f t="shared" si="3"/>
        <v>u</v>
      </c>
    </row>
    <row r="94" spans="2:4" x14ac:dyDescent="0.25">
      <c r="B94" s="31" t="str">
        <f t="shared" si="2"/>
        <v>76</v>
      </c>
      <c r="C94" s="31">
        <v>118</v>
      </c>
      <c r="D94" s="40" t="str">
        <f t="shared" si="3"/>
        <v>v</v>
      </c>
    </row>
    <row r="95" spans="2:4" x14ac:dyDescent="0.25">
      <c r="B95" s="31" t="str">
        <f t="shared" si="2"/>
        <v>77</v>
      </c>
      <c r="C95" s="31">
        <v>119</v>
      </c>
      <c r="D95" s="40" t="str">
        <f t="shared" si="3"/>
        <v>w</v>
      </c>
    </row>
    <row r="96" spans="2:4" x14ac:dyDescent="0.25">
      <c r="B96" s="31" t="str">
        <f t="shared" si="2"/>
        <v>78</v>
      </c>
      <c r="C96" s="31">
        <v>120</v>
      </c>
      <c r="D96" s="40" t="str">
        <f t="shared" si="3"/>
        <v>x</v>
      </c>
    </row>
    <row r="97" spans="2:4" x14ac:dyDescent="0.25">
      <c r="B97" s="31" t="str">
        <f t="shared" si="2"/>
        <v>79</v>
      </c>
      <c r="C97" s="31">
        <v>121</v>
      </c>
      <c r="D97" s="40" t="str">
        <f t="shared" si="3"/>
        <v>y</v>
      </c>
    </row>
    <row r="98" spans="2:4" x14ac:dyDescent="0.25">
      <c r="B98" s="31" t="str">
        <f t="shared" si="2"/>
        <v>7A</v>
      </c>
      <c r="C98" s="31">
        <v>122</v>
      </c>
      <c r="D98" s="40" t="str">
        <f t="shared" si="3"/>
        <v>z</v>
      </c>
    </row>
    <row r="99" spans="2:4" x14ac:dyDescent="0.25">
      <c r="B99" s="31" t="str">
        <f t="shared" si="2"/>
        <v>7B</v>
      </c>
      <c r="C99" s="31">
        <v>123</v>
      </c>
      <c r="D99" s="40" t="str">
        <f t="shared" si="3"/>
        <v>{</v>
      </c>
    </row>
    <row r="100" spans="2:4" x14ac:dyDescent="0.25">
      <c r="B100" s="31" t="str">
        <f t="shared" si="2"/>
        <v>7C</v>
      </c>
      <c r="C100" s="31">
        <v>124</v>
      </c>
      <c r="D100" s="41" t="str">
        <f t="shared" si="3"/>
        <v>|</v>
      </c>
    </row>
    <row r="101" spans="2:4" x14ac:dyDescent="0.25">
      <c r="B101" s="31" t="str">
        <f t="shared" si="2"/>
        <v>7D</v>
      </c>
      <c r="C101" s="31">
        <v>125</v>
      </c>
      <c r="D101" s="40" t="str">
        <f t="shared" si="3"/>
        <v>}</v>
      </c>
    </row>
    <row r="102" spans="2:4" x14ac:dyDescent="0.25">
      <c r="B102" s="31" t="str">
        <f t="shared" si="2"/>
        <v>7E</v>
      </c>
      <c r="C102" s="31">
        <v>126</v>
      </c>
      <c r="D102" s="40" t="str">
        <f t="shared" si="3"/>
        <v>~</v>
      </c>
    </row>
    <row r="103" spans="2:4" x14ac:dyDescent="0.25">
      <c r="B103" s="31"/>
      <c r="C103" s="31"/>
      <c r="D103" s="40"/>
    </row>
    <row r="104" spans="2:4" x14ac:dyDescent="0.25">
      <c r="B104" s="31" t="str">
        <f t="shared" si="2"/>
        <v>7F</v>
      </c>
      <c r="C104" s="31">
        <v>127</v>
      </c>
      <c r="D104" s="40" t="str">
        <f t="shared" si="3"/>
        <v></v>
      </c>
    </row>
    <row r="105" spans="2:4" x14ac:dyDescent="0.25">
      <c r="B105" s="31" t="str">
        <f t="shared" si="2"/>
        <v>80</v>
      </c>
      <c r="C105" s="31">
        <v>128</v>
      </c>
      <c r="D105" s="40" t="str">
        <f t="shared" si="3"/>
        <v>€</v>
      </c>
    </row>
    <row r="106" spans="2:4" x14ac:dyDescent="0.25">
      <c r="B106" s="31" t="str">
        <f t="shared" si="2"/>
        <v>81</v>
      </c>
      <c r="C106" s="31">
        <v>129</v>
      </c>
      <c r="D106" s="40" t="str">
        <f t="shared" si="3"/>
        <v></v>
      </c>
    </row>
    <row r="107" spans="2:4" x14ac:dyDescent="0.25">
      <c r="B107" s="31" t="str">
        <f t="shared" si="2"/>
        <v>82</v>
      </c>
      <c r="C107" s="31">
        <v>130</v>
      </c>
      <c r="D107" s="40" t="str">
        <f t="shared" si="3"/>
        <v>‚</v>
      </c>
    </row>
    <row r="108" spans="2:4" x14ac:dyDescent="0.25">
      <c r="B108" s="31" t="str">
        <f t="shared" si="2"/>
        <v>83</v>
      </c>
      <c r="C108" s="31">
        <v>131</v>
      </c>
      <c r="D108" s="40" t="str">
        <f t="shared" si="3"/>
        <v>ƒ</v>
      </c>
    </row>
    <row r="109" spans="2:4" x14ac:dyDescent="0.25">
      <c r="B109" s="31" t="str">
        <f t="shared" si="2"/>
        <v>84</v>
      </c>
      <c r="C109" s="31">
        <v>132</v>
      </c>
      <c r="D109" s="40" t="str">
        <f t="shared" si="3"/>
        <v>„</v>
      </c>
    </row>
    <row r="110" spans="2:4" x14ac:dyDescent="0.25">
      <c r="B110" s="31" t="str">
        <f t="shared" si="2"/>
        <v>85</v>
      </c>
      <c r="C110" s="31">
        <v>133</v>
      </c>
      <c r="D110" s="40" t="str">
        <f t="shared" si="3"/>
        <v>…</v>
      </c>
    </row>
    <row r="111" spans="2:4" x14ac:dyDescent="0.25">
      <c r="B111" s="31" t="str">
        <f t="shared" si="2"/>
        <v>86</v>
      </c>
      <c r="C111" s="31">
        <v>134</v>
      </c>
      <c r="D111" s="40" t="str">
        <f t="shared" si="3"/>
        <v>†</v>
      </c>
    </row>
    <row r="112" spans="2:4" x14ac:dyDescent="0.25">
      <c r="B112" s="31" t="str">
        <f t="shared" si="2"/>
        <v>87</v>
      </c>
      <c r="C112" s="31">
        <v>135</v>
      </c>
      <c r="D112" s="40" t="str">
        <f t="shared" si="3"/>
        <v>‡</v>
      </c>
    </row>
    <row r="113" spans="2:4" x14ac:dyDescent="0.25">
      <c r="B113" s="31" t="str">
        <f t="shared" si="2"/>
        <v>88</v>
      </c>
      <c r="C113" s="31">
        <v>136</v>
      </c>
      <c r="D113" s="40" t="str">
        <f t="shared" si="3"/>
        <v>ˆ</v>
      </c>
    </row>
    <row r="114" spans="2:4" x14ac:dyDescent="0.25">
      <c r="B114" s="31" t="str">
        <f t="shared" si="2"/>
        <v>89</v>
      </c>
      <c r="C114" s="31">
        <v>137</v>
      </c>
      <c r="D114" s="40" t="str">
        <f t="shared" si="3"/>
        <v>‰</v>
      </c>
    </row>
    <row r="115" spans="2:4" x14ac:dyDescent="0.25">
      <c r="B115" s="31" t="str">
        <f t="shared" si="2"/>
        <v>8A</v>
      </c>
      <c r="C115" s="31">
        <v>138</v>
      </c>
      <c r="D115" s="40" t="str">
        <f t="shared" si="3"/>
        <v>Š</v>
      </c>
    </row>
    <row r="116" spans="2:4" x14ac:dyDescent="0.25">
      <c r="B116" s="31" t="str">
        <f t="shared" si="2"/>
        <v>8B</v>
      </c>
      <c r="C116" s="31">
        <v>139</v>
      </c>
      <c r="D116" s="40" t="str">
        <f t="shared" si="3"/>
        <v>‹</v>
      </c>
    </row>
    <row r="117" spans="2:4" x14ac:dyDescent="0.25">
      <c r="B117" s="31" t="str">
        <f t="shared" si="2"/>
        <v>8C</v>
      </c>
      <c r="C117" s="31">
        <v>140</v>
      </c>
      <c r="D117" s="40" t="str">
        <f t="shared" si="3"/>
        <v>Œ</v>
      </c>
    </row>
    <row r="118" spans="2:4" x14ac:dyDescent="0.25">
      <c r="B118" s="31" t="str">
        <f t="shared" si="2"/>
        <v>8D</v>
      </c>
      <c r="C118" s="31">
        <v>141</v>
      </c>
      <c r="D118" s="40" t="str">
        <f t="shared" si="3"/>
        <v></v>
      </c>
    </row>
    <row r="119" spans="2:4" x14ac:dyDescent="0.25">
      <c r="B119" s="31" t="str">
        <f t="shared" si="2"/>
        <v>8E</v>
      </c>
      <c r="C119" s="31">
        <v>142</v>
      </c>
      <c r="D119" s="40" t="str">
        <f t="shared" si="3"/>
        <v>Ž</v>
      </c>
    </row>
    <row r="120" spans="2:4" x14ac:dyDescent="0.25">
      <c r="B120" s="31" t="str">
        <f t="shared" si="2"/>
        <v>8F</v>
      </c>
      <c r="C120" s="31">
        <v>143</v>
      </c>
      <c r="D120" s="40" t="str">
        <f t="shared" si="3"/>
        <v></v>
      </c>
    </row>
    <row r="121" spans="2:4" x14ac:dyDescent="0.25">
      <c r="B121" s="31" t="str">
        <f t="shared" si="2"/>
        <v>90</v>
      </c>
      <c r="C121" s="31">
        <v>144</v>
      </c>
      <c r="D121" s="40" t="str">
        <f t="shared" si="3"/>
        <v></v>
      </c>
    </row>
    <row r="122" spans="2:4" x14ac:dyDescent="0.25">
      <c r="B122" s="31" t="str">
        <f t="shared" si="2"/>
        <v>91</v>
      </c>
      <c r="C122" s="31">
        <v>145</v>
      </c>
      <c r="D122" s="40" t="str">
        <f t="shared" si="3"/>
        <v>‘</v>
      </c>
    </row>
    <row r="123" spans="2:4" x14ac:dyDescent="0.25">
      <c r="B123" s="31" t="str">
        <f t="shared" si="2"/>
        <v>92</v>
      </c>
      <c r="C123" s="31">
        <v>146</v>
      </c>
      <c r="D123" s="40" t="str">
        <f t="shared" si="3"/>
        <v>’</v>
      </c>
    </row>
    <row r="124" spans="2:4" x14ac:dyDescent="0.25">
      <c r="B124" s="31" t="str">
        <f t="shared" si="2"/>
        <v>93</v>
      </c>
      <c r="C124" s="31">
        <v>147</v>
      </c>
      <c r="D124" s="40" t="str">
        <f t="shared" si="3"/>
        <v>“</v>
      </c>
    </row>
    <row r="125" spans="2:4" x14ac:dyDescent="0.25">
      <c r="B125" s="31" t="str">
        <f t="shared" si="2"/>
        <v>94</v>
      </c>
      <c r="C125" s="31">
        <v>148</v>
      </c>
      <c r="D125" s="40" t="str">
        <f t="shared" si="3"/>
        <v>”</v>
      </c>
    </row>
    <row r="126" spans="2:4" x14ac:dyDescent="0.25">
      <c r="B126" s="31" t="str">
        <f t="shared" si="2"/>
        <v>95</v>
      </c>
      <c r="C126" s="31">
        <v>149</v>
      </c>
      <c r="D126" s="40" t="str">
        <f t="shared" si="3"/>
        <v>•</v>
      </c>
    </row>
    <row r="127" spans="2:4" x14ac:dyDescent="0.25">
      <c r="B127" s="31" t="str">
        <f t="shared" si="2"/>
        <v>96</v>
      </c>
      <c r="C127" s="31">
        <v>150</v>
      </c>
      <c r="D127" s="40" t="str">
        <f t="shared" si="3"/>
        <v>–</v>
      </c>
    </row>
    <row r="128" spans="2:4" x14ac:dyDescent="0.25">
      <c r="B128" s="31" t="str">
        <f t="shared" si="2"/>
        <v>97</v>
      </c>
      <c r="C128" s="31">
        <v>151</v>
      </c>
      <c r="D128" s="40" t="str">
        <f t="shared" si="3"/>
        <v>—</v>
      </c>
    </row>
    <row r="129" spans="2:4" x14ac:dyDescent="0.25">
      <c r="B129" s="31" t="str">
        <f t="shared" si="2"/>
        <v>98</v>
      </c>
      <c r="C129" s="31">
        <v>152</v>
      </c>
      <c r="D129" s="40" t="str">
        <f t="shared" si="3"/>
        <v>˜</v>
      </c>
    </row>
    <row r="130" spans="2:4" x14ac:dyDescent="0.25">
      <c r="B130" s="31" t="str">
        <f t="shared" si="2"/>
        <v>99</v>
      </c>
      <c r="C130" s="31">
        <v>153</v>
      </c>
      <c r="D130" s="40" t="str">
        <f t="shared" si="3"/>
        <v>™</v>
      </c>
    </row>
    <row r="131" spans="2:4" x14ac:dyDescent="0.25">
      <c r="B131" s="31" t="str">
        <f t="shared" si="2"/>
        <v>9A</v>
      </c>
      <c r="C131" s="31">
        <v>154</v>
      </c>
      <c r="D131" s="40" t="str">
        <f t="shared" si="3"/>
        <v>š</v>
      </c>
    </row>
    <row r="132" spans="2:4" x14ac:dyDescent="0.25">
      <c r="B132" s="31" t="str">
        <f t="shared" si="2"/>
        <v>9B</v>
      </c>
      <c r="C132" s="31">
        <v>155</v>
      </c>
      <c r="D132" s="40" t="str">
        <f t="shared" si="3"/>
        <v>›</v>
      </c>
    </row>
    <row r="133" spans="2:4" x14ac:dyDescent="0.25">
      <c r="B133" s="31" t="str">
        <f t="shared" si="2"/>
        <v>9C</v>
      </c>
      <c r="C133" s="31">
        <v>156</v>
      </c>
      <c r="D133" s="40" t="str">
        <f t="shared" si="3"/>
        <v>œ</v>
      </c>
    </row>
    <row r="134" spans="2:4" x14ac:dyDescent="0.25">
      <c r="B134" s="31" t="str">
        <f t="shared" si="2"/>
        <v>9D</v>
      </c>
      <c r="C134" s="31">
        <v>157</v>
      </c>
      <c r="D134" s="40" t="str">
        <f t="shared" si="3"/>
        <v></v>
      </c>
    </row>
    <row r="135" spans="2:4" x14ac:dyDescent="0.25">
      <c r="B135" s="31" t="str">
        <f t="shared" si="2"/>
        <v>9E</v>
      </c>
      <c r="C135" s="31">
        <v>158</v>
      </c>
      <c r="D135" s="40" t="str">
        <f t="shared" si="3"/>
        <v>ž</v>
      </c>
    </row>
    <row r="136" spans="2:4" x14ac:dyDescent="0.25">
      <c r="B136" s="31" t="str">
        <f t="shared" si="2"/>
        <v>9F</v>
      </c>
      <c r="C136" s="31">
        <v>159</v>
      </c>
      <c r="D136" s="40" t="str">
        <f t="shared" si="3"/>
        <v>Ÿ</v>
      </c>
    </row>
    <row r="137" spans="2:4" x14ac:dyDescent="0.25">
      <c r="B137" s="31" t="str">
        <f t="shared" si="2"/>
        <v>A0</v>
      </c>
      <c r="C137" s="31">
        <v>160</v>
      </c>
      <c r="D137" s="40" t="str">
        <f t="shared" si="3"/>
        <v> </v>
      </c>
    </row>
    <row r="138" spans="2:4" x14ac:dyDescent="0.25">
      <c r="B138" s="31" t="str">
        <f t="shared" si="2"/>
        <v>A1</v>
      </c>
      <c r="C138" s="31">
        <v>161</v>
      </c>
      <c r="D138" s="40" t="str">
        <f t="shared" si="3"/>
        <v>¡</v>
      </c>
    </row>
    <row r="139" spans="2:4" x14ac:dyDescent="0.25">
      <c r="B139" s="31" t="str">
        <f t="shared" si="2"/>
        <v>A2</v>
      </c>
      <c r="C139" s="31">
        <v>162</v>
      </c>
      <c r="D139" s="40" t="str">
        <f t="shared" si="3"/>
        <v>¢</v>
      </c>
    </row>
    <row r="140" spans="2:4" x14ac:dyDescent="0.25">
      <c r="B140" s="31" t="str">
        <f t="shared" si="2"/>
        <v>A3</v>
      </c>
      <c r="C140" s="31">
        <v>163</v>
      </c>
      <c r="D140" s="40" t="str">
        <f t="shared" si="3"/>
        <v>£</v>
      </c>
    </row>
    <row r="141" spans="2:4" x14ac:dyDescent="0.25">
      <c r="B141" s="31" t="str">
        <f t="shared" ref="B141:B204" si="4">DEC2HEX(C141)</f>
        <v>A4</v>
      </c>
      <c r="C141" s="31">
        <v>164</v>
      </c>
      <c r="D141" s="40" t="str">
        <f t="shared" ref="D141:D204" si="5">CHAR(C141)</f>
        <v>¤</v>
      </c>
    </row>
    <row r="142" spans="2:4" x14ac:dyDescent="0.25">
      <c r="B142" s="31" t="str">
        <f t="shared" si="4"/>
        <v>A5</v>
      </c>
      <c r="C142" s="31">
        <v>165</v>
      </c>
      <c r="D142" s="40" t="str">
        <f t="shared" si="5"/>
        <v>¥</v>
      </c>
    </row>
    <row r="143" spans="2:4" x14ac:dyDescent="0.25">
      <c r="B143" s="31" t="str">
        <f t="shared" si="4"/>
        <v>A6</v>
      </c>
      <c r="C143" s="31">
        <v>166</v>
      </c>
      <c r="D143" s="40" t="str">
        <f t="shared" si="5"/>
        <v>¦</v>
      </c>
    </row>
    <row r="144" spans="2:4" x14ac:dyDescent="0.25">
      <c r="B144" s="31" t="str">
        <f t="shared" si="4"/>
        <v>A7</v>
      </c>
      <c r="C144" s="31">
        <v>167</v>
      </c>
      <c r="D144" s="40" t="str">
        <f t="shared" si="5"/>
        <v>§</v>
      </c>
    </row>
    <row r="145" spans="2:4" x14ac:dyDescent="0.25">
      <c r="B145" s="31" t="str">
        <f t="shared" si="4"/>
        <v>A8</v>
      </c>
      <c r="C145" s="31">
        <v>168</v>
      </c>
      <c r="D145" s="40" t="str">
        <f t="shared" si="5"/>
        <v>¨</v>
      </c>
    </row>
    <row r="146" spans="2:4" x14ac:dyDescent="0.25">
      <c r="B146" s="31" t="str">
        <f t="shared" si="4"/>
        <v>A9</v>
      </c>
      <c r="C146" s="31">
        <v>169</v>
      </c>
      <c r="D146" s="40" t="str">
        <f t="shared" si="5"/>
        <v>©</v>
      </c>
    </row>
    <row r="147" spans="2:4" x14ac:dyDescent="0.25">
      <c r="B147" s="31" t="str">
        <f t="shared" si="4"/>
        <v>AA</v>
      </c>
      <c r="C147" s="31">
        <v>170</v>
      </c>
      <c r="D147" s="40" t="str">
        <f t="shared" si="5"/>
        <v>ª</v>
      </c>
    </row>
    <row r="148" spans="2:4" x14ac:dyDescent="0.25">
      <c r="B148" s="31" t="str">
        <f t="shared" si="4"/>
        <v>AB</v>
      </c>
      <c r="C148" s="31">
        <v>171</v>
      </c>
      <c r="D148" s="40" t="str">
        <f t="shared" si="5"/>
        <v>«</v>
      </c>
    </row>
    <row r="149" spans="2:4" x14ac:dyDescent="0.25">
      <c r="B149" s="31" t="str">
        <f t="shared" si="4"/>
        <v>AC</v>
      </c>
      <c r="C149" s="31">
        <v>172</v>
      </c>
      <c r="D149" s="40" t="str">
        <f t="shared" si="5"/>
        <v>¬</v>
      </c>
    </row>
    <row r="150" spans="2:4" x14ac:dyDescent="0.25">
      <c r="B150" s="31" t="str">
        <f t="shared" si="4"/>
        <v>AD</v>
      </c>
      <c r="C150" s="31">
        <v>173</v>
      </c>
      <c r="D150" s="41" t="str">
        <f t="shared" si="5"/>
        <v>­</v>
      </c>
    </row>
    <row r="151" spans="2:4" x14ac:dyDescent="0.25">
      <c r="B151" s="31" t="str">
        <f t="shared" si="4"/>
        <v>AE</v>
      </c>
      <c r="C151" s="31">
        <v>174</v>
      </c>
      <c r="D151" s="40" t="str">
        <f t="shared" si="5"/>
        <v>®</v>
      </c>
    </row>
    <row r="152" spans="2:4" x14ac:dyDescent="0.25">
      <c r="B152" s="31" t="str">
        <f t="shared" si="4"/>
        <v>AF</v>
      </c>
      <c r="C152" s="31">
        <v>175</v>
      </c>
      <c r="D152" s="40" t="str">
        <f t="shared" si="5"/>
        <v>¯</v>
      </c>
    </row>
    <row r="153" spans="2:4" x14ac:dyDescent="0.25">
      <c r="B153" s="31" t="str">
        <f t="shared" si="4"/>
        <v>B0</v>
      </c>
      <c r="C153" s="31">
        <v>176</v>
      </c>
      <c r="D153" s="40" t="str">
        <f t="shared" si="5"/>
        <v>°</v>
      </c>
    </row>
    <row r="154" spans="2:4" x14ac:dyDescent="0.25">
      <c r="B154" s="31" t="str">
        <f t="shared" si="4"/>
        <v>B1</v>
      </c>
      <c r="C154" s="31">
        <v>177</v>
      </c>
      <c r="D154" s="40" t="str">
        <f t="shared" si="5"/>
        <v>±</v>
      </c>
    </row>
    <row r="155" spans="2:4" x14ac:dyDescent="0.25">
      <c r="B155" s="31" t="str">
        <f t="shared" si="4"/>
        <v>B2</v>
      </c>
      <c r="C155" s="31">
        <v>178</v>
      </c>
      <c r="D155" s="40" t="str">
        <f t="shared" si="5"/>
        <v>²</v>
      </c>
    </row>
    <row r="156" spans="2:4" x14ac:dyDescent="0.25">
      <c r="B156" s="31" t="str">
        <f t="shared" si="4"/>
        <v>B3</v>
      </c>
      <c r="C156" s="31">
        <v>179</v>
      </c>
      <c r="D156" s="40" t="str">
        <f t="shared" si="5"/>
        <v>³</v>
      </c>
    </row>
    <row r="157" spans="2:4" x14ac:dyDescent="0.25">
      <c r="B157" s="31" t="str">
        <f t="shared" si="4"/>
        <v>B4</v>
      </c>
      <c r="C157" s="31">
        <v>180</v>
      </c>
      <c r="D157" s="40" t="str">
        <f t="shared" si="5"/>
        <v>´</v>
      </c>
    </row>
    <row r="158" spans="2:4" x14ac:dyDescent="0.25">
      <c r="B158" s="31" t="str">
        <f t="shared" si="4"/>
        <v>B5</v>
      </c>
      <c r="C158" s="31">
        <v>181</v>
      </c>
      <c r="D158" s="40" t="str">
        <f t="shared" si="5"/>
        <v>µ</v>
      </c>
    </row>
    <row r="159" spans="2:4" x14ac:dyDescent="0.25">
      <c r="B159" s="31" t="str">
        <f t="shared" si="4"/>
        <v>B6</v>
      </c>
      <c r="C159" s="31">
        <v>182</v>
      </c>
      <c r="D159" s="40" t="str">
        <f t="shared" si="5"/>
        <v>¶</v>
      </c>
    </row>
    <row r="160" spans="2:4" x14ac:dyDescent="0.25">
      <c r="B160" s="31" t="str">
        <f t="shared" si="4"/>
        <v>B7</v>
      </c>
      <c r="C160" s="31">
        <v>183</v>
      </c>
      <c r="D160" s="40" t="str">
        <f t="shared" si="5"/>
        <v>·</v>
      </c>
    </row>
    <row r="161" spans="2:4" x14ac:dyDescent="0.25">
      <c r="B161" s="31" t="str">
        <f t="shared" si="4"/>
        <v>B8</v>
      </c>
      <c r="C161" s="31">
        <v>184</v>
      </c>
      <c r="D161" s="40" t="str">
        <f t="shared" si="5"/>
        <v>¸</v>
      </c>
    </row>
    <row r="162" spans="2:4" x14ac:dyDescent="0.25">
      <c r="B162" s="31" t="str">
        <f t="shared" si="4"/>
        <v>B9</v>
      </c>
      <c r="C162" s="31">
        <v>185</v>
      </c>
      <c r="D162" s="40" t="str">
        <f t="shared" si="5"/>
        <v>¹</v>
      </c>
    </row>
    <row r="163" spans="2:4" x14ac:dyDescent="0.25">
      <c r="B163" s="31" t="str">
        <f t="shared" si="4"/>
        <v>BA</v>
      </c>
      <c r="C163" s="31">
        <v>186</v>
      </c>
      <c r="D163" s="40" t="str">
        <f t="shared" si="5"/>
        <v>º</v>
      </c>
    </row>
    <row r="164" spans="2:4" x14ac:dyDescent="0.25">
      <c r="B164" s="31" t="str">
        <f t="shared" si="4"/>
        <v>BB</v>
      </c>
      <c r="C164" s="31">
        <v>187</v>
      </c>
      <c r="D164" s="40" t="str">
        <f t="shared" si="5"/>
        <v>»</v>
      </c>
    </row>
    <row r="165" spans="2:4" x14ac:dyDescent="0.25">
      <c r="B165" s="31" t="str">
        <f t="shared" si="4"/>
        <v>BC</v>
      </c>
      <c r="C165" s="31">
        <v>188</v>
      </c>
      <c r="D165" s="40" t="str">
        <f t="shared" si="5"/>
        <v>¼</v>
      </c>
    </row>
    <row r="166" spans="2:4" x14ac:dyDescent="0.25">
      <c r="B166" s="31" t="str">
        <f t="shared" si="4"/>
        <v>BD</v>
      </c>
      <c r="C166" s="31">
        <v>189</v>
      </c>
      <c r="D166" s="40" t="str">
        <f t="shared" si="5"/>
        <v>½</v>
      </c>
    </row>
    <row r="167" spans="2:4" x14ac:dyDescent="0.25">
      <c r="B167" s="31" t="str">
        <f t="shared" si="4"/>
        <v>BE</v>
      </c>
      <c r="C167" s="31">
        <v>190</v>
      </c>
      <c r="D167" s="40" t="str">
        <f t="shared" si="5"/>
        <v>¾</v>
      </c>
    </row>
    <row r="168" spans="2:4" x14ac:dyDescent="0.25">
      <c r="B168" s="31" t="str">
        <f t="shared" si="4"/>
        <v>BF</v>
      </c>
      <c r="C168" s="31">
        <v>191</v>
      </c>
      <c r="D168" s="40" t="str">
        <f t="shared" si="5"/>
        <v>¿</v>
      </c>
    </row>
    <row r="169" spans="2:4" x14ac:dyDescent="0.25">
      <c r="B169" s="31" t="str">
        <f t="shared" si="4"/>
        <v>C0</v>
      </c>
      <c r="C169" s="31">
        <v>192</v>
      </c>
      <c r="D169" s="40" t="str">
        <f t="shared" si="5"/>
        <v>À</v>
      </c>
    </row>
    <row r="170" spans="2:4" x14ac:dyDescent="0.25">
      <c r="B170" s="31" t="str">
        <f t="shared" si="4"/>
        <v>C1</v>
      </c>
      <c r="C170" s="31">
        <v>193</v>
      </c>
      <c r="D170" s="40" t="str">
        <f t="shared" si="5"/>
        <v>Á</v>
      </c>
    </row>
    <row r="171" spans="2:4" x14ac:dyDescent="0.25">
      <c r="B171" s="31" t="str">
        <f t="shared" si="4"/>
        <v>C2</v>
      </c>
      <c r="C171" s="31">
        <v>194</v>
      </c>
      <c r="D171" s="40" t="str">
        <f t="shared" si="5"/>
        <v>Â</v>
      </c>
    </row>
    <row r="172" spans="2:4" x14ac:dyDescent="0.25">
      <c r="B172" s="31" t="str">
        <f t="shared" si="4"/>
        <v>C3</v>
      </c>
      <c r="C172" s="31">
        <v>195</v>
      </c>
      <c r="D172" s="40" t="str">
        <f t="shared" si="5"/>
        <v>Ã</v>
      </c>
    </row>
    <row r="173" spans="2:4" x14ac:dyDescent="0.25">
      <c r="B173" s="31" t="str">
        <f t="shared" si="4"/>
        <v>C4</v>
      </c>
      <c r="C173" s="31">
        <v>196</v>
      </c>
      <c r="D173" s="40" t="str">
        <f t="shared" si="5"/>
        <v>Ä</v>
      </c>
    </row>
    <row r="174" spans="2:4" x14ac:dyDescent="0.25">
      <c r="B174" s="31" t="str">
        <f t="shared" si="4"/>
        <v>C5</v>
      </c>
      <c r="C174" s="31">
        <v>197</v>
      </c>
      <c r="D174" s="40" t="str">
        <f t="shared" si="5"/>
        <v>Å</v>
      </c>
    </row>
    <row r="175" spans="2:4" x14ac:dyDescent="0.25">
      <c r="B175" s="31" t="str">
        <f t="shared" si="4"/>
        <v>C6</v>
      </c>
      <c r="C175" s="31">
        <v>198</v>
      </c>
      <c r="D175" s="40" t="str">
        <f t="shared" si="5"/>
        <v>Æ</v>
      </c>
    </row>
    <row r="176" spans="2:4" x14ac:dyDescent="0.25">
      <c r="B176" s="31" t="str">
        <f t="shared" si="4"/>
        <v>C7</v>
      </c>
      <c r="C176" s="31">
        <v>199</v>
      </c>
      <c r="D176" s="40" t="str">
        <f t="shared" si="5"/>
        <v>Ç</v>
      </c>
    </row>
    <row r="177" spans="2:4" x14ac:dyDescent="0.25">
      <c r="B177" s="31" t="str">
        <f t="shared" si="4"/>
        <v>C8</v>
      </c>
      <c r="C177" s="31">
        <v>200</v>
      </c>
      <c r="D177" s="40" t="str">
        <f t="shared" si="5"/>
        <v>È</v>
      </c>
    </row>
    <row r="178" spans="2:4" x14ac:dyDescent="0.25">
      <c r="B178" s="31" t="str">
        <f t="shared" si="4"/>
        <v>C9</v>
      </c>
      <c r="C178" s="31">
        <v>201</v>
      </c>
      <c r="D178" s="40" t="str">
        <f t="shared" si="5"/>
        <v>É</v>
      </c>
    </row>
    <row r="179" spans="2:4" x14ac:dyDescent="0.25">
      <c r="B179" s="31" t="str">
        <f t="shared" si="4"/>
        <v>CA</v>
      </c>
      <c r="C179" s="31">
        <v>202</v>
      </c>
      <c r="D179" s="40" t="str">
        <f t="shared" si="5"/>
        <v>Ê</v>
      </c>
    </row>
    <row r="180" spans="2:4" x14ac:dyDescent="0.25">
      <c r="B180" s="31" t="str">
        <f t="shared" si="4"/>
        <v>CB</v>
      </c>
      <c r="C180" s="31">
        <v>203</v>
      </c>
      <c r="D180" s="40" t="str">
        <f t="shared" si="5"/>
        <v>Ë</v>
      </c>
    </row>
    <row r="181" spans="2:4" x14ac:dyDescent="0.25">
      <c r="B181" s="31" t="str">
        <f t="shared" si="4"/>
        <v>CC</v>
      </c>
      <c r="C181" s="31">
        <v>204</v>
      </c>
      <c r="D181" s="40" t="str">
        <f t="shared" si="5"/>
        <v>Ì</v>
      </c>
    </row>
    <row r="182" spans="2:4" x14ac:dyDescent="0.25">
      <c r="B182" s="31" t="str">
        <f t="shared" si="4"/>
        <v>CD</v>
      </c>
      <c r="C182" s="31">
        <v>205</v>
      </c>
      <c r="D182" s="40" t="str">
        <f t="shared" si="5"/>
        <v>Í</v>
      </c>
    </row>
    <row r="183" spans="2:4" x14ac:dyDescent="0.25">
      <c r="B183" s="31" t="str">
        <f t="shared" si="4"/>
        <v>CE</v>
      </c>
      <c r="C183" s="31">
        <v>206</v>
      </c>
      <c r="D183" s="40" t="str">
        <f t="shared" si="5"/>
        <v>Î</v>
      </c>
    </row>
    <row r="184" spans="2:4" x14ac:dyDescent="0.25">
      <c r="B184" s="31" t="str">
        <f t="shared" si="4"/>
        <v>CF</v>
      </c>
      <c r="C184" s="31">
        <v>207</v>
      </c>
      <c r="D184" s="40" t="str">
        <f t="shared" si="5"/>
        <v>Ï</v>
      </c>
    </row>
    <row r="185" spans="2:4" x14ac:dyDescent="0.25">
      <c r="B185" s="31" t="str">
        <f t="shared" si="4"/>
        <v>D0</v>
      </c>
      <c r="C185" s="31">
        <v>208</v>
      </c>
      <c r="D185" s="40" t="str">
        <f t="shared" si="5"/>
        <v>Ð</v>
      </c>
    </row>
    <row r="186" spans="2:4" x14ac:dyDescent="0.25">
      <c r="B186" s="31" t="str">
        <f t="shared" si="4"/>
        <v>D1</v>
      </c>
      <c r="C186" s="31">
        <v>209</v>
      </c>
      <c r="D186" s="40" t="str">
        <f t="shared" si="5"/>
        <v>Ñ</v>
      </c>
    </row>
    <row r="187" spans="2:4" x14ac:dyDescent="0.25">
      <c r="B187" s="31" t="str">
        <f t="shared" si="4"/>
        <v>D2</v>
      </c>
      <c r="C187" s="31">
        <v>210</v>
      </c>
      <c r="D187" s="40" t="str">
        <f t="shared" si="5"/>
        <v>Ò</v>
      </c>
    </row>
    <row r="188" spans="2:4" x14ac:dyDescent="0.25">
      <c r="B188" s="31" t="str">
        <f t="shared" si="4"/>
        <v>D3</v>
      </c>
      <c r="C188" s="31">
        <v>211</v>
      </c>
      <c r="D188" s="40" t="str">
        <f t="shared" si="5"/>
        <v>Ó</v>
      </c>
    </row>
    <row r="189" spans="2:4" x14ac:dyDescent="0.25">
      <c r="B189" s="31" t="str">
        <f t="shared" si="4"/>
        <v>D4</v>
      </c>
      <c r="C189" s="31">
        <v>212</v>
      </c>
      <c r="D189" s="40" t="str">
        <f t="shared" si="5"/>
        <v>Ô</v>
      </c>
    </row>
    <row r="190" spans="2:4" x14ac:dyDescent="0.25">
      <c r="B190" s="31" t="str">
        <f t="shared" si="4"/>
        <v>D5</v>
      </c>
      <c r="C190" s="31">
        <v>213</v>
      </c>
      <c r="D190" s="40" t="str">
        <f t="shared" si="5"/>
        <v>Õ</v>
      </c>
    </row>
    <row r="191" spans="2:4" x14ac:dyDescent="0.25">
      <c r="B191" s="31" t="str">
        <f t="shared" si="4"/>
        <v>D6</v>
      </c>
      <c r="C191" s="31">
        <v>214</v>
      </c>
      <c r="D191" s="40" t="str">
        <f t="shared" si="5"/>
        <v>Ö</v>
      </c>
    </row>
    <row r="192" spans="2:4" x14ac:dyDescent="0.25">
      <c r="B192" s="31" t="str">
        <f t="shared" si="4"/>
        <v>D7</v>
      </c>
      <c r="C192" s="31">
        <v>215</v>
      </c>
      <c r="D192" s="40" t="str">
        <f t="shared" si="5"/>
        <v>×</v>
      </c>
    </row>
    <row r="193" spans="2:4" x14ac:dyDescent="0.25">
      <c r="B193" s="31" t="str">
        <f t="shared" si="4"/>
        <v>D8</v>
      </c>
      <c r="C193" s="31">
        <v>216</v>
      </c>
      <c r="D193" s="41" t="str">
        <f t="shared" si="5"/>
        <v>Ø</v>
      </c>
    </row>
    <row r="194" spans="2:4" x14ac:dyDescent="0.25">
      <c r="B194" s="31" t="str">
        <f t="shared" si="4"/>
        <v>D9</v>
      </c>
      <c r="C194" s="31">
        <v>217</v>
      </c>
      <c r="D194" s="40" t="str">
        <f t="shared" si="5"/>
        <v>Ù</v>
      </c>
    </row>
    <row r="195" spans="2:4" x14ac:dyDescent="0.25">
      <c r="B195" s="31" t="str">
        <f t="shared" si="4"/>
        <v>DA</v>
      </c>
      <c r="C195" s="31">
        <v>218</v>
      </c>
      <c r="D195" s="40" t="str">
        <f t="shared" si="5"/>
        <v>Ú</v>
      </c>
    </row>
    <row r="196" spans="2:4" x14ac:dyDescent="0.25">
      <c r="B196" s="31" t="str">
        <f t="shared" si="4"/>
        <v>DB</v>
      </c>
      <c r="C196" s="31">
        <v>219</v>
      </c>
      <c r="D196" s="40" t="str">
        <f t="shared" si="5"/>
        <v>Û</v>
      </c>
    </row>
    <row r="197" spans="2:4" x14ac:dyDescent="0.25">
      <c r="B197" s="31" t="str">
        <f t="shared" si="4"/>
        <v>DC</v>
      </c>
      <c r="C197" s="31">
        <v>220</v>
      </c>
      <c r="D197" s="40" t="str">
        <f t="shared" si="5"/>
        <v>Ü</v>
      </c>
    </row>
    <row r="198" spans="2:4" x14ac:dyDescent="0.25">
      <c r="B198" s="31" t="str">
        <f t="shared" si="4"/>
        <v>DD</v>
      </c>
      <c r="C198" s="31">
        <v>221</v>
      </c>
      <c r="D198" s="40" t="str">
        <f t="shared" si="5"/>
        <v>Ý</v>
      </c>
    </row>
    <row r="199" spans="2:4" x14ac:dyDescent="0.25">
      <c r="B199" s="31" t="str">
        <f t="shared" si="4"/>
        <v>DE</v>
      </c>
      <c r="C199" s="31">
        <v>222</v>
      </c>
      <c r="D199" s="40" t="str">
        <f t="shared" si="5"/>
        <v>Þ</v>
      </c>
    </row>
    <row r="200" spans="2:4" x14ac:dyDescent="0.25">
      <c r="B200" s="31" t="str">
        <f t="shared" si="4"/>
        <v>DF</v>
      </c>
      <c r="C200" s="31">
        <v>223</v>
      </c>
      <c r="D200" s="40" t="str">
        <f t="shared" si="5"/>
        <v>ß</v>
      </c>
    </row>
    <row r="201" spans="2:4" x14ac:dyDescent="0.25">
      <c r="B201" s="31" t="str">
        <f t="shared" si="4"/>
        <v>E0</v>
      </c>
      <c r="C201" s="31">
        <v>224</v>
      </c>
      <c r="D201" s="40" t="str">
        <f t="shared" si="5"/>
        <v>à</v>
      </c>
    </row>
    <row r="202" spans="2:4" x14ac:dyDescent="0.25">
      <c r="B202" s="31" t="str">
        <f t="shared" si="4"/>
        <v>E1</v>
      </c>
      <c r="C202" s="31">
        <v>225</v>
      </c>
      <c r="D202" s="40" t="str">
        <f t="shared" si="5"/>
        <v>á</v>
      </c>
    </row>
    <row r="203" spans="2:4" x14ac:dyDescent="0.25">
      <c r="B203" s="31" t="str">
        <f t="shared" si="4"/>
        <v>E2</v>
      </c>
      <c r="C203" s="31">
        <v>226</v>
      </c>
      <c r="D203" s="40" t="str">
        <f t="shared" si="5"/>
        <v>â</v>
      </c>
    </row>
    <row r="204" spans="2:4" x14ac:dyDescent="0.25">
      <c r="B204" s="31" t="str">
        <f t="shared" si="4"/>
        <v>E3</v>
      </c>
      <c r="C204" s="31">
        <v>227</v>
      </c>
      <c r="D204" s="40" t="str">
        <f t="shared" si="5"/>
        <v>ã</v>
      </c>
    </row>
    <row r="205" spans="2:4" x14ac:dyDescent="0.25">
      <c r="B205" s="31" t="str">
        <f t="shared" ref="B205:B268" si="6">DEC2HEX(C205)</f>
        <v>E4</v>
      </c>
      <c r="C205" s="31">
        <v>228</v>
      </c>
      <c r="D205" s="40" t="str">
        <f t="shared" ref="D205:D268" si="7">CHAR(C205)</f>
        <v>ä</v>
      </c>
    </row>
    <row r="206" spans="2:4" x14ac:dyDescent="0.25">
      <c r="B206" s="31" t="str">
        <f t="shared" si="6"/>
        <v>E5</v>
      </c>
      <c r="C206" s="31">
        <v>229</v>
      </c>
      <c r="D206" s="40" t="str">
        <f t="shared" si="7"/>
        <v>å</v>
      </c>
    </row>
    <row r="207" spans="2:4" x14ac:dyDescent="0.25">
      <c r="B207" s="31" t="str">
        <f t="shared" si="6"/>
        <v>E6</v>
      </c>
      <c r="C207" s="31">
        <v>230</v>
      </c>
      <c r="D207" s="40" t="str">
        <f t="shared" si="7"/>
        <v>æ</v>
      </c>
    </row>
    <row r="208" spans="2:4" x14ac:dyDescent="0.25">
      <c r="B208" s="31" t="str">
        <f t="shared" si="6"/>
        <v>E7</v>
      </c>
      <c r="C208" s="31">
        <v>231</v>
      </c>
      <c r="D208" s="40" t="str">
        <f t="shared" si="7"/>
        <v>ç</v>
      </c>
    </row>
    <row r="209" spans="2:4" x14ac:dyDescent="0.25">
      <c r="B209" s="31" t="str">
        <f t="shared" si="6"/>
        <v>E8</v>
      </c>
      <c r="C209" s="31">
        <v>232</v>
      </c>
      <c r="D209" s="40" t="str">
        <f t="shared" si="7"/>
        <v>è</v>
      </c>
    </row>
    <row r="210" spans="2:4" x14ac:dyDescent="0.25">
      <c r="B210" s="31" t="str">
        <f t="shared" si="6"/>
        <v>E9</v>
      </c>
      <c r="C210" s="31">
        <v>233</v>
      </c>
      <c r="D210" s="40" t="str">
        <f t="shared" si="7"/>
        <v>é</v>
      </c>
    </row>
    <row r="211" spans="2:4" x14ac:dyDescent="0.25">
      <c r="B211" s="31" t="str">
        <f t="shared" si="6"/>
        <v>EA</v>
      </c>
      <c r="C211" s="31">
        <v>234</v>
      </c>
      <c r="D211" s="40" t="str">
        <f t="shared" si="7"/>
        <v>ê</v>
      </c>
    </row>
    <row r="212" spans="2:4" x14ac:dyDescent="0.25">
      <c r="B212" s="31" t="str">
        <f t="shared" si="6"/>
        <v>EB</v>
      </c>
      <c r="C212" s="31">
        <v>235</v>
      </c>
      <c r="D212" s="40" t="str">
        <f t="shared" si="7"/>
        <v>ë</v>
      </c>
    </row>
    <row r="213" spans="2:4" x14ac:dyDescent="0.25">
      <c r="B213" s="31" t="str">
        <f t="shared" si="6"/>
        <v>EC</v>
      </c>
      <c r="C213" s="31">
        <v>236</v>
      </c>
      <c r="D213" s="40" t="str">
        <f t="shared" si="7"/>
        <v>ì</v>
      </c>
    </row>
    <row r="214" spans="2:4" x14ac:dyDescent="0.25">
      <c r="B214" s="31" t="str">
        <f t="shared" si="6"/>
        <v>ED</v>
      </c>
      <c r="C214" s="31">
        <v>237</v>
      </c>
      <c r="D214" s="40" t="str">
        <f t="shared" si="7"/>
        <v>í</v>
      </c>
    </row>
    <row r="215" spans="2:4" x14ac:dyDescent="0.25">
      <c r="B215" s="31" t="str">
        <f t="shared" si="6"/>
        <v>EE</v>
      </c>
      <c r="C215" s="31">
        <v>238</v>
      </c>
      <c r="D215" s="40" t="str">
        <f t="shared" si="7"/>
        <v>î</v>
      </c>
    </row>
    <row r="216" spans="2:4" x14ac:dyDescent="0.25">
      <c r="B216" s="31" t="str">
        <f t="shared" si="6"/>
        <v>EF</v>
      </c>
      <c r="C216" s="31">
        <v>239</v>
      </c>
      <c r="D216" s="40" t="str">
        <f t="shared" si="7"/>
        <v>ï</v>
      </c>
    </row>
    <row r="217" spans="2:4" x14ac:dyDescent="0.25">
      <c r="B217" s="31" t="str">
        <f t="shared" si="6"/>
        <v>F0</v>
      </c>
      <c r="C217" s="31">
        <v>240</v>
      </c>
      <c r="D217" s="40" t="str">
        <f t="shared" si="7"/>
        <v>ð</v>
      </c>
    </row>
    <row r="218" spans="2:4" x14ac:dyDescent="0.25">
      <c r="B218" s="31" t="str">
        <f t="shared" si="6"/>
        <v>F1</v>
      </c>
      <c r="C218" s="31">
        <v>241</v>
      </c>
      <c r="D218" s="40" t="str">
        <f t="shared" si="7"/>
        <v>ñ</v>
      </c>
    </row>
    <row r="219" spans="2:4" x14ac:dyDescent="0.25">
      <c r="B219" s="31" t="str">
        <f t="shared" si="6"/>
        <v>F2</v>
      </c>
      <c r="C219" s="31">
        <v>242</v>
      </c>
      <c r="D219" s="40" t="str">
        <f t="shared" si="7"/>
        <v>ò</v>
      </c>
    </row>
    <row r="220" spans="2:4" x14ac:dyDescent="0.25">
      <c r="B220" s="31" t="str">
        <f t="shared" si="6"/>
        <v>F3</v>
      </c>
      <c r="C220" s="31">
        <v>243</v>
      </c>
      <c r="D220" s="40" t="str">
        <f t="shared" si="7"/>
        <v>ó</v>
      </c>
    </row>
    <row r="221" spans="2:4" x14ac:dyDescent="0.25">
      <c r="B221" s="31" t="str">
        <f t="shared" si="6"/>
        <v>F4</v>
      </c>
      <c r="C221" s="31">
        <v>244</v>
      </c>
      <c r="D221" s="40" t="str">
        <f t="shared" si="7"/>
        <v>ô</v>
      </c>
    </row>
    <row r="222" spans="2:4" x14ac:dyDescent="0.25">
      <c r="B222" s="31" t="str">
        <f t="shared" si="6"/>
        <v>F5</v>
      </c>
      <c r="C222" s="31">
        <v>245</v>
      </c>
      <c r="D222" s="40" t="str">
        <f t="shared" si="7"/>
        <v>õ</v>
      </c>
    </row>
    <row r="223" spans="2:4" x14ac:dyDescent="0.25">
      <c r="B223" s="31" t="str">
        <f t="shared" si="6"/>
        <v>F6</v>
      </c>
      <c r="C223" s="31">
        <v>246</v>
      </c>
      <c r="D223" s="40" t="str">
        <f t="shared" si="7"/>
        <v>ö</v>
      </c>
    </row>
    <row r="224" spans="2:4" x14ac:dyDescent="0.25">
      <c r="B224" s="31" t="str">
        <f t="shared" si="6"/>
        <v>F7</v>
      </c>
      <c r="C224" s="31">
        <v>247</v>
      </c>
      <c r="D224" s="40" t="str">
        <f t="shared" si="7"/>
        <v>÷</v>
      </c>
    </row>
    <row r="225" spans="2:4" x14ac:dyDescent="0.25">
      <c r="B225" s="31" t="str">
        <f t="shared" si="6"/>
        <v>F8</v>
      </c>
      <c r="C225" s="31">
        <v>248</v>
      </c>
      <c r="D225" s="40" t="str">
        <f t="shared" si="7"/>
        <v>ø</v>
      </c>
    </row>
    <row r="226" spans="2:4" x14ac:dyDescent="0.25">
      <c r="B226" s="31" t="str">
        <f t="shared" si="6"/>
        <v>F9</v>
      </c>
      <c r="C226" s="31">
        <v>249</v>
      </c>
      <c r="D226" s="40" t="str">
        <f t="shared" si="7"/>
        <v>ù</v>
      </c>
    </row>
    <row r="227" spans="2:4" x14ac:dyDescent="0.25">
      <c r="B227" s="31" t="str">
        <f t="shared" si="6"/>
        <v>FA</v>
      </c>
      <c r="C227" s="31">
        <v>250</v>
      </c>
      <c r="D227" s="40" t="str">
        <f t="shared" si="7"/>
        <v>ú</v>
      </c>
    </row>
    <row r="228" spans="2:4" x14ac:dyDescent="0.25">
      <c r="B228" s="31" t="str">
        <f t="shared" si="6"/>
        <v>FB</v>
      </c>
      <c r="C228" s="31">
        <v>251</v>
      </c>
      <c r="D228" s="40" t="str">
        <f t="shared" si="7"/>
        <v>û</v>
      </c>
    </row>
    <row r="229" spans="2:4" x14ac:dyDescent="0.25">
      <c r="B229" s="31" t="str">
        <f t="shared" si="6"/>
        <v>FC</v>
      </c>
      <c r="C229" s="31">
        <v>252</v>
      </c>
      <c r="D229" s="41" t="str">
        <f t="shared" si="7"/>
        <v>ü</v>
      </c>
    </row>
    <row r="230" spans="2:4" x14ac:dyDescent="0.25">
      <c r="B230" s="31" t="str">
        <f t="shared" si="6"/>
        <v>FD</v>
      </c>
      <c r="C230" s="31">
        <v>253</v>
      </c>
      <c r="D230" s="40" t="str">
        <f t="shared" si="7"/>
        <v>ý</v>
      </c>
    </row>
    <row r="231" spans="2:4" x14ac:dyDescent="0.25">
      <c r="B231" s="31" t="str">
        <f t="shared" si="6"/>
        <v>FE</v>
      </c>
      <c r="C231" s="31">
        <v>254</v>
      </c>
      <c r="D231" s="40" t="str">
        <f t="shared" si="7"/>
        <v>þ</v>
      </c>
    </row>
    <row r="232" spans="2:4" x14ac:dyDescent="0.25">
      <c r="B232" s="31" t="str">
        <f t="shared" si="6"/>
        <v>FF</v>
      </c>
      <c r="C232" s="31">
        <v>255</v>
      </c>
      <c r="D232" s="40" t="str">
        <f t="shared" si="7"/>
        <v>ÿ</v>
      </c>
    </row>
    <row r="233" spans="2:4" x14ac:dyDescent="0.25">
      <c r="B233" s="31" t="str">
        <f t="shared" si="6"/>
        <v>100</v>
      </c>
      <c r="C233" s="31">
        <v>256</v>
      </c>
      <c r="D233" s="40" t="e">
        <f t="shared" si="7"/>
        <v>#VALUE!</v>
      </c>
    </row>
    <row r="234" spans="2:4" x14ac:dyDescent="0.25">
      <c r="B234" s="31" t="str">
        <f t="shared" si="6"/>
        <v>101</v>
      </c>
      <c r="C234" s="31">
        <v>257</v>
      </c>
      <c r="D234" s="40" t="e">
        <f t="shared" si="7"/>
        <v>#VALUE!</v>
      </c>
    </row>
    <row r="235" spans="2:4" x14ac:dyDescent="0.25">
      <c r="B235" s="31" t="str">
        <f t="shared" si="6"/>
        <v>102</v>
      </c>
      <c r="C235" s="31">
        <v>258</v>
      </c>
      <c r="D235" s="40" t="e">
        <f t="shared" si="7"/>
        <v>#VALUE!</v>
      </c>
    </row>
    <row r="236" spans="2:4" x14ac:dyDescent="0.25">
      <c r="B236" s="31" t="str">
        <f t="shared" si="6"/>
        <v>103</v>
      </c>
      <c r="C236" s="31">
        <v>259</v>
      </c>
      <c r="D236" s="40" t="e">
        <f t="shared" si="7"/>
        <v>#VALUE!</v>
      </c>
    </row>
    <row r="237" spans="2:4" x14ac:dyDescent="0.25">
      <c r="B237" s="31" t="str">
        <f t="shared" si="6"/>
        <v>104</v>
      </c>
      <c r="C237" s="31">
        <v>260</v>
      </c>
      <c r="D237" s="40" t="e">
        <f t="shared" si="7"/>
        <v>#VALUE!</v>
      </c>
    </row>
    <row r="238" spans="2:4" x14ac:dyDescent="0.25">
      <c r="B238" s="31" t="str">
        <f t="shared" si="6"/>
        <v>105</v>
      </c>
      <c r="C238" s="31">
        <v>261</v>
      </c>
      <c r="D238" s="40" t="e">
        <f t="shared" si="7"/>
        <v>#VALUE!</v>
      </c>
    </row>
    <row r="239" spans="2:4" x14ac:dyDescent="0.25">
      <c r="B239" s="31" t="str">
        <f t="shared" si="6"/>
        <v>106</v>
      </c>
      <c r="C239" s="31">
        <v>262</v>
      </c>
      <c r="D239" s="40" t="e">
        <f t="shared" si="7"/>
        <v>#VALUE!</v>
      </c>
    </row>
    <row r="240" spans="2:4" x14ac:dyDescent="0.25">
      <c r="B240" s="31" t="str">
        <f t="shared" si="6"/>
        <v>107</v>
      </c>
      <c r="C240" s="31">
        <v>263</v>
      </c>
      <c r="D240" s="40" t="e">
        <f t="shared" si="7"/>
        <v>#VALUE!</v>
      </c>
    </row>
    <row r="241" spans="2:4" x14ac:dyDescent="0.25">
      <c r="B241" s="31" t="str">
        <f t="shared" si="6"/>
        <v>108</v>
      </c>
      <c r="C241" s="31">
        <v>264</v>
      </c>
      <c r="D241" s="40" t="e">
        <f t="shared" si="7"/>
        <v>#VALUE!</v>
      </c>
    </row>
    <row r="242" spans="2:4" x14ac:dyDescent="0.25">
      <c r="B242" s="31" t="str">
        <f t="shared" si="6"/>
        <v>109</v>
      </c>
      <c r="C242" s="31">
        <v>265</v>
      </c>
      <c r="D242" s="40" t="e">
        <f t="shared" si="7"/>
        <v>#VALUE!</v>
      </c>
    </row>
    <row r="243" spans="2:4" x14ac:dyDescent="0.25">
      <c r="B243" s="31" t="str">
        <f t="shared" si="6"/>
        <v>10A</v>
      </c>
      <c r="C243" s="31">
        <v>266</v>
      </c>
      <c r="D243" s="40" t="e">
        <f t="shared" si="7"/>
        <v>#VALUE!</v>
      </c>
    </row>
    <row r="244" spans="2:4" x14ac:dyDescent="0.25">
      <c r="B244" s="31" t="str">
        <f t="shared" si="6"/>
        <v>10B</v>
      </c>
      <c r="C244" s="31">
        <v>267</v>
      </c>
      <c r="D244" s="40" t="e">
        <f t="shared" si="7"/>
        <v>#VALUE!</v>
      </c>
    </row>
    <row r="245" spans="2:4" x14ac:dyDescent="0.25">
      <c r="B245" s="31" t="str">
        <f t="shared" si="6"/>
        <v>10C</v>
      </c>
      <c r="C245" s="31">
        <v>268</v>
      </c>
      <c r="D245" s="40" t="e">
        <f t="shared" si="7"/>
        <v>#VALUE!</v>
      </c>
    </row>
    <row r="246" spans="2:4" x14ac:dyDescent="0.25">
      <c r="B246" s="31" t="str">
        <f t="shared" si="6"/>
        <v>10D</v>
      </c>
      <c r="C246" s="31">
        <v>269</v>
      </c>
      <c r="D246" s="40" t="e">
        <f t="shared" si="7"/>
        <v>#VALUE!</v>
      </c>
    </row>
    <row r="247" spans="2:4" x14ac:dyDescent="0.25">
      <c r="B247" s="31" t="str">
        <f t="shared" si="6"/>
        <v>10E</v>
      </c>
      <c r="C247" s="31">
        <v>270</v>
      </c>
      <c r="D247" s="40" t="e">
        <f t="shared" si="7"/>
        <v>#VALUE!</v>
      </c>
    </row>
    <row r="248" spans="2:4" x14ac:dyDescent="0.25">
      <c r="B248" s="31" t="str">
        <f t="shared" si="6"/>
        <v>10F</v>
      </c>
      <c r="C248" s="31">
        <v>271</v>
      </c>
      <c r="D248" s="40" t="e">
        <f t="shared" si="7"/>
        <v>#VALUE!</v>
      </c>
    </row>
    <row r="249" spans="2:4" x14ac:dyDescent="0.25">
      <c r="B249" s="31" t="str">
        <f t="shared" si="6"/>
        <v>110</v>
      </c>
      <c r="C249" s="31">
        <v>272</v>
      </c>
      <c r="D249" s="40" t="e">
        <f t="shared" si="7"/>
        <v>#VALUE!</v>
      </c>
    </row>
    <row r="250" spans="2:4" x14ac:dyDescent="0.25">
      <c r="B250" s="31" t="str">
        <f t="shared" si="6"/>
        <v>111</v>
      </c>
      <c r="C250" s="31">
        <v>273</v>
      </c>
      <c r="D250" s="40" t="e">
        <f t="shared" si="7"/>
        <v>#VALUE!</v>
      </c>
    </row>
    <row r="251" spans="2:4" x14ac:dyDescent="0.25">
      <c r="B251" s="31" t="str">
        <f t="shared" si="6"/>
        <v>112</v>
      </c>
      <c r="C251" s="31">
        <v>274</v>
      </c>
      <c r="D251" s="40" t="e">
        <f t="shared" si="7"/>
        <v>#VALUE!</v>
      </c>
    </row>
    <row r="252" spans="2:4" x14ac:dyDescent="0.25">
      <c r="B252" s="31" t="str">
        <f t="shared" si="6"/>
        <v>113</v>
      </c>
      <c r="C252" s="31">
        <v>275</v>
      </c>
      <c r="D252" s="40" t="e">
        <f t="shared" si="7"/>
        <v>#VALUE!</v>
      </c>
    </row>
    <row r="253" spans="2:4" x14ac:dyDescent="0.25">
      <c r="B253" s="31" t="str">
        <f t="shared" si="6"/>
        <v>114</v>
      </c>
      <c r="C253" s="31">
        <v>276</v>
      </c>
      <c r="D253" s="40" t="e">
        <f t="shared" si="7"/>
        <v>#VALUE!</v>
      </c>
    </row>
    <row r="254" spans="2:4" x14ac:dyDescent="0.25">
      <c r="B254" s="31" t="str">
        <f t="shared" si="6"/>
        <v>115</v>
      </c>
      <c r="C254" s="31">
        <v>277</v>
      </c>
      <c r="D254" s="40" t="e">
        <f t="shared" si="7"/>
        <v>#VALUE!</v>
      </c>
    </row>
    <row r="255" spans="2:4" x14ac:dyDescent="0.25">
      <c r="B255" s="31" t="str">
        <f t="shared" si="6"/>
        <v>116</v>
      </c>
      <c r="C255" s="31">
        <v>278</v>
      </c>
      <c r="D255" s="40" t="e">
        <f t="shared" si="7"/>
        <v>#VALUE!</v>
      </c>
    </row>
    <row r="256" spans="2:4" x14ac:dyDescent="0.25">
      <c r="B256" s="31" t="str">
        <f t="shared" si="6"/>
        <v>117</v>
      </c>
      <c r="C256" s="31">
        <v>279</v>
      </c>
      <c r="D256" s="40" t="e">
        <f t="shared" si="7"/>
        <v>#VALUE!</v>
      </c>
    </row>
    <row r="257" spans="2:4" x14ac:dyDescent="0.25">
      <c r="B257" s="31" t="str">
        <f t="shared" si="6"/>
        <v>118</v>
      </c>
      <c r="C257" s="31">
        <v>280</v>
      </c>
      <c r="D257" s="40" t="e">
        <f t="shared" si="7"/>
        <v>#VALUE!</v>
      </c>
    </row>
    <row r="258" spans="2:4" x14ac:dyDescent="0.25">
      <c r="B258" s="31" t="str">
        <f t="shared" si="6"/>
        <v>119</v>
      </c>
      <c r="C258" s="31">
        <v>281</v>
      </c>
      <c r="D258" s="40" t="e">
        <f t="shared" si="7"/>
        <v>#VALUE!</v>
      </c>
    </row>
    <row r="259" spans="2:4" x14ac:dyDescent="0.25">
      <c r="B259" s="31" t="str">
        <f t="shared" si="6"/>
        <v>11A</v>
      </c>
      <c r="C259" s="31">
        <v>282</v>
      </c>
      <c r="D259" s="40" t="e">
        <f t="shared" si="7"/>
        <v>#VALUE!</v>
      </c>
    </row>
    <row r="260" spans="2:4" x14ac:dyDescent="0.25">
      <c r="B260" s="31" t="str">
        <f t="shared" si="6"/>
        <v>11B</v>
      </c>
      <c r="C260" s="31">
        <v>283</v>
      </c>
      <c r="D260" s="40" t="e">
        <f t="shared" si="7"/>
        <v>#VALUE!</v>
      </c>
    </row>
    <row r="261" spans="2:4" x14ac:dyDescent="0.25">
      <c r="B261" s="31" t="str">
        <f t="shared" si="6"/>
        <v>11C</v>
      </c>
      <c r="C261" s="31">
        <v>284</v>
      </c>
      <c r="D261" s="40" t="e">
        <f t="shared" si="7"/>
        <v>#VALUE!</v>
      </c>
    </row>
    <row r="262" spans="2:4" x14ac:dyDescent="0.25">
      <c r="B262" s="31" t="str">
        <f t="shared" si="6"/>
        <v>11D</v>
      </c>
      <c r="C262" s="31">
        <v>285</v>
      </c>
      <c r="D262" s="40" t="e">
        <f t="shared" si="7"/>
        <v>#VALUE!</v>
      </c>
    </row>
    <row r="263" spans="2:4" x14ac:dyDescent="0.25">
      <c r="B263" s="31" t="str">
        <f t="shared" si="6"/>
        <v>11E</v>
      </c>
      <c r="C263" s="31">
        <v>286</v>
      </c>
      <c r="D263" s="40" t="e">
        <f t="shared" si="7"/>
        <v>#VALUE!</v>
      </c>
    </row>
    <row r="264" spans="2:4" x14ac:dyDescent="0.25">
      <c r="B264" s="31" t="str">
        <f t="shared" si="6"/>
        <v>11F</v>
      </c>
      <c r="C264" s="31">
        <v>287</v>
      </c>
      <c r="D264" s="40" t="e">
        <f t="shared" si="7"/>
        <v>#VALUE!</v>
      </c>
    </row>
    <row r="265" spans="2:4" x14ac:dyDescent="0.25">
      <c r="B265" s="31" t="str">
        <f t="shared" si="6"/>
        <v>120</v>
      </c>
      <c r="C265" s="31">
        <v>288</v>
      </c>
      <c r="D265" s="40" t="e">
        <f t="shared" si="7"/>
        <v>#VALUE!</v>
      </c>
    </row>
    <row r="266" spans="2:4" x14ac:dyDescent="0.25">
      <c r="B266" s="31" t="str">
        <f t="shared" si="6"/>
        <v>121</v>
      </c>
      <c r="C266" s="31">
        <v>289</v>
      </c>
      <c r="D266" s="40" t="e">
        <f t="shared" si="7"/>
        <v>#VALUE!</v>
      </c>
    </row>
    <row r="267" spans="2:4" x14ac:dyDescent="0.25">
      <c r="B267" s="31" t="str">
        <f t="shared" si="6"/>
        <v>122</v>
      </c>
      <c r="C267" s="31">
        <v>290</v>
      </c>
      <c r="D267" s="40" t="e">
        <f t="shared" si="7"/>
        <v>#VALUE!</v>
      </c>
    </row>
    <row r="268" spans="2:4" x14ac:dyDescent="0.25">
      <c r="B268" s="31" t="str">
        <f t="shared" si="6"/>
        <v>123</v>
      </c>
      <c r="C268" s="31">
        <v>291</v>
      </c>
      <c r="D268" s="40" t="e">
        <f t="shared" si="7"/>
        <v>#VALUE!</v>
      </c>
    </row>
    <row r="269" spans="2:4" x14ac:dyDescent="0.25">
      <c r="B269" s="31" t="str">
        <f t="shared" ref="B269:B283" si="8">DEC2HEX(C269)</f>
        <v>124</v>
      </c>
      <c r="C269" s="31">
        <v>292</v>
      </c>
      <c r="D269" s="40" t="e">
        <f t="shared" ref="D269:D283" si="9">CHAR(C269)</f>
        <v>#VALUE!</v>
      </c>
    </row>
    <row r="270" spans="2:4" x14ac:dyDescent="0.25">
      <c r="B270" s="31" t="str">
        <f t="shared" si="8"/>
        <v>125</v>
      </c>
      <c r="C270" s="31">
        <v>293</v>
      </c>
      <c r="D270" s="40" t="e">
        <f t="shared" si="9"/>
        <v>#VALUE!</v>
      </c>
    </row>
    <row r="271" spans="2:4" x14ac:dyDescent="0.25">
      <c r="B271" s="31" t="str">
        <f t="shared" si="8"/>
        <v>126</v>
      </c>
      <c r="C271" s="31">
        <v>294</v>
      </c>
      <c r="D271" s="40" t="e">
        <f t="shared" si="9"/>
        <v>#VALUE!</v>
      </c>
    </row>
    <row r="272" spans="2:4" x14ac:dyDescent="0.25">
      <c r="B272" s="31" t="str">
        <f t="shared" si="8"/>
        <v>127</v>
      </c>
      <c r="C272" s="31">
        <v>295</v>
      </c>
      <c r="D272" s="40" t="e">
        <f t="shared" si="9"/>
        <v>#VALUE!</v>
      </c>
    </row>
    <row r="273" spans="2:4" x14ac:dyDescent="0.25">
      <c r="B273" s="31" t="str">
        <f t="shared" si="8"/>
        <v>128</v>
      </c>
      <c r="C273" s="31">
        <v>296</v>
      </c>
      <c r="D273" s="40" t="e">
        <f t="shared" si="9"/>
        <v>#VALUE!</v>
      </c>
    </row>
    <row r="274" spans="2:4" x14ac:dyDescent="0.25">
      <c r="B274" s="31" t="str">
        <f t="shared" si="8"/>
        <v>129</v>
      </c>
      <c r="C274" s="31">
        <v>297</v>
      </c>
      <c r="D274" s="40" t="e">
        <f t="shared" si="9"/>
        <v>#VALUE!</v>
      </c>
    </row>
    <row r="275" spans="2:4" x14ac:dyDescent="0.25">
      <c r="B275" s="31" t="str">
        <f t="shared" si="8"/>
        <v>12A</v>
      </c>
      <c r="C275" s="31">
        <v>298</v>
      </c>
      <c r="D275" s="40" t="e">
        <f t="shared" si="9"/>
        <v>#VALUE!</v>
      </c>
    </row>
    <row r="276" spans="2:4" x14ac:dyDescent="0.25">
      <c r="B276" s="31" t="str">
        <f t="shared" si="8"/>
        <v>12B</v>
      </c>
      <c r="C276" s="31">
        <v>299</v>
      </c>
      <c r="D276" s="40" t="e">
        <f t="shared" si="9"/>
        <v>#VALUE!</v>
      </c>
    </row>
    <row r="277" spans="2:4" x14ac:dyDescent="0.25">
      <c r="B277" s="31" t="str">
        <f t="shared" si="8"/>
        <v>12C</v>
      </c>
      <c r="C277" s="31">
        <v>300</v>
      </c>
      <c r="D277" s="40" t="e">
        <f t="shared" si="9"/>
        <v>#VALUE!</v>
      </c>
    </row>
    <row r="278" spans="2:4" x14ac:dyDescent="0.25">
      <c r="B278" s="31" t="str">
        <f t="shared" si="8"/>
        <v>12D</v>
      </c>
      <c r="C278" s="31">
        <v>301</v>
      </c>
      <c r="D278" s="40" t="e">
        <f t="shared" si="9"/>
        <v>#VALUE!</v>
      </c>
    </row>
    <row r="279" spans="2:4" x14ac:dyDescent="0.25">
      <c r="B279" s="31" t="str">
        <f t="shared" si="8"/>
        <v>12E</v>
      </c>
      <c r="C279" s="31">
        <v>302</v>
      </c>
      <c r="D279" s="40" t="e">
        <f t="shared" si="9"/>
        <v>#VALUE!</v>
      </c>
    </row>
    <row r="280" spans="2:4" x14ac:dyDescent="0.25">
      <c r="B280" s="31" t="str">
        <f t="shared" si="8"/>
        <v>12F</v>
      </c>
      <c r="C280" s="31">
        <v>303</v>
      </c>
      <c r="D280" s="40" t="e">
        <f t="shared" si="9"/>
        <v>#VALUE!</v>
      </c>
    </row>
    <row r="281" spans="2:4" x14ac:dyDescent="0.25">
      <c r="B281" s="31" t="str">
        <f t="shared" si="8"/>
        <v>130</v>
      </c>
      <c r="C281" s="31">
        <v>304</v>
      </c>
      <c r="D281" s="40" t="e">
        <f t="shared" si="9"/>
        <v>#VALUE!</v>
      </c>
    </row>
    <row r="282" spans="2:4" x14ac:dyDescent="0.25">
      <c r="B282" s="31" t="str">
        <f t="shared" si="8"/>
        <v>131</v>
      </c>
      <c r="C282" s="31">
        <v>305</v>
      </c>
      <c r="D282" s="40" t="e">
        <f t="shared" si="9"/>
        <v>#VALUE!</v>
      </c>
    </row>
    <row r="283" spans="2:4" x14ac:dyDescent="0.25">
      <c r="B283" s="31" t="str">
        <f t="shared" si="8"/>
        <v>132</v>
      </c>
      <c r="C283" s="31">
        <v>306</v>
      </c>
      <c r="D283" s="40" t="e">
        <f t="shared" si="9"/>
        <v>#VALUE!</v>
      </c>
    </row>
  </sheetData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Ini File</vt:lpstr>
      <vt:lpstr>Sheet4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Elf</cp:lastModifiedBy>
  <dcterms:created xsi:type="dcterms:W3CDTF">2017-07-28T07:37:15Z</dcterms:created>
  <dcterms:modified xsi:type="dcterms:W3CDTF">2022-04-27T05:00:52Z</dcterms:modified>
</cp:coreProperties>
</file>