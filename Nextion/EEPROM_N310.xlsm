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_310\"/>
    </mc:Choice>
  </mc:AlternateContent>
  <xr:revisionPtr revIDLastSave="0" documentId="13_ncr:1_{6CDAF858-B57D-4668-BF91-AE63CB6FE850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File'!$A$1:$Q$562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41" i="13" l="1"/>
  <c r="T241" i="13"/>
  <c r="V241" i="13"/>
  <c r="Q237" i="13"/>
  <c r="T237" i="13"/>
  <c r="V237" i="13"/>
  <c r="Q238" i="13"/>
  <c r="T238" i="13"/>
  <c r="V238" i="13"/>
  <c r="J138" i="13"/>
  <c r="H138" i="13"/>
  <c r="J152" i="13"/>
  <c r="H152" i="13"/>
  <c r="J238" i="13"/>
  <c r="H238" i="13"/>
  <c r="J130" i="13"/>
  <c r="H130" i="13"/>
  <c r="L130" i="13"/>
  <c r="M130" i="13"/>
  <c r="Q130" i="13"/>
  <c r="T130" i="13"/>
  <c r="V130" i="13"/>
  <c r="L152" i="13"/>
  <c r="M152" i="13"/>
  <c r="Q152" i="13"/>
  <c r="T152" i="13"/>
  <c r="V152" i="13"/>
  <c r="J315" i="13"/>
  <c r="H315" i="13"/>
  <c r="J314" i="13"/>
  <c r="H314" i="13"/>
  <c r="Q341" i="13"/>
  <c r="T341" i="13"/>
  <c r="V341" i="13"/>
  <c r="Q340" i="13"/>
  <c r="T340" i="13"/>
  <c r="V340" i="13"/>
  <c r="Q80" i="13"/>
  <c r="T80" i="13"/>
  <c r="V80" i="13"/>
  <c r="Q81" i="13"/>
  <c r="T81" i="13"/>
  <c r="V81" i="13"/>
  <c r="Q82" i="13"/>
  <c r="T82" i="13"/>
  <c r="V82" i="13"/>
  <c r="Q88" i="13"/>
  <c r="T88" i="13"/>
  <c r="V88" i="13"/>
  <c r="Q89" i="13"/>
  <c r="T89" i="13"/>
  <c r="V89" i="13"/>
  <c r="Q158" i="13"/>
  <c r="T158" i="13"/>
  <c r="V158" i="13"/>
  <c r="Q144" i="13"/>
  <c r="T144" i="13"/>
  <c r="V144" i="13"/>
  <c r="Q137" i="13"/>
  <c r="T137" i="13"/>
  <c r="V137" i="13"/>
  <c r="Q151" i="13"/>
  <c r="T151" i="13"/>
  <c r="V151" i="13"/>
  <c r="Q145" i="13"/>
  <c r="T145" i="13"/>
  <c r="V145" i="13"/>
  <c r="Q159" i="13"/>
  <c r="T159" i="13"/>
  <c r="V159" i="13"/>
  <c r="Q131" i="13"/>
  <c r="T131" i="13"/>
  <c r="V131" i="13"/>
  <c r="Q181" i="13"/>
  <c r="T181" i="13"/>
  <c r="V181" i="13"/>
  <c r="Q185" i="13"/>
  <c r="T185" i="13"/>
  <c r="V185" i="13"/>
  <c r="Q184" i="13"/>
  <c r="T184" i="13"/>
  <c r="V184" i="13"/>
  <c r="Q180" i="13"/>
  <c r="T180" i="13"/>
  <c r="V180" i="13"/>
  <c r="J82" i="13"/>
  <c r="H82" i="13"/>
  <c r="J81" i="13"/>
  <c r="H81" i="13"/>
  <c r="J80" i="13"/>
  <c r="H80" i="13"/>
  <c r="J306" i="13"/>
  <c r="H306" i="13"/>
  <c r="L80" i="13"/>
  <c r="M80" i="13"/>
  <c r="L81" i="13"/>
  <c r="M81" i="13"/>
  <c r="L82" i="13"/>
  <c r="M82" i="13"/>
  <c r="J340" i="13"/>
  <c r="H340" i="13"/>
  <c r="J145" i="13"/>
  <c r="H145" i="13"/>
  <c r="J159" i="13"/>
  <c r="H159" i="13"/>
  <c r="J131" i="13"/>
  <c r="H131" i="13"/>
  <c r="J184" i="13"/>
  <c r="H184" i="13"/>
  <c r="J158" i="13"/>
  <c r="H158" i="13"/>
  <c r="J237" i="13"/>
  <c r="H237" i="13"/>
  <c r="J341" i="13"/>
  <c r="H341" i="13"/>
  <c r="J144" i="13"/>
  <c r="H144" i="13"/>
  <c r="J137" i="13"/>
  <c r="H137" i="13"/>
  <c r="J88" i="13"/>
  <c r="H88" i="13"/>
  <c r="J89" i="13"/>
  <c r="H89" i="13"/>
  <c r="J151" i="13"/>
  <c r="H151" i="13"/>
  <c r="L144" i="13"/>
  <c r="M144" i="13"/>
  <c r="L341" i="13"/>
  <c r="M341" i="13"/>
  <c r="L237" i="13"/>
  <c r="M237" i="13"/>
  <c r="J185" i="13"/>
  <c r="H185" i="13"/>
  <c r="J181" i="13"/>
  <c r="H181" i="13"/>
  <c r="J180" i="13"/>
  <c r="H180" i="13"/>
  <c r="L491" i="13"/>
  <c r="M491" i="13"/>
  <c r="L489" i="13"/>
  <c r="M489" i="13"/>
  <c r="L490" i="13"/>
  <c r="M490" i="13"/>
  <c r="H291" i="13"/>
  <c r="J291" i="13"/>
  <c r="Q494" i="13"/>
  <c r="Q291" i="13"/>
  <c r="H292" i="13"/>
  <c r="J292" i="13"/>
  <c r="H276" i="13"/>
  <c r="Q292" i="13"/>
  <c r="Q293" i="13"/>
  <c r="J8" i="13"/>
  <c r="H8" i="13"/>
  <c r="J7" i="13"/>
  <c r="H7" i="13"/>
  <c r="O69" i="10"/>
  <c r="Q69" i="10"/>
  <c r="R72" i="10"/>
  <c r="V2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499" i="13"/>
  <c r="V500" i="13"/>
  <c r="V138" i="13"/>
  <c r="V83" i="13"/>
  <c r="V84" i="13"/>
  <c r="V85" i="13"/>
  <c r="V86" i="13"/>
  <c r="V87" i="13"/>
  <c r="V481" i="13"/>
  <c r="V482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502" i="13"/>
  <c r="V132" i="13"/>
  <c r="V133" i="13"/>
  <c r="V134" i="13"/>
  <c r="V135" i="13"/>
  <c r="V136" i="13"/>
  <c r="V484" i="13"/>
  <c r="V501" i="13"/>
  <c r="V139" i="13"/>
  <c r="V140" i="13"/>
  <c r="V141" i="13"/>
  <c r="V142" i="13"/>
  <c r="V143" i="13"/>
  <c r="V485" i="13"/>
  <c r="V146" i="13"/>
  <c r="V147" i="13"/>
  <c r="V148" i="13"/>
  <c r="V149" i="13"/>
  <c r="V150" i="13"/>
  <c r="V483" i="13"/>
  <c r="V503" i="13"/>
  <c r="V153" i="13"/>
  <c r="V154" i="13"/>
  <c r="V155" i="13"/>
  <c r="V156" i="13"/>
  <c r="V157" i="13"/>
  <c r="V488" i="13"/>
  <c r="V314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306" i="13"/>
  <c r="V480" i="13"/>
  <c r="V182" i="13"/>
  <c r="V183" i="13"/>
  <c r="V490" i="13"/>
  <c r="V492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487" i="13"/>
  <c r="V504" i="13"/>
  <c r="V239" i="13"/>
  <c r="V240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498" i="13"/>
  <c r="V307" i="13"/>
  <c r="V308" i="13"/>
  <c r="V309" i="13"/>
  <c r="V310" i="13"/>
  <c r="V311" i="13"/>
  <c r="V312" i="13"/>
  <c r="V313" i="13"/>
  <c r="V347" i="13"/>
  <c r="V398" i="13"/>
  <c r="V399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15" i="13"/>
  <c r="V486" i="13"/>
  <c r="V342" i="13"/>
  <c r="V343" i="13"/>
  <c r="V344" i="13"/>
  <c r="V345" i="13"/>
  <c r="V7" i="13"/>
  <c r="J351" i="13"/>
  <c r="H351" i="13"/>
  <c r="M346" i="13"/>
  <c r="L344" i="13"/>
  <c r="L343" i="13"/>
  <c r="L338" i="13"/>
  <c r="L336" i="13"/>
  <c r="L335" i="13"/>
  <c r="L330" i="13"/>
  <c r="Q328" i="13"/>
  <c r="L322" i="13"/>
  <c r="L320" i="13"/>
  <c r="L319" i="13"/>
  <c r="L313" i="13"/>
  <c r="L307" i="13"/>
  <c r="L305" i="13"/>
  <c r="L299" i="13"/>
  <c r="Q296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504" i="13"/>
  <c r="L48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L182" i="13"/>
  <c r="M480" i="13"/>
  <c r="L176" i="13"/>
  <c r="L174" i="13"/>
  <c r="M173" i="13"/>
  <c r="Q165" i="13"/>
  <c r="L160" i="13"/>
  <c r="M488" i="13"/>
  <c r="Q157" i="13"/>
  <c r="L503" i="13"/>
  <c r="M149" i="13"/>
  <c r="Q485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481" i="13"/>
  <c r="L86" i="13"/>
  <c r="L85" i="13"/>
  <c r="L499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499" i="13"/>
  <c r="T500" i="13"/>
  <c r="T138" i="13"/>
  <c r="T83" i="13"/>
  <c r="T84" i="13"/>
  <c r="T85" i="13"/>
  <c r="T86" i="13"/>
  <c r="T87" i="13"/>
  <c r="T481" i="13"/>
  <c r="T482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502" i="13"/>
  <c r="T132" i="13"/>
  <c r="T133" i="13"/>
  <c r="T135" i="13"/>
  <c r="T136" i="13"/>
  <c r="T484" i="13"/>
  <c r="T501" i="13"/>
  <c r="T139" i="13"/>
  <c r="T140" i="13"/>
  <c r="T142" i="13"/>
  <c r="T143" i="13"/>
  <c r="T485" i="13"/>
  <c r="T146" i="13"/>
  <c r="T147" i="13"/>
  <c r="T149" i="13"/>
  <c r="T150" i="13"/>
  <c r="T483" i="13"/>
  <c r="T503" i="13"/>
  <c r="T153" i="13"/>
  <c r="T154" i="13"/>
  <c r="T156" i="13"/>
  <c r="T157" i="13"/>
  <c r="T488" i="13"/>
  <c r="T314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306" i="13"/>
  <c r="T480" i="13"/>
  <c r="T182" i="13"/>
  <c r="T183" i="13"/>
  <c r="T490" i="13"/>
  <c r="T492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487" i="13"/>
  <c r="T504" i="13"/>
  <c r="T239" i="13"/>
  <c r="T240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498" i="13"/>
  <c r="T307" i="13"/>
  <c r="T308" i="13"/>
  <c r="T309" i="13"/>
  <c r="T310" i="13"/>
  <c r="T311" i="13"/>
  <c r="T312" i="13"/>
  <c r="T313" i="13"/>
  <c r="T347" i="13"/>
  <c r="T398" i="13"/>
  <c r="T399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15" i="13"/>
  <c r="T486" i="13"/>
  <c r="T342" i="13"/>
  <c r="T343" i="13"/>
  <c r="T344" i="13"/>
  <c r="T345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302" i="13"/>
  <c r="Q244" i="13"/>
  <c r="Q243" i="13"/>
  <c r="Q246" i="13"/>
  <c r="L495" i="13"/>
  <c r="M495" i="13"/>
  <c r="J380" i="13"/>
  <c r="H380" i="13"/>
  <c r="J379" i="13"/>
  <c r="H379" i="13"/>
  <c r="Q17" i="13"/>
  <c r="J378" i="13"/>
  <c r="H378" i="13"/>
  <c r="J377" i="13"/>
  <c r="H377" i="13"/>
  <c r="L396" i="13"/>
  <c r="M396" i="13"/>
  <c r="M338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492" i="13"/>
  <c r="M492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306" i="13"/>
  <c r="M306" i="13"/>
  <c r="L241" i="13"/>
  <c r="M241" i="13"/>
  <c r="L480" i="13"/>
  <c r="L259" i="13"/>
  <c r="M259" i="13"/>
  <c r="L263" i="13"/>
  <c r="M263" i="13"/>
  <c r="L267" i="13"/>
  <c r="M267" i="13"/>
  <c r="L271" i="13"/>
  <c r="M271" i="13"/>
  <c r="L324" i="13"/>
  <c r="M324" i="13"/>
  <c r="M330" i="13"/>
  <c r="M336" i="13"/>
  <c r="L342" i="13"/>
  <c r="M342" i="13"/>
  <c r="M344" i="13"/>
  <c r="L139" i="13"/>
  <c r="M139" i="13"/>
  <c r="L146" i="13"/>
  <c r="M146" i="13"/>
  <c r="L153" i="13"/>
  <c r="M153" i="13"/>
  <c r="L15" i="13"/>
  <c r="M15" i="13"/>
  <c r="L482" i="13"/>
  <c r="M482" i="13"/>
  <c r="M126" i="13"/>
  <c r="L132" i="13"/>
  <c r="M132" i="13"/>
  <c r="L49" i="13"/>
  <c r="M49" i="13"/>
  <c r="M313" i="13"/>
  <c r="M320" i="13"/>
  <c r="L11" i="13"/>
  <c r="M11" i="13"/>
  <c r="L173" i="13"/>
  <c r="M174" i="13"/>
  <c r="L178" i="13"/>
  <c r="M178" i="13"/>
  <c r="L483" i="13"/>
  <c r="M483" i="13"/>
  <c r="L346" i="13"/>
  <c r="L348" i="13"/>
  <c r="M348" i="13"/>
  <c r="L147" i="13"/>
  <c r="M147" i="13"/>
  <c r="L484" i="13"/>
  <c r="M484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486" i="13"/>
  <c r="M486" i="13"/>
  <c r="M487" i="13"/>
  <c r="L36" i="13"/>
  <c r="M36" i="13"/>
  <c r="L332" i="13"/>
  <c r="M332" i="13"/>
  <c r="L286" i="13"/>
  <c r="M286" i="13"/>
  <c r="L347" i="13"/>
  <c r="M347" i="13"/>
  <c r="L154" i="13"/>
  <c r="M154" i="13"/>
  <c r="L25" i="13"/>
  <c r="M25" i="13"/>
  <c r="L161" i="13"/>
  <c r="M161" i="13"/>
  <c r="M56" i="13"/>
  <c r="L16" i="13"/>
  <c r="M16" i="13"/>
  <c r="L325" i="13"/>
  <c r="M325" i="13"/>
  <c r="L331" i="13"/>
  <c r="M331" i="13"/>
  <c r="L326" i="13"/>
  <c r="M326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48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504" i="13"/>
  <c r="M62" i="13"/>
  <c r="L63" i="13"/>
  <c r="M63" i="13"/>
  <c r="L65" i="13"/>
  <c r="M65" i="13"/>
  <c r="L204" i="13"/>
  <c r="M204" i="13"/>
  <c r="L501" i="13"/>
  <c r="M501" i="13"/>
  <c r="L217" i="13"/>
  <c r="M217" i="13"/>
  <c r="L282" i="13"/>
  <c r="M282" i="13"/>
  <c r="L298" i="13"/>
  <c r="M298" i="13"/>
  <c r="L309" i="13"/>
  <c r="M309" i="13"/>
  <c r="L349" i="13"/>
  <c r="M349" i="13"/>
  <c r="L315" i="13"/>
  <c r="M315" i="13"/>
  <c r="L18" i="13"/>
  <c r="M18" i="13"/>
  <c r="L23" i="13"/>
  <c r="M23" i="13"/>
  <c r="L21" i="13"/>
  <c r="M21" i="13"/>
  <c r="M503" i="13"/>
  <c r="L502" i="13"/>
  <c r="M502" i="13"/>
  <c r="L29" i="13"/>
  <c r="M30" i="13"/>
  <c r="L300" i="13"/>
  <c r="M300" i="13"/>
  <c r="L235" i="13"/>
  <c r="M235" i="13"/>
  <c r="M22" i="13"/>
  <c r="L337" i="13"/>
  <c r="M337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493" i="13"/>
  <c r="M493" i="13"/>
  <c r="M53" i="13"/>
  <c r="L292" i="13"/>
  <c r="M292" i="13"/>
  <c r="L276" i="13"/>
  <c r="M276" i="13"/>
  <c r="L301" i="13"/>
  <c r="M301" i="13"/>
  <c r="M277" i="13"/>
  <c r="M305" i="13"/>
  <c r="L314" i="13"/>
  <c r="M314" i="13"/>
  <c r="L140" i="13"/>
  <c r="M140" i="13"/>
  <c r="L494" i="13"/>
  <c r="M494" i="13"/>
  <c r="L55" i="13"/>
  <c r="M55" i="13"/>
  <c r="L206" i="13"/>
  <c r="L210" i="13"/>
  <c r="M210" i="13"/>
  <c r="M46" i="13"/>
  <c r="L317" i="13"/>
  <c r="M317" i="13"/>
  <c r="L291" i="13"/>
  <c r="M291" i="13"/>
  <c r="M197" i="13"/>
  <c r="L496" i="13"/>
  <c r="M496" i="13"/>
  <c r="L289" i="13"/>
  <c r="M289" i="13"/>
  <c r="L497" i="13"/>
  <c r="M497" i="13"/>
  <c r="L498" i="13"/>
  <c r="M498" i="13"/>
  <c r="L500" i="13"/>
  <c r="M500" i="13"/>
  <c r="L138" i="13"/>
  <c r="M138" i="13"/>
  <c r="L83" i="13"/>
  <c r="M83" i="13"/>
  <c r="M86" i="13"/>
  <c r="L87" i="13"/>
  <c r="M87" i="13"/>
  <c r="L84" i="13"/>
  <c r="M84" i="13"/>
  <c r="M85" i="13"/>
  <c r="L184" i="13"/>
  <c r="M184" i="13"/>
  <c r="L265" i="13"/>
  <c r="M265" i="13"/>
  <c r="L266" i="13"/>
  <c r="M266" i="13"/>
  <c r="L180" i="13"/>
  <c r="M180" i="13"/>
  <c r="M335" i="13"/>
  <c r="L334" i="13"/>
  <c r="M334" i="13"/>
  <c r="L318" i="13"/>
  <c r="M318" i="13"/>
  <c r="M319" i="13"/>
  <c r="L158" i="13"/>
  <c r="M158" i="13"/>
  <c r="L137" i="13"/>
  <c r="M137" i="13"/>
  <c r="L88" i="13"/>
  <c r="M88" i="13"/>
  <c r="L89" i="13"/>
  <c r="M89" i="13"/>
  <c r="L151" i="13"/>
  <c r="M151" i="13"/>
  <c r="L329" i="13"/>
  <c r="M329" i="13"/>
  <c r="L103" i="13"/>
  <c r="M103" i="13"/>
  <c r="L328" i="13"/>
  <c r="M328" i="13"/>
  <c r="M322" i="13"/>
  <c r="L238" i="13"/>
  <c r="M238" i="13"/>
  <c r="L231" i="13"/>
  <c r="M231" i="13"/>
  <c r="M232" i="13"/>
  <c r="M253" i="13"/>
  <c r="L340" i="13"/>
  <c r="M340" i="13"/>
  <c r="M176" i="13"/>
  <c r="L145" i="13"/>
  <c r="M145" i="13"/>
  <c r="L119" i="13"/>
  <c r="M119" i="13"/>
  <c r="M120" i="13"/>
  <c r="L159" i="13"/>
  <c r="M159" i="13"/>
  <c r="M254" i="13"/>
  <c r="L131" i="13"/>
  <c r="M131" i="13"/>
  <c r="L177" i="13"/>
  <c r="M177" i="13"/>
  <c r="L323" i="13"/>
  <c r="M323" i="13"/>
  <c r="L107" i="13"/>
  <c r="M107" i="13"/>
  <c r="L181" i="13"/>
  <c r="M181" i="13"/>
  <c r="M261" i="13"/>
  <c r="M269" i="13"/>
  <c r="L219" i="13"/>
  <c r="M219" i="13"/>
  <c r="L108" i="13"/>
  <c r="M108" i="13"/>
  <c r="L270" i="13"/>
  <c r="M270" i="13"/>
  <c r="L262" i="13"/>
  <c r="M262" i="13"/>
  <c r="L185" i="13"/>
  <c r="M185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501" i="13"/>
  <c r="Q139" i="13"/>
  <c r="Q140" i="13"/>
  <c r="Q143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499" i="13"/>
  <c r="Q500" i="13"/>
  <c r="Q138" i="13"/>
  <c r="Q83" i="13"/>
  <c r="Q84" i="13"/>
  <c r="Q86" i="13"/>
  <c r="Q87" i="13"/>
  <c r="Q481" i="13"/>
  <c r="Q482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397" i="13"/>
  <c r="Q129" i="13"/>
  <c r="Q502" i="13"/>
  <c r="Q132" i="13"/>
  <c r="Q136" i="13"/>
  <c r="Q484" i="13"/>
  <c r="Q146" i="13"/>
  <c r="Q147" i="13"/>
  <c r="Q150" i="13"/>
  <c r="Q483" i="13"/>
  <c r="Q153" i="13"/>
  <c r="Q154" i="13"/>
  <c r="Q488" i="13"/>
  <c r="Q314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306" i="13"/>
  <c r="Q182" i="13"/>
  <c r="Q183" i="13"/>
  <c r="Q490" i="13"/>
  <c r="Q492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487" i="13"/>
  <c r="Q239" i="13"/>
  <c r="Q240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4" i="13"/>
  <c r="Q295" i="13"/>
  <c r="Q297" i="13"/>
  <c r="Q298" i="13"/>
  <c r="Q300" i="13"/>
  <c r="Q301" i="13"/>
  <c r="Q303" i="13"/>
  <c r="Q304" i="13"/>
  <c r="Q498" i="13"/>
  <c r="Q307" i="13"/>
  <c r="Q308" i="13"/>
  <c r="Q309" i="13"/>
  <c r="Q310" i="13"/>
  <c r="Q311" i="13"/>
  <c r="Q312" i="13"/>
  <c r="Q347" i="13"/>
  <c r="Q398" i="13"/>
  <c r="Q399" i="13"/>
  <c r="Q316" i="13"/>
  <c r="Q317" i="13"/>
  <c r="Q318" i="13"/>
  <c r="Q319" i="13"/>
  <c r="Q321" i="13"/>
  <c r="Q322" i="13"/>
  <c r="Q323" i="13"/>
  <c r="Q324" i="13"/>
  <c r="Q325" i="13"/>
  <c r="Q326" i="13"/>
  <c r="Q327" i="13"/>
  <c r="Q329" i="13"/>
  <c r="Q330" i="13"/>
  <c r="Q331" i="13"/>
  <c r="Q332" i="13"/>
  <c r="Q333" i="13"/>
  <c r="Q334" i="13"/>
  <c r="Q335" i="13"/>
  <c r="Q337" i="13"/>
  <c r="Q338" i="13"/>
  <c r="Q339" i="13"/>
  <c r="Q315" i="13"/>
  <c r="Q486" i="13"/>
  <c r="Q342" i="13"/>
  <c r="Q343" i="13"/>
  <c r="J147" i="13"/>
  <c r="H147" i="13"/>
  <c r="J15" i="13"/>
  <c r="H15" i="13"/>
  <c r="Q345" i="13"/>
  <c r="J383" i="13"/>
  <c r="H383" i="13"/>
  <c r="J392" i="13"/>
  <c r="H392" i="13"/>
  <c r="J391" i="13"/>
  <c r="H391" i="13"/>
  <c r="J390" i="13"/>
  <c r="H390" i="13"/>
  <c r="J389" i="13"/>
  <c r="H389" i="13"/>
  <c r="J388" i="13"/>
  <c r="H388" i="13"/>
  <c r="J385" i="13"/>
  <c r="H385" i="13"/>
  <c r="J384" i="13"/>
  <c r="H384" i="13"/>
  <c r="J382" i="13"/>
  <c r="H382" i="13"/>
  <c r="J381" i="13"/>
  <c r="H381" i="13"/>
  <c r="J376" i="13"/>
  <c r="H376" i="13"/>
  <c r="J375" i="13"/>
  <c r="H375" i="13"/>
  <c r="J394" i="13"/>
  <c r="H394" i="13"/>
  <c r="J373" i="13"/>
  <c r="H373" i="13"/>
  <c r="J372" i="13"/>
  <c r="H372" i="13"/>
  <c r="J371" i="13"/>
  <c r="H37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427" i="13"/>
  <c r="H427" i="13"/>
  <c r="J360" i="13"/>
  <c r="H36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H350" i="13"/>
  <c r="J350" i="13"/>
  <c r="J412" i="13"/>
  <c r="H412" i="13"/>
  <c r="J411" i="13"/>
  <c r="H411" i="13"/>
  <c r="J410" i="13"/>
  <c r="H410" i="13"/>
  <c r="M192" i="13" l="1"/>
  <c r="M40" i="13"/>
  <c r="M481" i="13"/>
  <c r="M45" i="13"/>
  <c r="L32" i="13"/>
  <c r="Q480" i="13"/>
  <c r="Q173" i="13"/>
  <c r="Q133" i="13"/>
  <c r="Q117" i="13"/>
  <c r="Q109" i="13"/>
  <c r="Q101" i="13"/>
  <c r="Q85" i="13"/>
  <c r="Q69" i="13"/>
  <c r="Q248" i="13"/>
  <c r="L192" i="13"/>
  <c r="L40" i="13"/>
  <c r="L45" i="13"/>
  <c r="Q299" i="13"/>
  <c r="Q288" i="13"/>
  <c r="Q206" i="13"/>
  <c r="Q198" i="13"/>
  <c r="Q503" i="13"/>
  <c r="M29" i="13"/>
  <c r="M504" i="13"/>
  <c r="M285" i="13"/>
  <c r="M222" i="13"/>
  <c r="L149" i="13"/>
  <c r="M104" i="13"/>
  <c r="M499" i="13"/>
  <c r="M288" i="13"/>
  <c r="M208" i="13"/>
  <c r="M64" i="13"/>
  <c r="M299" i="13"/>
  <c r="M307" i="13"/>
  <c r="M213" i="13"/>
  <c r="M485" i="13"/>
  <c r="M128" i="13"/>
  <c r="M160" i="13"/>
  <c r="M343" i="13"/>
  <c r="Q344" i="13"/>
  <c r="Q336" i="13"/>
  <c r="Q320" i="13"/>
  <c r="Q313" i="13"/>
  <c r="Q305" i="13"/>
  <c r="L485" i="13"/>
  <c r="L128" i="13"/>
  <c r="L56" i="13"/>
  <c r="Q149" i="13"/>
  <c r="J119" i="13"/>
  <c r="H119" i="13"/>
  <c r="J120" i="13"/>
  <c r="H120" i="13"/>
  <c r="H29" i="13"/>
  <c r="J29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387" i="13"/>
  <c r="H387" i="13"/>
  <c r="J386" i="13"/>
  <c r="H386" i="13"/>
  <c r="J213" i="13"/>
  <c r="H213" i="13"/>
  <c r="J161" i="13"/>
  <c r="H161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395" i="13"/>
  <c r="H395" i="13"/>
  <c r="H374" i="13"/>
  <c r="J293" i="13"/>
  <c r="H293" i="13"/>
  <c r="J430" i="13"/>
  <c r="H430" i="13"/>
  <c r="J429" i="13"/>
  <c r="H429" i="13"/>
  <c r="J428" i="13"/>
  <c r="H428" i="13"/>
  <c r="J393" i="13"/>
  <c r="H393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J409" i="13"/>
  <c r="H409" i="13"/>
  <c r="J408" i="13"/>
  <c r="H408" i="13"/>
  <c r="J407" i="13"/>
  <c r="H407" i="13"/>
  <c r="J406" i="13"/>
  <c r="H406" i="13"/>
  <c r="J405" i="13"/>
  <c r="H405" i="13"/>
  <c r="J404" i="13"/>
  <c r="H404" i="13"/>
  <c r="J403" i="13"/>
  <c r="H403" i="13"/>
  <c r="J402" i="13"/>
  <c r="H402" i="13"/>
  <c r="J401" i="13"/>
  <c r="H401" i="13"/>
  <c r="J400" i="13"/>
  <c r="H400" i="13"/>
  <c r="Q2" i="13"/>
  <c r="L7" i="13"/>
  <c r="M7" i="13"/>
  <c r="J101" i="13"/>
  <c r="H101" i="13"/>
  <c r="J126" i="13"/>
  <c r="H126" i="13"/>
  <c r="J173" i="13"/>
  <c r="H173" i="13"/>
  <c r="J217" i="13"/>
  <c r="H217" i="13"/>
  <c r="J313" i="13"/>
  <c r="H313" i="13"/>
  <c r="J250" i="13"/>
  <c r="H250" i="13"/>
  <c r="J251" i="13"/>
  <c r="H251" i="13"/>
  <c r="J348" i="13"/>
  <c r="H348" i="13"/>
  <c r="J346" i="13"/>
  <c r="H346" i="13"/>
  <c r="J154" i="13"/>
  <c r="H154" i="13"/>
  <c r="J133" i="13"/>
  <c r="H133" i="13"/>
  <c r="J320" i="13"/>
  <c r="H320" i="13"/>
  <c r="J342" i="13"/>
  <c r="H342" i="13"/>
  <c r="J336" i="13"/>
  <c r="H336" i="13"/>
  <c r="J330" i="13"/>
  <c r="H330" i="13"/>
  <c r="J324" i="13"/>
  <c r="H324" i="13"/>
  <c r="J334" i="13"/>
  <c r="H334" i="13"/>
  <c r="J335" i="13"/>
  <c r="H335" i="13"/>
  <c r="J323" i="13"/>
  <c r="H323" i="13"/>
  <c r="J322" i="13"/>
  <c r="H322" i="13"/>
  <c r="J328" i="13"/>
  <c r="H328" i="13"/>
  <c r="J329" i="13"/>
  <c r="H329" i="13"/>
  <c r="J319" i="13"/>
  <c r="H319" i="13"/>
  <c r="J318" i="13"/>
  <c r="H318" i="13"/>
  <c r="J344" i="13"/>
  <c r="H344" i="13"/>
  <c r="J343" i="13"/>
  <c r="H343" i="13"/>
  <c r="J338" i="13"/>
  <c r="H338" i="13"/>
  <c r="J337" i="13"/>
  <c r="H337" i="13"/>
  <c r="J332" i="13"/>
  <c r="H332" i="13"/>
  <c r="J331" i="13"/>
  <c r="H331" i="13"/>
  <c r="J326" i="13"/>
  <c r="H326" i="13"/>
  <c r="J325" i="13"/>
  <c r="H325" i="13"/>
  <c r="J317" i="13"/>
  <c r="H317" i="13"/>
  <c r="J347" i="13"/>
  <c r="H347" i="13"/>
  <c r="J305" i="13"/>
  <c r="H305" i="13"/>
  <c r="J309" i="13"/>
  <c r="H309" i="13"/>
  <c r="J307" i="13"/>
  <c r="H307" i="13"/>
  <c r="J301" i="13"/>
  <c r="H301" i="13"/>
  <c r="J300" i="13"/>
  <c r="H300" i="13"/>
  <c r="J299" i="13"/>
  <c r="H299" i="13"/>
  <c r="J298" i="13"/>
  <c r="H298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J275" i="13"/>
  <c r="H275" i="13"/>
  <c r="J241" i="13"/>
  <c r="H241" i="13"/>
  <c r="J240" i="13"/>
  <c r="H240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78" i="13"/>
  <c r="H178" i="13"/>
  <c r="J177" i="13"/>
  <c r="H177" i="13"/>
  <c r="J176" i="13"/>
  <c r="H176" i="13"/>
  <c r="J174" i="13"/>
  <c r="H174" i="13"/>
  <c r="J128" i="13"/>
  <c r="H128" i="13"/>
  <c r="J397" i="13"/>
  <c r="H397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69" i="13"/>
  <c r="H469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7" i="13"/>
  <c r="H87" i="13"/>
  <c r="J86" i="13"/>
  <c r="H86" i="13"/>
  <c r="J85" i="13"/>
  <c r="H85" i="13"/>
  <c r="J84" i="13"/>
  <c r="H84" i="13"/>
  <c r="J83" i="13"/>
  <c r="H83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31" i="13"/>
  <c r="H431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<sst xmlns="http://schemas.openxmlformats.org/spreadsheetml/2006/main" count="1401" uniqueCount="644">
  <si>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</si>
  <si>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</si>
  <si>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</si>
  <si>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</si>
  <si>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</si>
  <si>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</si>
  <si>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</si>
  <si>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</si>
  <si>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</si>
  <si>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</si>
  <si>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</si>
  <si>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</si>
  <si>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</si>
  <si>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</si>
  <si>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</si>
  <si>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</si>
  <si>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</si>
  <si>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</si>
  <si>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</si>
  <si>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</si>
  <si>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</si>
  <si>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</si>
  <si>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</si>
  <si>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</si>
  <si>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</si>
  <si>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</si>
  <si>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</si>
  <si>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</si>
  <si>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</si>
  <si>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</si>
  <si>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</si>
  <si>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</si>
  <si>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</si>
  <si>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</si>
  <si>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</si>
  <si>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</si>
  <si>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</si>
  <si>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</si>
  <si>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</si>
  <si>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</si>
  <si>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</si>
  <si>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</si>
  <si>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</si>
  <si>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</si>
  <si>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</si>
  <si>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</si>
  <si>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</si>
  <si>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</si>
  <si>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</si>
  <si>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</si>
  <si>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</si>
  <si>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</si>
  <si>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</si>
  <si>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</si>
  <si>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</si>
  <si>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</si>
  <si>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</si>
  <si>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</si>
  <si>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</si>
  <si>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</si>
  <si>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</si>
  <si>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</si>
  <si>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</si>
  <si>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</si>
  <si>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</si>
  <si>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</si>
  <si>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</si>
  <si>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</si>
  <si>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</si>
  <si>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</si>
  <si>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</si>
  <si>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</si>
  <si>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</si>
  <si>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</si>
  <si>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</si>
  <si>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</si>
  <si>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</si>
  <si>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</si>
  <si>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</si>
  <si>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</si>
  <si>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</si>
  <si>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</si>
  <si>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</si>
  <si>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</si>
  <si>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</si>
  <si>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</si>
  <si>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</si>
  <si>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</si>
  <si>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</si>
  <si>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</si>
  <si>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</si>
  <si>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</si>
  <si>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</si>
  <si>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</si>
  <si>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</si>
  <si>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</si>
  <si>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</si>
  <si>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</si>
  <si>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</si>
  <si>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</si>
  <si>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</si>
  <si>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</si>
  <si>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</si>
  <si>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</si>
  <si>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</si>
  <si>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</si>
  <si>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</si>
  <si>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</si>
  <si>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</si>
  <si>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</si>
  <si>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</si>
  <si>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</si>
  <si>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</si>
  <si>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</si>
  <si>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</si>
  <si>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</si>
  <si>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</si>
  <si>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</si>
  <si>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</si>
  <si>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</si>
  <si>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</si>
  <si>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</si>
  <si>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</si>
  <si>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</si>
  <si>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</si>
  <si>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</si>
  <si>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</si>
  <si>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</si>
  <si>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</si>
  <si>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</si>
  <si>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</si>
  <si>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</si>
  <si>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</si>
  <si>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</si>
  <si>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</si>
  <si>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</si>
  <si>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</si>
  <si>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</si>
  <si>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</si>
  <si>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</si>
  <si>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</si>
  <si>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</si>
  <si>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</si>
  <si>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</si>
  <si>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</si>
  <si>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</si>
  <si>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</si>
  <si>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</si>
  <si>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</si>
  <si>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</si>
  <si>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</si>
  <si>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</si>
  <si>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</si>
  <si>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</si>
  <si>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</si>
  <si>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</si>
  <si>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</si>
  <si>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</si>
  <si>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</si>
  <si>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</si>
  <si>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</si>
  <si>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</si>
  <si>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</si>
  <si>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</si>
  <si>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</si>
  <si>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</si>
  <si>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</si>
  <si>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</si>
  <si>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</si>
  <si>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</si>
  <si>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</si>
  <si>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</si>
  <si>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</si>
  <si>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</si>
  <si>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</si>
  <si>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</si>
  <si>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</si>
  <si>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</si>
  <si>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</si>
  <si>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</si>
  <si>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</si>
  <si>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</si>
  <si>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</si>
  <si>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</si>
  <si>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</si>
  <si>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</si>
  <si>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</si>
  <si>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</si>
  <si>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</si>
  <si>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</si>
  <si>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</si>
  <si>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</si>
  <si>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</si>
  <si>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</si>
  <si>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</si>
  <si>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</si>
  <si>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</si>
  <si>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</si>
  <si>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</si>
  <si>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</si>
  <si>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</si>
  <si>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</si>
  <si>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</si>
  <si>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</si>
  <si>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</si>
  <si>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</si>
  <si>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</si>
  <si>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</si>
  <si>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</si>
  <si>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</si>
  <si>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</si>
  <si>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</si>
  <si>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</si>
  <si>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</si>
  <si>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</si>
  <si>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</si>
  <si>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</si>
  <si>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</si>
  <si>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</si>
  <si>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</si>
  <si>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</si>
  <si>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</si>
  <si>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</si>
  <si>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</si>
  <si>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</si>
  <si>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</si>
  <si>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</si>
  <si>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</si>
  <si>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</si>
  <si>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</si>
  <si>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</si>
  <si>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</si>
  <si>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</si>
  <si>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</si>
  <si>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</si>
  <si>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</si>
  <si>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</si>
  <si>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</si>
  <si>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</si>
  <si>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</si>
  <si>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</si>
  <si>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</si>
  <si>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</si>
  <si>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</si>
  <si>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</si>
  <si>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</si>
  <si>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</si>
  <si>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</si>
  <si>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</si>
  <si>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</si>
  <si>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</si>
  <si>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</si>
  <si>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</si>
  <si>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</si>
  <si>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</si>
  <si>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</si>
  <si>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</si>
  <si>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</si>
  <si>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</si>
  <si>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</si>
  <si>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</si>
  <si>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</si>
  <si>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</si>
  <si>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</si>
  <si>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</si>
  <si>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</si>
  <si>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</si>
  <si>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</si>
  <si>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</si>
  <si>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</si>
  <si>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</si>
  <si>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</si>
  <si>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</si>
  <si>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</si>
  <si>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</si>
  <si>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</si>
  <si>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</si>
  <si>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</si>
  <si>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</si>
  <si>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</si>
  <si>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</si>
  <si>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</si>
  <si>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</si>
  <si>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</si>
  <si>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</si>
  <si>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</si>
  <si>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</si>
  <si>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</si>
  <si>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</si>
  <si>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</si>
  <si>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</si>
  <si>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</si>
  <si>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</si>
  <si>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</si>
  <si>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</si>
  <si>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</si>
  <si>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</si>
  <si>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</si>
  <si>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</si>
  <si>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</si>
  <si>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</si>
  <si>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</si>
  <si>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</si>
  <si>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</si>
  <si>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</si>
  <si>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</si>
  <si>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</si>
  <si>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[Program]</t>
  </si>
  <si>
    <t>;Segments: 2  Actual: 3</t>
  </si>
  <si>
    <t>[Rose]</t>
  </si>
  <si>
    <t>MotorCount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</si>
  <si>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</si>
  <si>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</si>
  <si>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</si>
  <si>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</si>
  <si>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</si>
  <si>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</si>
  <si>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</si>
  <si>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</si>
  <si>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</si>
  <si>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</si>
  <si>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</si>
  <si>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</si>
  <si>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</si>
  <si>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</si>
  <si>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</si>
  <si>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</si>
  <si>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</si>
  <si>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</si>
  <si>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</si>
  <si>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</si>
  <si>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</si>
  <si>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</si>
  <si>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</si>
  <si>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</si>
  <si>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</si>
  <si>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</si>
  <si>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</si>
  <si>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</si>
  <si>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</si>
  <si>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</si>
  <si>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</si>
  <si>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</si>
  <si>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</si>
  <si>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</si>
  <si>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</si>
  <si>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</si>
  <si>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</si>
  <si>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</si>
  <si>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</si>
  <si>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</si>
  <si>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</si>
  <si>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</si>
  <si>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</si>
  <si>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</si>
  <si>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</si>
  <si>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</si>
  <si>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</si>
  <si>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</si>
  <si>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</si>
  <si>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</si>
  <si>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</si>
  <si>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</si>
  <si>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</si>
  <si>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</si>
  <si>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</si>
  <si>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</si>
  <si>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</si>
  <si>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</si>
  <si>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</si>
  <si>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</si>
  <si>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</si>
  <si>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</si>
  <si>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</si>
  <si>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</si>
  <si>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</si>
  <si>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</si>
  <si>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</si>
  <si>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</si>
  <si>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</si>
  <si>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</si>
  <si>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</si>
  <si>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</si>
  <si>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</si>
  <si>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</si>
  <si>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</si>
  <si>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</si>
  <si>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</si>
  <si>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</si>
  <si>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</si>
  <si>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</si>
  <si>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</si>
  <si>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</si>
  <si>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</si>
  <si>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</si>
  <si>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</si>
  <si>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</si>
  <si>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</si>
  <si>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</si>
  <si>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</si>
  <si>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</si>
  <si>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</si>
  <si>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</si>
  <si>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</si>
  <si>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</si>
  <si>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</si>
  <si>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</si>
  <si>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</si>
  <si>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</si>
  <si>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</si>
  <si>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</si>
  <si>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</si>
  <si>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</si>
  <si>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</si>
  <si>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</si>
  <si>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</si>
  <si>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</si>
  <si>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</si>
  <si>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</si>
  <si>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</si>
  <si>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</si>
  <si>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</si>
  <si>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</si>
  <si>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</si>
  <si>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</si>
  <si>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</si>
  <si>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</si>
  <si>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</si>
  <si>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</si>
  <si>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</si>
  <si>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</si>
  <si>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</si>
  <si>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</si>
  <si>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</si>
  <si>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</si>
  <si>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</si>
  <si>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</si>
  <si>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</si>
  <si>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</si>
  <si>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</si>
  <si>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</si>
  <si>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</si>
  <si>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</si>
  <si>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</si>
  <si>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</si>
  <si>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</si>
  <si>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</si>
  <si>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</si>
  <si>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</si>
  <si>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</si>
  <si>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</si>
  <si>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</si>
  <si>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</si>
  <si>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</si>
  <si>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</si>
  <si>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</si>
  <si>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</si>
  <si>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</si>
  <si>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</si>
  <si>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</si>
  <si>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</si>
  <si>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</si>
  <si>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</si>
  <si>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</si>
  <si>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</si>
  <si>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</si>
  <si>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</si>
  <si>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</si>
  <si>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</si>
  <si>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</si>
  <si>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</si>
  <si>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</si>
  <si>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</si>
  <si>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</si>
  <si>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</si>
  <si>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</si>
  <si>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</si>
  <si>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</si>
  <si>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</si>
  <si>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</si>
  <si>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</si>
  <si>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</si>
  <si>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</si>
  <si>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</si>
  <si>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</si>
  <si>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</si>
  <si>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</si>
  <si>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</si>
  <si>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</si>
  <si>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</si>
  <si>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</si>
  <si>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</si>
  <si>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</si>
  <si>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</si>
  <si>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</si>
  <si>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</si>
  <si>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</si>
  <si>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</si>
  <si>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</si>
  <si>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</si>
  <si>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</si>
  <si>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</si>
  <si>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</si>
  <si>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</si>
  <si>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</si>
  <si>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</si>
  <si>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</si>
  <si>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</si>
  <si>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</si>
  <si>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</si>
  <si>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</si>
  <si>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</si>
  <si>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</si>
  <si>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</si>
  <si>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</si>
  <si>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</si>
  <si>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</si>
  <si>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</si>
  <si>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</si>
  <si>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</si>
  <si>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</si>
  <si>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</si>
  <si>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</si>
  <si>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</si>
  <si>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</si>
  <si>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</si>
  <si>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</si>
  <si>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</si>
  <si>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</si>
  <si>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</si>
  <si>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</si>
  <si>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</si>
  <si>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</si>
  <si>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</si>
  <si>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</si>
  <si>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</si>
  <si>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</si>
  <si>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</si>
  <si>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</si>
  <si>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</si>
  <si>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</si>
  <si>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</si>
  <si>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</si>
  <si>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</si>
  <si>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</si>
  <si>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</si>
  <si>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</si>
  <si>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</si>
  <si>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</si>
  <si>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</si>
  <si>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</si>
  <si>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</si>
  <si>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</si>
  <si>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</si>
  <si>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</si>
  <si>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</si>
  <si>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</si>
  <si>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</si>
  <si>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</si>
  <si>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</si>
  <si>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</si>
  <si>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</si>
  <si>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</si>
  <si>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</si>
  <si>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</si>
  <si>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</si>
  <si>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</si>
  <si>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</si>
  <si>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</si>
  <si>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</si>
  <si>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</si>
  <si>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</si>
  <si>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</si>
  <si>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</si>
  <si>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</si>
  <si>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</si>
  <si>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</si>
  <si>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</si>
  <si>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</si>
  <si>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</si>
  <si>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</si>
  <si>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</si>
  <si>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</si>
  <si>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</si>
  <si>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</si>
  <si>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</si>
  <si>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</si>
  <si>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1 - NO</t>
  </si>
  <si>
    <t>1-Low</t>
  </si>
  <si>
    <t>0-Radial</t>
  </si>
  <si>
    <t>0-false</t>
  </si>
  <si>
    <t>; Change all values to opposite of defaults</t>
  </si>
  <si>
    <t>; Set higher speeds</t>
  </si>
  <si>
    <t>; V3.0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</si>
  <si>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</si>
  <si>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</si>
  <si>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</si>
  <si>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</si>
  <si>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</si>
  <si>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</si>
  <si>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</si>
  <si>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</si>
  <si>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</si>
  <si>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</si>
  <si>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</si>
  <si>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</si>
  <si>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</si>
  <si>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</si>
  <si>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</si>
  <si>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</si>
  <si>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</si>
  <si>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</si>
  <si>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</si>
  <si>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</si>
  <si>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</si>
  <si>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</si>
  <si>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</si>
  <si>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</si>
  <si>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</si>
  <si>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</si>
  <si>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</si>
  <si>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</si>
  <si>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</si>
  <si>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</si>
  <si>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</si>
  <si>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</si>
  <si>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</si>
  <si>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</si>
  <si>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</si>
  <si>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</si>
  <si>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</si>
  <si>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</si>
  <si>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</si>
  <si>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</si>
  <si>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</si>
  <si>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</si>
  <si>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</si>
  <si>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</si>
  <si>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Auxillary Pin</t>
  </si>
  <si>
    <t>SynchroVal_Main</t>
  </si>
  <si>
    <t>RetroAxisDistance</t>
  </si>
  <si>
    <t>RetroSpindleDistance</t>
  </si>
  <si>
    <t>NoLastLeg</t>
  </si>
  <si>
    <t>;4a: 2, 4b: 3, 3a: 6, 3b: 7, 2a: 4, 2b: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</si>
</sst>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6" borderId="8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7" borderId="8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16" borderId="0" xfId="0" applyFill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13" xfId="0" applyBorder="1"/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14" xfId="0" applyFont="1" applyBorder="1"/>
    <xf numFmtId="0" fontId="9" fillId="0" borderId="15" xfId="0" applyFont="1" applyBorder="1"/>
    <xf numFmtId="0" fontId="9" fillId="0" borderId="17" xfId="0" applyFont="1" applyBorder="1"/>
    <xf numFmtId="0" fontId="9" fillId="0" borderId="16" xfId="0" applyFont="1" applyBorder="1"/>
    <xf numFmtId="0" fontId="9" fillId="0" borderId="20" xfId="0" applyFont="1" applyBorder="1"/>
    <xf numFmtId="0" fontId="9" fillId="0" borderId="21" xfId="0" applyFont="1" applyBorder="1"/>
    <xf numFmtId="0" fontId="0" fillId="12" borderId="0" xfId="0" applyFill="1"/>
    <xf numFmtId="0" fontId="0" fillId="2" borderId="10" xfId="0" applyFill="1" applyBorder="1"/>
    <xf numFmtId="0" fontId="0" fillId="18" borderId="11" xfId="0" applyFill="1" applyBorder="1" applyAlignment="1">
      <alignment horizontal="right"/>
    </xf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Border="1"/>
    <xf numFmtId="0" fontId="0" fillId="18" borderId="0" xfId="0" applyFill="1" applyBorder="1"/>
    <xf numFmtId="0" fontId="0" fillId="8" borderId="0" xfId="0" applyFill="1" applyBorder="1" applyAlignment="1">
      <alignment horizontal="right"/>
    </xf>
    <xf numFmtId="0" fontId="0" fillId="18" borderId="0" xfId="0" applyFill="1" applyBorder="1" applyAlignment="1">
      <alignment horizontal="right"/>
    </xf>
    <xf numFmtId="0" fontId="0" fillId="0" borderId="0" xfId="0" applyFill="1"/>
    <xf numFmtId="0" fontId="0" fillId="0" borderId="11" xfId="0" applyFill="1" applyBorder="1"/>
    <xf numFmtId="0" fontId="0" fillId="12" borderId="0" xfId="0" applyFill="1" applyBorder="1"/>
    <xf numFmtId="0" fontId="0" fillId="2" borderId="0" xfId="0" applyFill="1" applyBorder="1"/>
    <xf numFmtId="0" fontId="0" fillId="12" borderId="0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11" borderId="0" xfId="0" applyFill="1" applyBorder="1"/>
    <xf numFmtId="0" fontId="0" fillId="9" borderId="10" xfId="0" applyFill="1" applyBorder="1" applyAlignment="1">
      <alignment horizontal="right"/>
    </xf>
    <xf numFmtId="0" fontId="0" fillId="0" borderId="10" xfId="0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0" borderId="10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2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5AC0"/>
      <color rgb="FFCC0066"/>
      <color rgb="FFFF00FF"/>
      <color rgb="FFCC66FF"/>
      <color rgb="FF66FF99"/>
      <color rgb="FF66FFCC"/>
      <color rgb="FF66FFFF"/>
      <color rgb="FF33CCFF"/>
      <color rgb="FFFF53D2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123825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62"/>
  <sheetViews>
    <sheetView tabSelected="1" zoomScale="120" zoomScaleNormal="120" workbookViewId="0">
      <pane ySplit="1" topLeftCell="A326" activePane="bottomLeft" state="frozen"/>
      <selection pane="bottomLeft" activeCell="Q2" sqref="Q2:Q345"/>
    </sheetView>
  </sheetViews>
  <sheetFormatPr defaultRowHeight="15" x14ac:dyDescent="0.25"/>
  <cols>
    <col min="3" max="3" width="24.140625" style="39" customWidth="1"/>
    <col min="4" max="4" width="10.140625" style="39" customWidth="1"/>
    <col min="5" max="5" width="7.7109375" bestFit="1" customWidth="1"/>
    <col min="6" max="6" width="5.7109375" customWidth="1"/>
    <col min="7" max="7" width="4.85546875" customWidth="1"/>
    <col min="8" max="8" width="5.85546875" style="38" customWidth="1"/>
    <col min="9" max="9" width="5.28515625" customWidth="1"/>
    <col min="10" max="10" width="4.42578125" customWidth="1"/>
    <col min="11" max="11" width="8.42578125" style="39" customWidth="1"/>
    <col min="12" max="12" width="5.85546875" customWidth="1"/>
    <col min="13" max="13" width="5.140625" style="45" customWidth="1"/>
    <col min="14" max="15" width="4.28515625" style="54" bestFit="1" customWidth="1"/>
    <col min="16" max="16" width="5.42578125" style="54" bestFit="1" customWidth="1"/>
    <col min="17" max="17" width="61.85546875" style="42" customWidth="1"/>
    <col min="18" max="18" width="1.85546875" customWidth="1"/>
    <col min="19" max="19" width="7.42578125" style="39" customWidth="1"/>
    <col min="20" max="20" width="25.42578125" customWidth="1"/>
    <col min="21" max="21" width="10.140625" style="39" customWidth="1"/>
    <col min="22" max="22" width="25.42578125" customWidth="1"/>
  </cols>
  <sheetData>
    <row r="1" spans="1:22" s="57" customFormat="1" ht="21.75" customHeight="1" x14ac:dyDescent="0.25">
      <c r="A1" s="57" t="s">
        <v>489</v>
      </c>
      <c r="B1" s="57" t="s">
        <v>1</v>
      </c>
      <c r="C1" s="58" t="s">
        <v>431</v>
      </c>
      <c r="D1" s="58" t="s">
        <v>432</v>
      </c>
      <c r="E1" s="57" t="s">
        <v>433</v>
      </c>
      <c r="F1" s="57" t="s">
        <v>2</v>
      </c>
      <c r="G1" s="57" t="s">
        <v>434</v>
      </c>
      <c r="H1" s="59" t="s">
        <v>25</v>
      </c>
      <c r="I1" s="57" t="s">
        <v>6</v>
      </c>
      <c r="J1" s="57" t="s">
        <v>7</v>
      </c>
      <c r="K1" s="58" t="s">
        <v>435</v>
      </c>
      <c r="L1" s="57" t="s">
        <v>443</v>
      </c>
      <c r="M1" s="60" t="s">
        <v>444</v>
      </c>
      <c r="N1" s="57">
        <f>SUM(L:L)</f>
        <v>108</v>
      </c>
      <c r="O1" s="57">
        <f>SUM(M:M)</f>
        <v>916</v>
      </c>
      <c r="P1" s="57">
        <f>SUM(N1:O1)</f>
        <v>1024</v>
      </c>
      <c r="Q1" s="57" t="s">
        <v>457</v>
      </c>
      <c r="S1" s="58" t="s">
        <v>432</v>
      </c>
      <c r="T1" s="57" t="s">
        <v>586</v>
      </c>
      <c r="U1" s="58" t="s">
        <v>432</v>
      </c>
      <c r="V1" s="57" t="s">
        <v>585</v>
      </c>
    </row>
    <row r="2" spans="1:22" x14ac:dyDescent="0.25">
      <c r="A2">
        <v>1</v>
      </c>
      <c r="C2" s="39" t="s">
        <v>578</v>
      </c>
      <c r="K2" s="38"/>
      <c r="Q2" s="42" t="str">
        <f>C2&amp;IF(ISBLANK(D2),"","=")&amp;D2</f>
        <v>; Rose Engine Ini file</v>
      </c>
      <c r="T2" s="42" t="str">
        <f>C2&amp;IF(ISBLANK(S2),"","=")&amp;S2</f>
        <v>; Rose Engine Ini file</v>
      </c>
      <c r="V2" s="42" t="str">
        <f>C2&amp;IF(ISBLANK(U2),"","=")&amp;U2</f>
        <v>; Rose Engine Ini file</v>
      </c>
    </row>
    <row r="3" spans="1:22" x14ac:dyDescent="0.25">
      <c r="A3">
        <v>2</v>
      </c>
      <c r="C3" s="39" t="s">
        <v>593</v>
      </c>
      <c r="K3" s="38"/>
      <c r="Q3" s="42" t="str">
        <f>C3&amp;IF(ISBLANK(D3),"","=")&amp;D3</f>
        <v>; V3.0</v>
      </c>
      <c r="T3" s="42" t="s">
        <v>592</v>
      </c>
      <c r="V3" s="42" t="s">
        <v>591</v>
      </c>
    </row>
    <row r="4" spans="1:22" s="80" customFormat="1" x14ac:dyDescent="0.25">
      <c r="A4">
        <v>3</v>
      </c>
      <c r="C4" s="81" t="s">
        <v>275</v>
      </c>
      <c r="D4" s="81"/>
      <c r="H4" s="82"/>
      <c r="K4" s="81"/>
      <c r="M4" s="83"/>
      <c r="N4" s="80">
        <f>SUM(L:L)</f>
        <v>108</v>
      </c>
      <c r="O4" s="80">
        <f>SUM(M:M)</f>
        <v>916</v>
      </c>
      <c r="Q4" s="80" t="str">
        <f>C4&amp;IF(ISBLANK(D4),"","=")&amp;D4</f>
        <v>[Preferences]</v>
      </c>
      <c r="S4" s="81"/>
      <c r="T4" s="80" t="str">
        <f>C4&amp;IF(ISBLANK(S4),"","=")&amp;S4</f>
        <v>[Preferences]</v>
      </c>
      <c r="U4" s="81"/>
      <c r="V4" s="42" t="str">
        <f>C4&amp;IF(ISBLANK(U4),"","=")&amp;U4</f>
        <v>[Preferences]</v>
      </c>
    </row>
    <row r="5" spans="1:22" x14ac:dyDescent="0.25">
      <c r="A5">
        <v>4</v>
      </c>
      <c r="C5" s="39" t="s">
        <v>229</v>
      </c>
      <c r="Q5" s="42" t="str">
        <f>C5&amp;IF(ISBLANK(D5),"","=")&amp;D5</f>
        <v>;</v>
      </c>
      <c r="T5" s="42" t="str">
        <f>C5&amp;IF(ISBLANK(S5),"","=")&amp;S5</f>
        <v>;</v>
      </c>
      <c r="V5" s="42" t="str">
        <f>C5&amp;IF(ISBLANK(U5),"","=")&amp;U5</f>
        <v>;</v>
      </c>
    </row>
    <row r="6" spans="1:22" x14ac:dyDescent="0.25">
      <c r="A6">
        <v>5</v>
      </c>
      <c r="C6" s="39" t="s">
        <v>276</v>
      </c>
      <c r="Q6" s="42" t="str">
        <f>C6&amp;IF(ISBLANK(D6),"","=")&amp;D6</f>
        <v>;More</v>
      </c>
      <c r="T6" s="42" t="str">
        <f>C6&amp;IF(ISBLANK(S6),"","=")&amp;S6</f>
        <v>;More</v>
      </c>
      <c r="V6" s="42" t="str">
        <f>C6&amp;IF(ISBLANK(U6),"","=")&amp;U6</f>
        <v>;More</v>
      </c>
    </row>
    <row r="7" spans="1:22" x14ac:dyDescent="0.25">
      <c r="A7">
        <v>6</v>
      </c>
      <c r="B7" t="s">
        <v>185</v>
      </c>
      <c r="C7" s="39" t="s">
        <v>459</v>
      </c>
      <c r="D7" s="39">
        <v>4</v>
      </c>
      <c r="E7" s="26">
        <v>0</v>
      </c>
      <c r="F7" s="26">
        <v>3</v>
      </c>
      <c r="G7" s="26">
        <v>16</v>
      </c>
      <c r="H7" s="110" t="str">
        <f>DEC2HEX(I7)</f>
        <v>F4</v>
      </c>
      <c r="I7" s="55">
        <v>244</v>
      </c>
      <c r="J7" s="55" t="str">
        <f>CHAR(I7)</f>
        <v>ô</v>
      </c>
      <c r="K7" s="108"/>
      <c r="L7">
        <f>IF(ISBLANK(D7),IF(E7&gt;0,F7-E7+1,0),0)</f>
        <v>0</v>
      </c>
      <c r="M7" s="45">
        <f>IF(ISBLANK(D7),0,IF(G7=0,F7-E7+1,0))</f>
        <v>0</v>
      </c>
      <c r="Q7" s="42" t="str">
        <f>C7&amp;IF(ISBLANK(D7),"","=")&amp;D7</f>
        <v>VendorId=4</v>
      </c>
      <c r="S7" s="39">
        <v>4</v>
      </c>
      <c r="T7" s="42" t="str">
        <f>C7&amp;IF(ISBLANK(S7),"","=")&amp;S7</f>
        <v>VendorId=4</v>
      </c>
      <c r="U7" s="39">
        <v>3</v>
      </c>
      <c r="V7" s="42" t="str">
        <f>C7&amp;IF(ISBLANK(U7),"","=")&amp;U7</f>
        <v>VendorId=3</v>
      </c>
    </row>
    <row r="8" spans="1:22" x14ac:dyDescent="0.25">
      <c r="A8">
        <v>7</v>
      </c>
      <c r="B8" t="s">
        <v>185</v>
      </c>
      <c r="C8" s="39" t="s">
        <v>310</v>
      </c>
      <c r="D8" s="39">
        <v>5</v>
      </c>
      <c r="E8" s="26">
        <v>0</v>
      </c>
      <c r="F8" s="26">
        <v>3</v>
      </c>
      <c r="G8" s="26">
        <v>24</v>
      </c>
      <c r="H8" s="56" t="str">
        <f>DEC2HEX(I8)</f>
        <v>F5</v>
      </c>
      <c r="I8" s="55">
        <v>245</v>
      </c>
      <c r="J8" s="55" t="str">
        <f>CHAR(I8)</f>
        <v>õ</v>
      </c>
      <c r="K8" s="108"/>
      <c r="L8">
        <f>IF(ISBLANK(D8),IF(E8&gt;0,F8-E8+1,0),0)</f>
        <v>0</v>
      </c>
      <c r="M8" s="45">
        <f>IF(ISBLANK(D8),0,IF(G8=0,F8-E8+1,0))</f>
        <v>0</v>
      </c>
      <c r="Q8" s="42" t="str">
        <f>C8&amp;IF(ISBLANK(D8),"","=")&amp;D8</f>
        <v>MotorCount=5</v>
      </c>
      <c r="S8" s="39">
        <v>5</v>
      </c>
      <c r="T8" s="42" t="str">
        <f>C8&amp;IF(ISBLANK(S8),"","=")&amp;S8</f>
        <v>MotorCount=5</v>
      </c>
      <c r="U8" s="39">
        <v>3</v>
      </c>
      <c r="V8" s="42" t="str">
        <f>C8&amp;IF(ISBLANK(U8),"","=")&amp;U8</f>
        <v>MotorCount=3</v>
      </c>
    </row>
    <row r="9" spans="1:22" x14ac:dyDescent="0.25">
      <c r="A9">
        <v>8</v>
      </c>
      <c r="C9" s="39" t="s">
        <v>451</v>
      </c>
      <c r="K9" s="102"/>
      <c r="Q9" s="42" t="str">
        <f>C9&amp;IF(ISBLANK(D9),"","=")&amp;D9</f>
        <v>;CutterMotorPin must be greater than 16 on 4 motor board.</v>
      </c>
      <c r="T9" s="42" t="str">
        <f>C9&amp;IF(ISBLANK(S9),"","=")&amp;S9</f>
        <v>;CutterMotorPin must be greater than 16 on 4 motor board.</v>
      </c>
      <c r="V9" s="42" t="str">
        <f>C9&amp;IF(ISBLANK(U9),"","=")&amp;U9</f>
        <v>;CutterMotorPin must be greater than 16 on 4 motor board.</v>
      </c>
    </row>
    <row r="10" spans="1:22" x14ac:dyDescent="0.25">
      <c r="A10">
        <v>9</v>
      </c>
      <c r="C10" s="39" t="s">
        <v>452</v>
      </c>
      <c r="K10" s="102"/>
      <c r="Q10" s="42" t="str">
        <f>C10&amp;IF(ISBLANK(D10),"","=")&amp;D10</f>
        <v>;CutterMotorPin must be greater than 24 on 5 motor board.</v>
      </c>
      <c r="T10" s="42" t="str">
        <f>C10&amp;IF(ISBLANK(S10),"","=")&amp;S10</f>
        <v>;CutterMotorPin must be greater than 24 on 5 motor board.</v>
      </c>
      <c r="V10" s="42" t="str">
        <f>C10&amp;IF(ISBLANK(U10),"","=")&amp;U10</f>
        <v>;CutterMotorPin must be greater than 24 on 5 motor board.</v>
      </c>
    </row>
    <row r="11" spans="1:22" x14ac:dyDescent="0.25">
      <c r="A11" s="106">
        <v>10</v>
      </c>
      <c r="B11" s="106" t="s">
        <v>185</v>
      </c>
      <c r="C11" s="107" t="s">
        <v>638</v>
      </c>
      <c r="D11" s="107">
        <v>47</v>
      </c>
      <c r="E11" s="26">
        <v>104</v>
      </c>
      <c r="F11" s="26">
        <v>107</v>
      </c>
      <c r="G11" s="26">
        <v>24</v>
      </c>
      <c r="H11" s="49" t="str">
        <f>DEC2HEX(I11)</f>
        <v>AA</v>
      </c>
      <c r="I11" s="27">
        <v>170</v>
      </c>
      <c r="J11" s="27" t="str">
        <f>CHAR(I11)</f>
        <v>ª</v>
      </c>
      <c r="L11">
        <f>IF(ISBLANK(D11),IF(E11&gt;0,F11-E11+1,0),0)</f>
        <v>0</v>
      </c>
      <c r="M11" s="45">
        <f>IF(ISBLANK(D11),0,IF(G11=0,F11-E11+1,0))</f>
        <v>0</v>
      </c>
      <c r="Q11" s="42" t="str">
        <f>C11&amp;IF(ISBLANK(D11),"","=")&amp;D11</f>
        <v>Auxillary Pin=47</v>
      </c>
      <c r="S11" s="39">
        <v>47</v>
      </c>
      <c r="T11" s="42" t="str">
        <f>C11&amp;IF(ISBLANK(S11),"","=")&amp;S11</f>
        <v>Auxillary Pin=47</v>
      </c>
      <c r="U11" s="39">
        <v>54</v>
      </c>
      <c r="V11" s="42" t="str">
        <f>C11&amp;IF(ISBLANK(U11),"","=")&amp;U11</f>
        <v>Auxillary Pin=54</v>
      </c>
    </row>
    <row r="12" spans="1:22" x14ac:dyDescent="0.25">
      <c r="A12">
        <v>11</v>
      </c>
      <c r="B12" t="s">
        <v>185</v>
      </c>
      <c r="C12" s="39" t="s">
        <v>311</v>
      </c>
      <c r="D12" s="39">
        <v>0</v>
      </c>
      <c r="E12" s="26">
        <v>416</v>
      </c>
      <c r="F12" s="26">
        <v>419</v>
      </c>
      <c r="G12" s="26">
        <v>24</v>
      </c>
      <c r="H12" s="49" t="str">
        <f>DEC2HEX(I12)</f>
        <v>50</v>
      </c>
      <c r="I12" s="27">
        <v>80</v>
      </c>
      <c r="J12" s="27" t="str">
        <f>CHAR(I12)</f>
        <v>P</v>
      </c>
      <c r="K12" s="39" t="s">
        <v>590</v>
      </c>
      <c r="L12">
        <f>IF(ISBLANK(D12),IF(E12&gt;0,F12-E12+1,0),0)</f>
        <v>0</v>
      </c>
      <c r="M12" s="45">
        <f>IF(ISBLANK(D12),0,IF(G12=0,F12-E12+1,0))</f>
        <v>0</v>
      </c>
      <c r="Q12" s="42" t="str">
        <f>C12&amp;IF(ISBLANK(D12),"","=")&amp;D12</f>
        <v>KeepSteppersEnabled=0</v>
      </c>
      <c r="S12" s="39">
        <v>0</v>
      </c>
      <c r="T12" s="42" t="str">
        <f>C12&amp;IF(ISBLANK(S12),"","=")&amp;S12</f>
        <v>KeepSteppersEnabled=0</v>
      </c>
      <c r="U12" s="39">
        <v>1</v>
      </c>
      <c r="V12" s="42" t="str">
        <f>C12&amp;IF(ISBLANK(U12),"","=")&amp;U12</f>
        <v>KeepSteppersEnabled=1</v>
      </c>
    </row>
    <row r="13" spans="1:22" s="30" customFormat="1" x14ac:dyDescent="0.25">
      <c r="A13">
        <v>12</v>
      </c>
      <c r="C13" s="48" t="s">
        <v>277</v>
      </c>
      <c r="D13" s="48"/>
      <c r="H13" s="79"/>
      <c r="K13" s="48"/>
      <c r="M13" s="74"/>
      <c r="Q13" s="30" t="str">
        <f>C13&amp;IF(ISBLANK(D13),"","=")&amp;D13</f>
        <v>; Spindle</v>
      </c>
      <c r="S13" s="48"/>
      <c r="T13" s="30" t="str">
        <f>C13&amp;IF(ISBLANK(S13),"","=")&amp;S13</f>
        <v>; Spindle</v>
      </c>
      <c r="U13" s="48"/>
      <c r="V13" s="42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39" t="s">
        <v>312</v>
      </c>
      <c r="D14" s="39">
        <v>32</v>
      </c>
      <c r="E14" s="26">
        <v>200</v>
      </c>
      <c r="F14" s="26">
        <v>203</v>
      </c>
      <c r="G14" s="26"/>
      <c r="H14" s="49" t="str">
        <f>DEC2HEX(I14)</f>
        <v>70</v>
      </c>
      <c r="I14" s="27">
        <v>112</v>
      </c>
      <c r="J14" s="27" t="str">
        <f>CHAR(I14)</f>
        <v>p</v>
      </c>
      <c r="L14">
        <f>IF(ISBLANK(D14),IF(E14&gt;0,F14-E14+1,0),0)</f>
        <v>0</v>
      </c>
      <c r="M14" s="45">
        <f>IF(ISBLANK(D14),0,IF(G14=0,F14-E14+1,0))</f>
        <v>4</v>
      </c>
      <c r="Q14" s="42" t="str">
        <f>C14&amp;IF(ISBLANK(D14),"","=")&amp;D14</f>
        <v>Microsteps_Spindle=32</v>
      </c>
      <c r="S14" s="39">
        <v>32</v>
      </c>
      <c r="T14" s="42" t="str">
        <f>C14&amp;IF(ISBLANK(S14),"","=")&amp;S14</f>
        <v>Microsteps_Spindle=32</v>
      </c>
      <c r="U14" s="39">
        <v>16</v>
      </c>
      <c r="V14" s="42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39" t="s">
        <v>313</v>
      </c>
      <c r="D15" s="39">
        <v>200</v>
      </c>
      <c r="E15" s="26">
        <v>80</v>
      </c>
      <c r="F15" s="26">
        <v>83</v>
      </c>
      <c r="G15" s="26"/>
      <c r="H15" s="49" t="str">
        <f>DEC2HEX(I15)</f>
        <v>72</v>
      </c>
      <c r="I15" s="27">
        <v>114</v>
      </c>
      <c r="J15" s="27" t="str">
        <f>CHAR(I15)</f>
        <v>r</v>
      </c>
      <c r="L15">
        <f>IF(ISBLANK(D15),IF(E15&gt;0,F15-E15+1,0),0)</f>
        <v>0</v>
      </c>
      <c r="M15" s="45">
        <f>IF(ISBLANK(D15),0,IF(G15=0,F15-E15+1,0))</f>
        <v>4</v>
      </c>
      <c r="Q15" s="42" t="str">
        <f>C15&amp;IF(ISBLANK(D15),"","=")&amp;D15</f>
        <v>StepsPer360_Spindle=200</v>
      </c>
      <c r="S15" s="39">
        <v>200</v>
      </c>
      <c r="T15" s="42" t="str">
        <f>C15&amp;IF(ISBLANK(S15),"","=")&amp;S15</f>
        <v>StepsPer360_Spindle=200</v>
      </c>
      <c r="U15" s="39">
        <v>400</v>
      </c>
      <c r="V15" s="42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39" t="s">
        <v>314</v>
      </c>
      <c r="D16" s="39">
        <v>9</v>
      </c>
      <c r="E16" s="51">
        <v>268</v>
      </c>
      <c r="F16" s="51">
        <v>275</v>
      </c>
      <c r="G16" s="26"/>
      <c r="H16" s="49" t="str">
        <f>DEC2HEX(I16)</f>
        <v>73</v>
      </c>
      <c r="I16" s="27">
        <v>115</v>
      </c>
      <c r="J16" s="27" t="str">
        <f>CHAR(I16)</f>
        <v>s</v>
      </c>
      <c r="L16">
        <f>IF(ISBLANK(D16),IF(E16&gt;0,F16-E16+1,0),0)</f>
        <v>0</v>
      </c>
      <c r="M16" s="45">
        <f>IF(ISBLANK(D16),0,IF(G16=0,F16-E16+1,0))</f>
        <v>8</v>
      </c>
      <c r="Q16" s="42" t="str">
        <f>C16&amp;IF(ISBLANK(D16),"","=")&amp;D16</f>
        <v>GearRatio_Spindle=9</v>
      </c>
      <c r="S16" s="39">
        <v>1</v>
      </c>
      <c r="T16" s="42" t="str">
        <f>C16&amp;IF(ISBLANK(S16),"","=")&amp;S16</f>
        <v>GearRatio_Spindle=1</v>
      </c>
      <c r="U16" s="39">
        <v>1.111</v>
      </c>
      <c r="V16" s="42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39" t="s">
        <v>529</v>
      </c>
      <c r="Q17" s="42" t="str">
        <f>C17&amp;IF(ISBLANK(D17),"","=")&amp;D17</f>
        <v>;Polarity: Low=1, High=0</v>
      </c>
      <c r="T17" s="42" t="str">
        <f>C17&amp;IF(ISBLANK(S17),"","=")&amp;S17</f>
        <v>;Polarity: Low=1, High=0</v>
      </c>
      <c r="V17" s="42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39" t="s">
        <v>315</v>
      </c>
      <c r="D18" s="39">
        <v>1</v>
      </c>
      <c r="E18" s="26">
        <v>460</v>
      </c>
      <c r="F18" s="26">
        <v>463</v>
      </c>
      <c r="G18" s="26">
        <v>16</v>
      </c>
      <c r="H18" s="49" t="str">
        <f>DEC2HEX(I18)</f>
        <v>D8</v>
      </c>
      <c r="I18" s="27">
        <v>216</v>
      </c>
      <c r="J18" s="27" t="str">
        <f>CHAR(I18)</f>
        <v>Ø</v>
      </c>
      <c r="L18">
        <f>IF(ISBLANK(D18),IF(E18&gt;0,F18-E18+1,0),0)</f>
        <v>0</v>
      </c>
      <c r="M18" s="45">
        <f>IF(ISBLANK(D18),0,IF(G18=0,F18-E18+1,0))</f>
        <v>0</v>
      </c>
      <c r="Q18" s="42" t="str">
        <f>C18&amp;IF(ISBLANK(D18),"","=")&amp;D18</f>
        <v>Polarity_Spindle=1</v>
      </c>
      <c r="S18" s="39">
        <v>1</v>
      </c>
      <c r="T18" s="42" t="str">
        <f>C18&amp;IF(ISBLANK(S18),"","=")&amp;S18</f>
        <v>Polarity_Spindle=1</v>
      </c>
      <c r="U18" s="39">
        <v>0</v>
      </c>
      <c r="V18" s="42" t="str">
        <f>C18&amp;IF(ISBLANK(U18),"","=")&amp;U18</f>
        <v>Polarity_Spindle=0</v>
      </c>
    </row>
    <row r="19" spans="1:22" s="30" customFormat="1" x14ac:dyDescent="0.25">
      <c r="A19">
        <v>18</v>
      </c>
      <c r="C19" s="48" t="s">
        <v>278</v>
      </c>
      <c r="D19" s="48"/>
      <c r="H19" s="79"/>
      <c r="K19" s="48"/>
      <c r="M19" s="74"/>
      <c r="Q19" s="30" t="str">
        <f>C19&amp;IF(ISBLANK(D19),"","=")&amp;D19</f>
        <v>;Z Axis</v>
      </c>
      <c r="S19" s="48"/>
      <c r="T19" s="30" t="str">
        <f>C19&amp;IF(ISBLANK(S19),"","=")&amp;S19</f>
        <v>;Z Axis</v>
      </c>
      <c r="U19" s="48"/>
      <c r="V19" s="42" t="str">
        <f>C19&amp;IF(ISBLANK(U19),"","=")&amp;U19</f>
        <v>;Z Axis</v>
      </c>
    </row>
    <row r="20" spans="1:22" x14ac:dyDescent="0.25">
      <c r="A20" s="106">
        <v>19</v>
      </c>
      <c r="B20" s="106" t="s">
        <v>41</v>
      </c>
      <c r="C20" s="107" t="s">
        <v>316</v>
      </c>
      <c r="D20" s="107">
        <v>32</v>
      </c>
      <c r="E20" s="27">
        <v>196</v>
      </c>
      <c r="F20" s="27">
        <v>199</v>
      </c>
      <c r="G20" s="26"/>
      <c r="H20" s="49" t="str">
        <f>DEC2HEX(I20)</f>
        <v>79</v>
      </c>
      <c r="I20" s="27">
        <v>121</v>
      </c>
      <c r="J20" s="27" t="str">
        <f>CHAR(I20)</f>
        <v>y</v>
      </c>
      <c r="L20">
        <f>IF(ISBLANK(D20),IF(E20&gt;0,F20-E20+1,0),0)</f>
        <v>0</v>
      </c>
      <c r="M20" s="45">
        <f>IF(ISBLANK(D20),0,IF(G20=0,F20-E20+1,0))</f>
        <v>4</v>
      </c>
      <c r="Q20" s="42" t="str">
        <f>C20&amp;IF(ISBLANK(D20),"","=")&amp;D20</f>
        <v>Microsteps_Z=32</v>
      </c>
      <c r="S20" s="39">
        <v>32</v>
      </c>
      <c r="T20" s="42" t="str">
        <f>C20&amp;IF(ISBLANK(S20),"","=")&amp;S20</f>
        <v>Microsteps_Z=32</v>
      </c>
      <c r="U20" s="39">
        <v>8</v>
      </c>
      <c r="V20" s="42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39" t="s">
        <v>317</v>
      </c>
      <c r="D21" s="39">
        <v>200</v>
      </c>
      <c r="E21" s="26">
        <v>468</v>
      </c>
      <c r="F21" s="26">
        <v>471</v>
      </c>
      <c r="G21" s="26"/>
      <c r="H21" s="49" t="str">
        <f>DEC2HEX(I21)</f>
        <v>7A</v>
      </c>
      <c r="I21" s="27">
        <v>122</v>
      </c>
      <c r="J21" s="27" t="str">
        <f>CHAR(I21)</f>
        <v>z</v>
      </c>
      <c r="L21">
        <f>IF(ISBLANK(D21),IF(E21&gt;0,F21-E21+1,0),0)</f>
        <v>0</v>
      </c>
      <c r="M21" s="45">
        <f>IF(ISBLANK(D21),0,IF(G21=0,F21-E21+1,0))</f>
        <v>4</v>
      </c>
      <c r="Q21" s="42" t="str">
        <f>C21&amp;IF(ISBLANK(D21),"","=")&amp;D21</f>
        <v>StepsPer360_Z=200</v>
      </c>
      <c r="S21" s="39">
        <v>200</v>
      </c>
      <c r="T21" s="42" t="str">
        <f>C21&amp;IF(ISBLANK(S21),"","=")&amp;S21</f>
        <v>StepsPer360_Z=200</v>
      </c>
      <c r="U21" s="39">
        <v>400</v>
      </c>
      <c r="V21" s="42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39" t="s">
        <v>318</v>
      </c>
      <c r="D22" s="39">
        <v>0.187</v>
      </c>
      <c r="E22" s="26">
        <v>512</v>
      </c>
      <c r="F22" s="26">
        <v>519</v>
      </c>
      <c r="G22" s="26"/>
      <c r="H22" s="49" t="str">
        <f>DEC2HEX(I22)</f>
        <v>7B</v>
      </c>
      <c r="I22" s="27">
        <v>123</v>
      </c>
      <c r="J22" s="27" t="str">
        <f>CHAR(I22)</f>
        <v>{</v>
      </c>
      <c r="L22">
        <f>IF(ISBLANK(D22),IF(E22&gt;0,F22-E22+1,0),0)</f>
        <v>0</v>
      </c>
      <c r="M22" s="45">
        <f>IF(ISBLANK(D22),0,IF(G22=0,F22-E22+1,0))</f>
        <v>8</v>
      </c>
      <c r="Q22" s="42" t="str">
        <f>C22&amp;IF(ISBLANK(D22),"","=")&amp;D22</f>
        <v>DistancePer360_Z=0.187</v>
      </c>
      <c r="S22" s="39">
        <v>0.01</v>
      </c>
      <c r="T22" s="42" t="str">
        <f>C22&amp;IF(ISBLANK(S22),"","=")&amp;S22</f>
        <v>DistancePer360_Z=0.01</v>
      </c>
      <c r="U22" s="39">
        <v>1.3653999999999999E-2</v>
      </c>
      <c r="V22" s="42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39" t="s">
        <v>319</v>
      </c>
      <c r="D23" s="39">
        <v>1</v>
      </c>
      <c r="E23" s="26">
        <v>460</v>
      </c>
      <c r="F23" s="26">
        <v>463</v>
      </c>
      <c r="G23" s="26">
        <v>0</v>
      </c>
      <c r="H23" s="49" t="str">
        <f>DEC2HEX(I23)</f>
        <v>D9</v>
      </c>
      <c r="I23" s="27">
        <v>217</v>
      </c>
      <c r="J23" s="27" t="str">
        <f>CHAR(I23)</f>
        <v>Ù</v>
      </c>
      <c r="L23">
        <f>IF(ISBLANK(D23),IF(E23&gt;0,F23-E23+1,0),0)</f>
        <v>0</v>
      </c>
      <c r="M23" s="45">
        <f>IF(ISBLANK(D23),0,IF(G23=0,F23-E23+1,0))</f>
        <v>4</v>
      </c>
      <c r="Q23" s="42" t="str">
        <f>C23&amp;IF(ISBLANK(D23),"","=")&amp;D23</f>
        <v>Polarity_Z=1</v>
      </c>
      <c r="S23" s="39">
        <v>1</v>
      </c>
      <c r="T23" s="42" t="str">
        <f>C23&amp;IF(ISBLANK(S23),"","=")&amp;S23</f>
        <v>Polarity_Z=1</v>
      </c>
      <c r="U23" s="39">
        <v>0</v>
      </c>
      <c r="V23" s="42" t="str">
        <f>C23&amp;IF(ISBLANK(U23),"","=")&amp;U23</f>
        <v>Polarity_Z=0</v>
      </c>
    </row>
    <row r="24" spans="1:22" x14ac:dyDescent="0.25">
      <c r="A24">
        <v>23</v>
      </c>
      <c r="C24" s="39" t="s">
        <v>577</v>
      </c>
      <c r="E24" s="26"/>
      <c r="F24" s="26"/>
      <c r="G24" s="26"/>
      <c r="H24" s="49"/>
      <c r="I24" s="27"/>
      <c r="J24" s="27"/>
      <c r="Q24" s="42" t="str">
        <f>C24&amp;IF(ISBLANK(D24),"","=")&amp;D24</f>
        <v>; Hand: 0=Left, 1=Right</v>
      </c>
      <c r="T24" s="42" t="str">
        <f>C24&amp;IF(ISBLANK(S24),"","=")&amp;S24</f>
        <v>; Hand: 0=Left, 1=Right</v>
      </c>
      <c r="V24" s="42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39" t="s">
        <v>571</v>
      </c>
      <c r="D25" s="39">
        <v>0</v>
      </c>
      <c r="E25" s="26">
        <v>252</v>
      </c>
      <c r="F25" s="26">
        <v>255</v>
      </c>
      <c r="G25" s="26">
        <v>0</v>
      </c>
      <c r="H25" s="49"/>
      <c r="I25" s="27"/>
      <c r="J25" s="27"/>
      <c r="L25">
        <f>IF(ISBLANK(D25),IF(E25&gt;0,F25-E25+1,0),0)</f>
        <v>0</v>
      </c>
      <c r="M25" s="45">
        <f>IF(ISBLANK(D25),0,IF(G25=0,F25-E25+1,0))</f>
        <v>4</v>
      </c>
      <c r="Q25" s="42" t="str">
        <f>C25&amp;IF(ISBLANK(D25),"","=")&amp;D25</f>
        <v>Leadscrew_Hand_Z=0</v>
      </c>
      <c r="S25" s="39">
        <v>1</v>
      </c>
      <c r="T25" s="42" t="str">
        <f>C25&amp;IF(ISBLANK(S25),"","=")&amp;S25</f>
        <v>Leadscrew_Hand_Z=1</v>
      </c>
      <c r="U25" s="39">
        <v>0</v>
      </c>
      <c r="V25" s="42" t="str">
        <f>C25&amp;IF(ISBLANK(U25),"","=")&amp;U25</f>
        <v>Leadscrew_Hand_Z=0</v>
      </c>
    </row>
    <row r="26" spans="1:22" s="30" customFormat="1" x14ac:dyDescent="0.25">
      <c r="A26">
        <v>25</v>
      </c>
      <c r="C26" s="48" t="s">
        <v>279</v>
      </c>
      <c r="D26" s="48"/>
      <c r="H26" s="79"/>
      <c r="K26" s="112"/>
      <c r="M26" s="74"/>
      <c r="Q26" s="30" t="str">
        <f>C26&amp;IF(ISBLANK(D26),"","=")&amp;D26</f>
        <v>;X Axis</v>
      </c>
      <c r="S26" s="48"/>
      <c r="T26" s="30" t="str">
        <f>C26&amp;IF(ISBLANK(S26),"","=")&amp;S26</f>
        <v>;X Axis</v>
      </c>
      <c r="U26" s="48"/>
      <c r="V26" s="42" t="str">
        <f>C26&amp;IF(ISBLANK(U26),"","=")&amp;U26</f>
        <v>;X Axis</v>
      </c>
    </row>
    <row r="27" spans="1:22" x14ac:dyDescent="0.25">
      <c r="A27" s="106">
        <v>26</v>
      </c>
      <c r="B27" s="106" t="s">
        <v>222</v>
      </c>
      <c r="C27" s="107" t="s">
        <v>320</v>
      </c>
      <c r="D27" s="107">
        <v>0</v>
      </c>
      <c r="E27" s="26">
        <v>188</v>
      </c>
      <c r="F27" s="26">
        <v>191</v>
      </c>
      <c r="G27" s="26"/>
      <c r="H27" s="49" t="str">
        <f>DEC2HEX(I27)</f>
        <v>F3</v>
      </c>
      <c r="I27" s="27">
        <v>243</v>
      </c>
      <c r="J27" s="27" t="str">
        <f>CHAR(I27)</f>
        <v>ó</v>
      </c>
      <c r="L27">
        <f>IF(ISBLANK(D27),IF(E27&gt;0,F27-E27+1,0),0)</f>
        <v>0</v>
      </c>
      <c r="M27" s="45">
        <f>IF(ISBLANK(D27),0,IF(G27=0,F27-E27+1,0))</f>
        <v>4</v>
      </c>
      <c r="Q27" s="42" t="str">
        <f>C27&amp;IF(ISBLANK(D27),"","=")&amp;D27</f>
        <v>XorAltXSelected=0</v>
      </c>
      <c r="S27" s="39">
        <v>0</v>
      </c>
      <c r="T27" s="42" t="str">
        <f>C27&amp;IF(ISBLANK(S27),"","=")&amp;S27</f>
        <v>XorAltXSelected=0</v>
      </c>
      <c r="U27" s="39">
        <v>1</v>
      </c>
      <c r="V27" s="42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107" t="s">
        <v>321</v>
      </c>
      <c r="D28" s="107">
        <v>32</v>
      </c>
      <c r="E28" s="26">
        <v>564</v>
      </c>
      <c r="F28" s="26">
        <v>567</v>
      </c>
      <c r="G28" s="26"/>
      <c r="H28" s="49" t="str">
        <f>DEC2HEX(I28)</f>
        <v>BB</v>
      </c>
      <c r="I28" s="27">
        <v>187</v>
      </c>
      <c r="J28" s="27" t="str">
        <f>CHAR(I28)</f>
        <v>»</v>
      </c>
      <c r="K28" s="102"/>
      <c r="L28">
        <f>IF(ISBLANK(D28),IF(E28&gt;0,F28-E28+1,0),0)</f>
        <v>0</v>
      </c>
      <c r="M28" s="45">
        <f>IF(ISBLANK(D28),0,IF(G28=0,F28-E28+1,0))</f>
        <v>4</v>
      </c>
      <c r="Q28" s="42" t="str">
        <f>C28&amp;IF(ISBLANK(D28),"","=")&amp;D28</f>
        <v>Microsteps_X=32</v>
      </c>
      <c r="S28" s="39">
        <v>32</v>
      </c>
      <c r="T28" s="42" t="str">
        <f>C28&amp;IF(ISBLANK(S28),"","=")&amp;S28</f>
        <v>Microsteps_X=32</v>
      </c>
      <c r="U28" s="39">
        <v>16</v>
      </c>
      <c r="V28" s="42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39" t="s">
        <v>322</v>
      </c>
      <c r="D29" s="39">
        <v>200</v>
      </c>
      <c r="E29" s="26">
        <v>484</v>
      </c>
      <c r="F29" s="26">
        <v>487</v>
      </c>
      <c r="G29" s="26"/>
      <c r="H29" s="49" t="str">
        <f>DEC2HEX(I29)</f>
        <v>BC</v>
      </c>
      <c r="I29" s="27">
        <v>188</v>
      </c>
      <c r="J29" s="27" t="str">
        <f>CHAR(I29)</f>
        <v>¼</v>
      </c>
      <c r="L29">
        <f>IF(ISBLANK(D29),IF(E29&gt;0,F29-E29+1,0),0)</f>
        <v>0</v>
      </c>
      <c r="M29" s="45">
        <f>IF(ISBLANK(D29),0,IF(G29=0,F29-E29+1,0))</f>
        <v>4</v>
      </c>
      <c r="Q29" s="42" t="str">
        <f>C29&amp;IF(ISBLANK(D29),"","=")&amp;D29</f>
        <v>StepsPer360_X=200</v>
      </c>
      <c r="R29" s="4"/>
      <c r="S29" s="39">
        <v>200</v>
      </c>
      <c r="T29" s="42" t="str">
        <f>C29&amp;IF(ISBLANK(S29),"","=")&amp;S29</f>
        <v>StepsPer360_X=200</v>
      </c>
      <c r="U29" s="39">
        <v>400</v>
      </c>
      <c r="V29" s="42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39" t="s">
        <v>323</v>
      </c>
      <c r="D30" s="39">
        <v>0.187</v>
      </c>
      <c r="E30" s="26">
        <v>488</v>
      </c>
      <c r="F30" s="26">
        <v>495</v>
      </c>
      <c r="G30" s="26"/>
      <c r="H30" s="49" t="str">
        <f>DEC2HEX(I30)</f>
        <v>BD</v>
      </c>
      <c r="I30" s="27">
        <v>189</v>
      </c>
      <c r="J30" s="27" t="str">
        <f>CHAR(I30)</f>
        <v>½</v>
      </c>
      <c r="L30">
        <f>IF(ISBLANK(D30),IF(E30&gt;0,F30-E30+1,0),0)</f>
        <v>0</v>
      </c>
      <c r="M30" s="45">
        <f>IF(ISBLANK(D30),0,IF(G30=0,F30-E30+1,0))</f>
        <v>8</v>
      </c>
      <c r="Q30" s="42" t="str">
        <f>C30&amp;IF(ISBLANK(D30),"","=")&amp;D30</f>
        <v>DistancePer360_X=0.187</v>
      </c>
      <c r="S30" s="39">
        <v>0.01</v>
      </c>
      <c r="T30" s="42" t="str">
        <f>C30&amp;IF(ISBLANK(S30),"","=")&amp;S30</f>
        <v>DistancePer360_X=0.01</v>
      </c>
      <c r="U30" s="39">
        <v>1.02</v>
      </c>
      <c r="V30" s="42" t="str">
        <f>C30&amp;IF(ISBLANK(U30),"","=")&amp;U30</f>
        <v>DistancePer360_X=1.02</v>
      </c>
    </row>
    <row r="31" spans="1:22" x14ac:dyDescent="0.25">
      <c r="A31" s="106">
        <v>30</v>
      </c>
      <c r="B31" s="106" t="s">
        <v>222</v>
      </c>
      <c r="C31" s="107" t="s">
        <v>324</v>
      </c>
      <c r="D31" s="107">
        <v>1</v>
      </c>
      <c r="E31" s="26">
        <v>176</v>
      </c>
      <c r="F31" s="26">
        <v>179</v>
      </c>
      <c r="G31" s="26">
        <v>16</v>
      </c>
      <c r="H31" s="49" t="str">
        <f>DEC2HEX(I31)</f>
        <v>DA</v>
      </c>
      <c r="I31" s="27">
        <v>218</v>
      </c>
      <c r="J31" s="27" t="str">
        <f>CHAR(I31)</f>
        <v>Ú</v>
      </c>
      <c r="L31">
        <f>IF(ISBLANK(D31),IF(E31&gt;0,F31-E31+1,0),0)</f>
        <v>0</v>
      </c>
      <c r="M31" s="45">
        <f>IF(ISBLANK(D31),0,IF(G31=0,F31-E31+1,0))</f>
        <v>0</v>
      </c>
      <c r="Q31" s="42" t="str">
        <f>C31&amp;IF(ISBLANK(D31),"","=")&amp;D31</f>
        <v>Polarity_X=1</v>
      </c>
      <c r="S31" s="39">
        <v>1</v>
      </c>
      <c r="T31" s="42" t="str">
        <f>C31&amp;IF(ISBLANK(S31),"","=")&amp;S31</f>
        <v>Polarity_X=1</v>
      </c>
      <c r="U31" s="39">
        <v>0</v>
      </c>
      <c r="V31" s="42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39" t="s">
        <v>572</v>
      </c>
      <c r="D32" s="39">
        <v>0</v>
      </c>
      <c r="E32" s="26">
        <v>252</v>
      </c>
      <c r="F32" s="26">
        <v>255</v>
      </c>
      <c r="G32" s="26">
        <v>8</v>
      </c>
      <c r="H32" s="49"/>
      <c r="I32" s="27"/>
      <c r="J32" s="27"/>
      <c r="L32">
        <f>IF(ISBLANK(D32),IF(E32&gt;0,F32-E32+1,0),0)</f>
        <v>0</v>
      </c>
      <c r="M32" s="45">
        <f>IF(ISBLANK(D32),0,IF(G32=0,F32-E32+1,0))</f>
        <v>0</v>
      </c>
      <c r="Q32" s="42" t="str">
        <f>C32&amp;IF(ISBLANK(D32),"","=")&amp;D32</f>
        <v>Leadscrew_Hand_X=0</v>
      </c>
      <c r="S32" s="39">
        <v>1</v>
      </c>
      <c r="T32" s="42" t="str">
        <f>C32&amp;IF(ISBLANK(S32),"","=")&amp;S32</f>
        <v>Leadscrew_Hand_X=1</v>
      </c>
      <c r="U32" s="39">
        <v>0</v>
      </c>
      <c r="V32" s="42" t="str">
        <f>C32&amp;IF(ISBLANK(U32),"","=")&amp;U32</f>
        <v>Leadscrew_Hand_X=0</v>
      </c>
    </row>
    <row r="33" spans="1:22" s="30" customFormat="1" x14ac:dyDescent="0.25">
      <c r="A33">
        <v>32</v>
      </c>
      <c r="C33" s="48" t="s">
        <v>280</v>
      </c>
      <c r="D33" s="48"/>
      <c r="H33" s="79"/>
      <c r="K33" s="48"/>
      <c r="M33" s="74"/>
      <c r="Q33" s="30" t="str">
        <f>C33&amp;IF(ISBLANK(D33),"","=")&amp;D33</f>
        <v>;Alternate X Axis</v>
      </c>
      <c r="S33" s="48"/>
      <c r="T33" s="30" t="str">
        <f>C33&amp;IF(ISBLANK(S33),"","=")&amp;S33</f>
        <v>;Alternate X Axis</v>
      </c>
      <c r="U33" s="48"/>
      <c r="V33" s="42" t="str">
        <f>C33&amp;IF(ISBLANK(U33),"","=")&amp;U33</f>
        <v>;Alternate X Axis</v>
      </c>
    </row>
    <row r="34" spans="1:22" x14ac:dyDescent="0.25">
      <c r="A34">
        <v>33</v>
      </c>
      <c r="B34" t="s">
        <v>437</v>
      </c>
      <c r="C34" s="107" t="s">
        <v>325</v>
      </c>
      <c r="D34" s="107">
        <v>32</v>
      </c>
      <c r="E34" s="26">
        <v>568</v>
      </c>
      <c r="F34" s="26">
        <v>571</v>
      </c>
      <c r="G34" s="26"/>
      <c r="H34" s="49" t="str">
        <f>DEC2HEX(I34)</f>
        <v>EF</v>
      </c>
      <c r="I34" s="27">
        <v>239</v>
      </c>
      <c r="J34" s="27" t="str">
        <f>CHAR(I34)</f>
        <v>ï</v>
      </c>
      <c r="L34">
        <f>IF(ISBLANK(D34),IF(E34&gt;0,F34-E34+1,0),0)</f>
        <v>0</v>
      </c>
      <c r="M34" s="45">
        <f>IF(ISBLANK(D34),0,IF(G34=0,F34-E34+1,0))</f>
        <v>4</v>
      </c>
      <c r="Q34" s="42" t="str">
        <f>C34&amp;IF(ISBLANK(D34),"","=")&amp;D34</f>
        <v>Microsteps_AltX=32</v>
      </c>
      <c r="S34" s="39">
        <v>32</v>
      </c>
      <c r="T34" s="42" t="str">
        <f>C34&amp;IF(ISBLANK(S34),"","=")&amp;S34</f>
        <v>Microsteps_AltX=32</v>
      </c>
      <c r="U34" s="39">
        <v>8</v>
      </c>
      <c r="V34" s="42" t="str">
        <f>C34&amp;IF(ISBLANK(U34),"","=")&amp;U34</f>
        <v>Microsteps_AltX=8</v>
      </c>
    </row>
    <row r="35" spans="1:22" x14ac:dyDescent="0.25">
      <c r="A35">
        <v>34</v>
      </c>
      <c r="B35" t="s">
        <v>437</v>
      </c>
      <c r="C35" s="39" t="s">
        <v>326</v>
      </c>
      <c r="D35" s="39">
        <v>200</v>
      </c>
      <c r="E35" s="26">
        <v>204</v>
      </c>
      <c r="F35" s="26">
        <v>207</v>
      </c>
      <c r="G35" s="26"/>
      <c r="H35" s="49" t="str">
        <f>DEC2HEX(I35)</f>
        <v>F0</v>
      </c>
      <c r="I35" s="27">
        <v>240</v>
      </c>
      <c r="J35" s="27" t="str">
        <f>CHAR(I35)</f>
        <v>ð</v>
      </c>
      <c r="L35">
        <f>IF(ISBLANK(D35),IF(E35&gt;0,F35-E35+1,0),0)</f>
        <v>0</v>
      </c>
      <c r="M35" s="45">
        <f>IF(ISBLANK(D35),0,IF(G35=0,F35-E35+1,0))</f>
        <v>4</v>
      </c>
      <c r="Q35" s="42" t="str">
        <f>C35&amp;IF(ISBLANK(D35),"","=")&amp;D35</f>
        <v>StepsPer360_AltX=200</v>
      </c>
      <c r="S35" s="39">
        <v>200</v>
      </c>
      <c r="T35" s="42" t="str">
        <f>C35&amp;IF(ISBLANK(S35),"","=")&amp;S35</f>
        <v>StepsPer360_AltX=200</v>
      </c>
      <c r="U35" s="39">
        <v>100</v>
      </c>
      <c r="V35" s="42" t="str">
        <f>C35&amp;IF(ISBLANK(U35),"","=")&amp;U35</f>
        <v>StepsPer360_AltX=100</v>
      </c>
    </row>
    <row r="36" spans="1:22" x14ac:dyDescent="0.25">
      <c r="A36">
        <v>35</v>
      </c>
      <c r="B36" t="s">
        <v>437</v>
      </c>
      <c r="C36" s="39" t="s">
        <v>327</v>
      </c>
      <c r="D36" s="39">
        <v>0.28299999999999997</v>
      </c>
      <c r="E36" s="26">
        <v>216</v>
      </c>
      <c r="F36" s="26">
        <v>223</v>
      </c>
      <c r="G36" s="26"/>
      <c r="H36" s="49" t="str">
        <f>DEC2HEX(I36)</f>
        <v>4F</v>
      </c>
      <c r="I36" s="27">
        <v>79</v>
      </c>
      <c r="J36" s="27" t="str">
        <f>CHAR(I36)</f>
        <v>O</v>
      </c>
      <c r="L36">
        <f>IF(ISBLANK(D36),IF(E36&gt;0,F36-E36+1,0),0)</f>
        <v>0</v>
      </c>
      <c r="M36" s="45">
        <f>IF(ISBLANK(D36),0,IF(G36=0,F36-E36+1,0))</f>
        <v>8</v>
      </c>
      <c r="Q36" s="42" t="str">
        <f>C36&amp;IF(ISBLANK(D36),"","=")&amp;D36</f>
        <v>DistancePer360_AltX=0.283</v>
      </c>
      <c r="S36" s="39">
        <v>0.01</v>
      </c>
      <c r="T36" s="42" t="str">
        <f>C36&amp;IF(ISBLANK(S36),"","=")&amp;S36</f>
        <v>DistancePer360_AltX=0.01</v>
      </c>
      <c r="U36" s="39">
        <v>36</v>
      </c>
      <c r="V36" s="42" t="str">
        <f>C36&amp;IF(ISBLANK(U36),"","=")&amp;U36</f>
        <v>DistancePer360_AltX=36</v>
      </c>
    </row>
    <row r="37" spans="1:22" x14ac:dyDescent="0.25">
      <c r="A37" s="106">
        <v>36</v>
      </c>
      <c r="B37" s="106" t="s">
        <v>437</v>
      </c>
      <c r="C37" s="107" t="s">
        <v>328</v>
      </c>
      <c r="D37" s="107">
        <v>1</v>
      </c>
      <c r="E37" s="26">
        <v>176</v>
      </c>
      <c r="F37" s="26">
        <v>179</v>
      </c>
      <c r="G37" s="26">
        <v>0</v>
      </c>
      <c r="H37" s="49" t="str">
        <f>DEC2HEX(I37)</f>
        <v>F2</v>
      </c>
      <c r="I37" s="27">
        <v>242</v>
      </c>
      <c r="J37" s="27" t="str">
        <f>CHAR(I37)</f>
        <v>ò</v>
      </c>
      <c r="L37">
        <f>IF(ISBLANK(D37),IF(E37&gt;0,F37-E37+1,0),0)</f>
        <v>0</v>
      </c>
      <c r="M37" s="45">
        <f>IF(ISBLANK(D37),0,IF(G37=0,F37-E37+1,0))</f>
        <v>4</v>
      </c>
      <c r="Q37" s="42" t="str">
        <f>C37&amp;IF(ISBLANK(D37),"","=")&amp;D37</f>
        <v>Polarity_AltX=1</v>
      </c>
      <c r="S37" s="39">
        <v>1</v>
      </c>
      <c r="T37" s="42" t="str">
        <f>C37&amp;IF(ISBLANK(S37),"","=")&amp;S37</f>
        <v>Polarity_AltX=1</v>
      </c>
      <c r="U37" s="39">
        <v>0</v>
      </c>
      <c r="V37" s="42" t="str">
        <f>C37&amp;IF(ISBLANK(U37),"","=")&amp;U37</f>
        <v>Polarity_AltX=0</v>
      </c>
    </row>
    <row r="38" spans="1:22" x14ac:dyDescent="0.25">
      <c r="A38">
        <v>37</v>
      </c>
      <c r="B38" t="s">
        <v>437</v>
      </c>
      <c r="C38" s="39" t="s">
        <v>573</v>
      </c>
      <c r="D38" s="39">
        <v>1</v>
      </c>
      <c r="E38" s="26">
        <v>252</v>
      </c>
      <c r="F38" s="26">
        <v>255</v>
      </c>
      <c r="G38" s="26">
        <v>16</v>
      </c>
      <c r="H38" s="49"/>
      <c r="I38" s="27"/>
      <c r="J38" s="27"/>
      <c r="L38">
        <f>IF(ISBLANK(D38),IF(E38&gt;0,F38-E38+1,0),0)</f>
        <v>0</v>
      </c>
      <c r="M38" s="45">
        <f>IF(ISBLANK(D38),0,IF(G38=0,F38-E38+1,0))</f>
        <v>0</v>
      </c>
      <c r="Q38" s="42" t="str">
        <f>C38&amp;IF(ISBLANK(D38),"","=")&amp;D38</f>
        <v>Leadscrew_Hand_AltX=1</v>
      </c>
      <c r="S38" s="39">
        <v>1</v>
      </c>
      <c r="T38" s="42" t="str">
        <f>C38&amp;IF(ISBLANK(S38),"","=")&amp;S38</f>
        <v>Leadscrew_Hand_AltX=1</v>
      </c>
      <c r="U38" s="39">
        <v>0</v>
      </c>
      <c r="V38" s="42" t="str">
        <f>C38&amp;IF(ISBLANK(U38),"","=")&amp;U38</f>
        <v>Leadscrew_Hand_AltX=0</v>
      </c>
    </row>
    <row r="39" spans="1:22" s="30" customFormat="1" x14ac:dyDescent="0.25">
      <c r="A39">
        <v>38</v>
      </c>
      <c r="C39" s="48" t="s">
        <v>281</v>
      </c>
      <c r="D39" s="48"/>
      <c r="H39" s="79"/>
      <c r="K39" s="48"/>
      <c r="M39" s="74"/>
      <c r="Q39" s="30" t="str">
        <f>C39&amp;IF(ISBLANK(D39),"","=")&amp;D39</f>
        <v>;M3 Axis</v>
      </c>
      <c r="S39" s="48"/>
      <c r="T39" s="30" t="str">
        <f>C39&amp;IF(ISBLANK(S39),"","=")&amp;S39</f>
        <v>;M3 Axis</v>
      </c>
      <c r="U39" s="48"/>
      <c r="V39" s="42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39" t="s">
        <v>329</v>
      </c>
      <c r="D40" s="39">
        <v>32</v>
      </c>
      <c r="E40" s="51">
        <v>92</v>
      </c>
      <c r="F40" s="51">
        <v>95</v>
      </c>
      <c r="G40" s="71"/>
      <c r="H40" s="70" t="str">
        <f>DEC2HEX(I40)</f>
        <v>76</v>
      </c>
      <c r="I40" s="27">
        <v>118</v>
      </c>
      <c r="J40" s="27" t="str">
        <f>CHAR(I40)</f>
        <v>v</v>
      </c>
      <c r="L40">
        <f>IF(ISBLANK(D40),IF(E40&gt;0,F40-E40+1,0),0)</f>
        <v>0</v>
      </c>
      <c r="M40" s="45">
        <f>IF(ISBLANK(D40),0,IF(G40=0,F40-E40+1,0))</f>
        <v>4</v>
      </c>
      <c r="Q40" s="42" t="str">
        <f>C40&amp;IF(ISBLANK(D40),"","=")&amp;D40</f>
        <v>Microsteps_M3=32</v>
      </c>
      <c r="S40" s="39">
        <v>32</v>
      </c>
      <c r="T40" s="42" t="str">
        <f>C40&amp;IF(ISBLANK(S40),"","=")&amp;S40</f>
        <v>Microsteps_M3=32</v>
      </c>
      <c r="U40" s="39">
        <v>8</v>
      </c>
      <c r="V40" s="42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107" t="s">
        <v>330</v>
      </c>
      <c r="D41" s="107">
        <v>200</v>
      </c>
      <c r="E41" s="26">
        <v>544</v>
      </c>
      <c r="F41" s="26">
        <v>547</v>
      </c>
      <c r="G41" s="26"/>
      <c r="H41" s="52" t="str">
        <f>DEC2HEX(I41)</f>
        <v>77</v>
      </c>
      <c r="I41" s="53">
        <v>119</v>
      </c>
      <c r="J41" s="53" t="str">
        <f>CHAR(I41)</f>
        <v>w</v>
      </c>
      <c r="L41">
        <f>IF(ISBLANK(D41),IF(E41&gt;0,F41-E41+1,0),0)</f>
        <v>0</v>
      </c>
      <c r="M41" s="45">
        <f>IF(ISBLANK(D41),0,IF(G41=0,F41-E41+1,0))</f>
        <v>4</v>
      </c>
      <c r="Q41" s="42" t="str">
        <f>C41&amp;IF(ISBLANK(D41),"","=")&amp;D41</f>
        <v>StepsPer360_M3=200</v>
      </c>
      <c r="S41" s="39">
        <v>200</v>
      </c>
      <c r="T41" s="42" t="str">
        <f>C41&amp;IF(ISBLANK(S41),"","=")&amp;S41</f>
        <v>StepsPer360_M3=200</v>
      </c>
      <c r="U41" s="39">
        <v>600</v>
      </c>
      <c r="V41" s="42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107" t="s">
        <v>331</v>
      </c>
      <c r="D42" s="107">
        <v>30</v>
      </c>
      <c r="E42" s="26">
        <v>548</v>
      </c>
      <c r="F42" s="26">
        <v>555</v>
      </c>
      <c r="G42" s="26"/>
      <c r="H42" s="52" t="str">
        <f>DEC2HEX(I42)</f>
        <v>78</v>
      </c>
      <c r="I42" s="53">
        <v>120</v>
      </c>
      <c r="J42" s="53" t="str">
        <f>CHAR(I42)</f>
        <v>x</v>
      </c>
      <c r="L42">
        <f>IF(ISBLANK(D42),IF(E42&gt;0,F42-E42+1,0),0)</f>
        <v>0</v>
      </c>
      <c r="M42" s="45">
        <f>IF(ISBLANK(D42),0,IF(G42=0,F42-E42+1,0))</f>
        <v>8</v>
      </c>
      <c r="Q42" s="42" t="str">
        <f>C42&amp;IF(ISBLANK(D42),"","=")&amp;D42</f>
        <v>GearRatio_M3=30</v>
      </c>
      <c r="S42" s="39">
        <v>1</v>
      </c>
      <c r="T42" s="42" t="str">
        <f>C42&amp;IF(ISBLANK(S42),"","=")&amp;S42</f>
        <v>GearRatio_M3=1</v>
      </c>
      <c r="U42" s="39">
        <v>34</v>
      </c>
      <c r="V42" s="42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39" t="s">
        <v>332</v>
      </c>
      <c r="D43" s="39">
        <v>1</v>
      </c>
      <c r="E43" s="26">
        <v>416</v>
      </c>
      <c r="F43" s="26">
        <v>419</v>
      </c>
      <c r="G43" s="26">
        <v>0</v>
      </c>
      <c r="H43" s="52" t="str">
        <f>DEC2HEX(I43)</f>
        <v>DB</v>
      </c>
      <c r="I43" s="53">
        <v>219</v>
      </c>
      <c r="J43" s="53" t="str">
        <f>CHAR(I43)</f>
        <v>Û</v>
      </c>
      <c r="K43" s="39" t="s">
        <v>588</v>
      </c>
      <c r="L43">
        <f>IF(ISBLANK(D43),IF(E43&gt;0,F43-E43+1,0),0)</f>
        <v>0</v>
      </c>
      <c r="M43" s="45">
        <f>IF(ISBLANK(D43),0,IF(G43=0,F43-E43+1,0))</f>
        <v>4</v>
      </c>
      <c r="Q43" s="42" t="str">
        <f>C43&amp;IF(ISBLANK(D43),"","=")&amp;D43</f>
        <v>Polarity_M3=1</v>
      </c>
      <c r="S43" s="39">
        <v>1</v>
      </c>
      <c r="T43" s="42" t="str">
        <f>C43&amp;IF(ISBLANK(S43),"","=")&amp;S43</f>
        <v>Polarity_M3=1</v>
      </c>
      <c r="U43" s="39">
        <v>0</v>
      </c>
      <c r="V43" s="42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39" t="s">
        <v>333</v>
      </c>
      <c r="D44" s="39">
        <v>1.0235399999999999</v>
      </c>
      <c r="E44" s="26">
        <v>408</v>
      </c>
      <c r="F44" s="26">
        <v>415</v>
      </c>
      <c r="G44" s="26"/>
      <c r="H44" s="52" t="str">
        <f>DEC2HEX(I44)</f>
        <v>74</v>
      </c>
      <c r="I44" s="53">
        <v>116</v>
      </c>
      <c r="J44" s="53" t="str">
        <f>CHAR(I44)</f>
        <v>t</v>
      </c>
      <c r="L44">
        <f>IF(ISBLANK(D44),IF(E44&gt;0,F44-E44+1,0),0)</f>
        <v>0</v>
      </c>
      <c r="M44" s="45">
        <f>IF(ISBLANK(D44),0,IF(G44=0,F44-E44+1,0))</f>
        <v>8</v>
      </c>
      <c r="Q44" s="42" t="str">
        <f>C44&amp;IF(ISBLANK(D44),"","=")&amp;D44</f>
        <v>DistancePer360_M3=1.02354</v>
      </c>
      <c r="S44" s="39">
        <v>0.01</v>
      </c>
      <c r="T44" s="42" t="str">
        <f>C44&amp;IF(ISBLANK(S44),"","=")&amp;S44</f>
        <v>DistancePer360_M3=0.01</v>
      </c>
      <c r="U44" s="39">
        <v>12</v>
      </c>
      <c r="V44" s="42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39" t="s">
        <v>456</v>
      </c>
      <c r="D45" s="39">
        <v>0</v>
      </c>
      <c r="E45" s="26">
        <v>416</v>
      </c>
      <c r="F45" s="26">
        <v>419</v>
      </c>
      <c r="G45" s="26">
        <v>16</v>
      </c>
      <c r="H45" s="52" t="str">
        <f>DEC2HEX(I45)</f>
        <v>C3</v>
      </c>
      <c r="I45" s="53">
        <v>195</v>
      </c>
      <c r="J45" s="53" t="str">
        <f>CHAR(I45)</f>
        <v>Ã</v>
      </c>
      <c r="K45" s="39" t="s">
        <v>589</v>
      </c>
      <c r="L45">
        <f>IF(ISBLANK(D45),IF(E45&gt;0,F45-E45+1,0),0)</f>
        <v>0</v>
      </c>
      <c r="M45" s="45">
        <f>IF(ISBLANK(D45),0,IF(G45=0,F45-E45+1,0))</f>
        <v>0</v>
      </c>
      <c r="Q45" s="42" t="str">
        <f>C45&amp;IF(ISBLANK(D45),"","=")&amp;D45</f>
        <v>RadialOrLineal_M3=0</v>
      </c>
      <c r="S45" s="39">
        <v>0</v>
      </c>
      <c r="T45" s="42" t="str">
        <f>C45&amp;IF(ISBLANK(S45),"","=")&amp;S45</f>
        <v>RadialOrLineal_M3=0</v>
      </c>
      <c r="U45" s="39">
        <v>1</v>
      </c>
      <c r="V45" s="42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107" t="s">
        <v>334</v>
      </c>
      <c r="D46" s="107">
        <v>5.1239999999999997</v>
      </c>
      <c r="E46" s="26">
        <v>688</v>
      </c>
      <c r="F46" s="26">
        <v>695</v>
      </c>
      <c r="G46" s="26"/>
      <c r="H46" s="52" t="str">
        <f>DEC2HEX(I46)</f>
        <v>FE</v>
      </c>
      <c r="I46" s="53">
        <v>254</v>
      </c>
      <c r="J46" s="53" t="str">
        <f>CHAR(I46)</f>
        <v>þ</v>
      </c>
      <c r="L46">
        <f>IF(ISBLANK(D46),IF(E46&gt;0,F46-E46+1,0),0)</f>
        <v>0</v>
      </c>
      <c r="M46" s="45">
        <f>IF(ISBLANK(D46),0,IF(G46=0,F46-E46+1,0))</f>
        <v>8</v>
      </c>
      <c r="Q46" s="42" t="str">
        <f>C46&amp;IF(ISBLANK(D46),"","=")&amp;D46</f>
        <v>M3Radius=5.124</v>
      </c>
      <c r="S46" s="39">
        <v>5</v>
      </c>
      <c r="T46" s="42" t="str">
        <f>C46&amp;IF(ISBLANK(S46),"","=")&amp;S46</f>
        <v>M3Radius=5</v>
      </c>
      <c r="U46" s="39">
        <v>65</v>
      </c>
      <c r="V46" s="42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39" t="s">
        <v>574</v>
      </c>
      <c r="D47" s="39">
        <v>1</v>
      </c>
      <c r="E47" s="26">
        <v>252</v>
      </c>
      <c r="F47" s="26">
        <v>255</v>
      </c>
      <c r="G47" s="26">
        <v>24</v>
      </c>
      <c r="H47" s="49"/>
      <c r="I47" s="27"/>
      <c r="J47" s="27"/>
      <c r="L47">
        <f>IF(ISBLANK(D47),IF(E47&gt;0,F47-E47+1,0),0)</f>
        <v>0</v>
      </c>
      <c r="M47" s="45">
        <f>IF(ISBLANK(D47),0,IF(G47=0,F47-E47+1,0))</f>
        <v>0</v>
      </c>
      <c r="Q47" s="42" t="str">
        <f>C47&amp;IF(ISBLANK(D47),"","=")&amp;D47</f>
        <v>Leadscrew_Hand_M3=1</v>
      </c>
      <c r="S47" s="39">
        <v>1</v>
      </c>
      <c r="T47" s="42" t="str">
        <f>C47&amp;IF(ISBLANK(S47),"","=")&amp;S47</f>
        <v>Leadscrew_Hand_M3=1</v>
      </c>
      <c r="U47" s="39">
        <v>0</v>
      </c>
      <c r="V47" s="42" t="str">
        <f>C47&amp;IF(ISBLANK(U47),"","=")&amp;U47</f>
        <v>Leadscrew_Hand_M3=0</v>
      </c>
    </row>
    <row r="48" spans="1:22" s="30" customFormat="1" x14ac:dyDescent="0.25">
      <c r="A48">
        <v>47</v>
      </c>
      <c r="C48" s="48" t="s">
        <v>282</v>
      </c>
      <c r="D48" s="48"/>
      <c r="H48" s="79"/>
      <c r="K48" s="48"/>
      <c r="M48" s="74"/>
      <c r="Q48" s="30" t="str">
        <f>C48&amp;IF(ISBLANK(D48),"","=")&amp;D48</f>
        <v>;M4 Axis</v>
      </c>
      <c r="S48" s="48"/>
      <c r="T48" s="30" t="str">
        <f>C48&amp;IF(ISBLANK(S48),"","=")&amp;S48</f>
        <v>;M4 Axis</v>
      </c>
      <c r="U48" s="48"/>
      <c r="V48" s="42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39" t="s">
        <v>335</v>
      </c>
      <c r="D49" s="39">
        <v>32</v>
      </c>
      <c r="E49" s="26">
        <v>96</v>
      </c>
      <c r="F49" s="26">
        <v>99</v>
      </c>
      <c r="G49" s="26"/>
      <c r="H49" s="49" t="str">
        <f>DEC2HEX(I49)</f>
        <v>71</v>
      </c>
      <c r="I49" s="27">
        <v>113</v>
      </c>
      <c r="J49" s="27" t="str">
        <f>CHAR(I49)</f>
        <v>q</v>
      </c>
      <c r="L49">
        <f>IF(ISBLANK(D49),IF(E49&gt;0,F49-E49+1,0),0)</f>
        <v>0</v>
      </c>
      <c r="M49" s="45">
        <f>IF(ISBLANK(D49),0,IF(G49=0,F49-E49+1,0))</f>
        <v>4</v>
      </c>
      <c r="Q49" s="42" t="str">
        <f>C49&amp;IF(ISBLANK(D49),"","=")&amp;D49</f>
        <v>Microsteps_M4=32</v>
      </c>
      <c r="S49" s="39">
        <v>32</v>
      </c>
      <c r="T49" s="42" t="str">
        <f>C49&amp;IF(ISBLANK(S49),"","=")&amp;S49</f>
        <v>Microsteps_M4=32</v>
      </c>
      <c r="U49" s="39">
        <v>2</v>
      </c>
      <c r="V49" s="42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39" t="s">
        <v>336</v>
      </c>
      <c r="D50" s="39">
        <v>200</v>
      </c>
      <c r="E50" s="26">
        <v>404</v>
      </c>
      <c r="F50" s="26">
        <v>407</v>
      </c>
      <c r="G50" s="26"/>
      <c r="H50" s="49" t="str">
        <f>DEC2HEX(I50)</f>
        <v>A7</v>
      </c>
      <c r="I50" s="27">
        <v>167</v>
      </c>
      <c r="J50" s="27" t="str">
        <f>CHAR(I50)</f>
        <v>§</v>
      </c>
      <c r="L50">
        <f>IF(ISBLANK(D50),IF(E50&gt;0,F50-E50+1,0),0)</f>
        <v>0</v>
      </c>
      <c r="M50" s="45">
        <f>IF(ISBLANK(D50),0,IF(G50=0,F50-E50+1,0))</f>
        <v>4</v>
      </c>
      <c r="Q50" s="42" t="str">
        <f>C50&amp;IF(ISBLANK(D50),"","=")&amp;D50</f>
        <v>StepsPer360_M4=200</v>
      </c>
      <c r="S50" s="39">
        <v>200</v>
      </c>
      <c r="T50" s="42" t="str">
        <f>C50&amp;IF(ISBLANK(S50),"","=")&amp;S50</f>
        <v>StepsPer360_M4=200</v>
      </c>
      <c r="U50" s="39">
        <v>300</v>
      </c>
      <c r="V50" s="42" t="str">
        <f>C50&amp;IF(ISBLANK(U50),"","=")&amp;U50</f>
        <v>StepsPer360_M4=300</v>
      </c>
    </row>
    <row r="51" spans="1:25" s="29" customFormat="1" x14ac:dyDescent="0.25">
      <c r="A51">
        <v>50</v>
      </c>
      <c r="B51" t="s">
        <v>235</v>
      </c>
      <c r="C51" s="39" t="s">
        <v>337</v>
      </c>
      <c r="D51" s="39">
        <v>30</v>
      </c>
      <c r="E51" s="26">
        <v>380</v>
      </c>
      <c r="F51" s="26">
        <v>387</v>
      </c>
      <c r="G51" s="26"/>
      <c r="H51" s="49" t="str">
        <f>DEC2HEX(I51)</f>
        <v>A9</v>
      </c>
      <c r="I51" s="27">
        <v>169</v>
      </c>
      <c r="J51" s="27" t="str">
        <f>CHAR(I51)</f>
        <v>©</v>
      </c>
      <c r="K51" s="39"/>
      <c r="L51">
        <f>IF(ISBLANK(D51),IF(E51&gt;0,F51-E51+1,0),0)</f>
        <v>0</v>
      </c>
      <c r="M51" s="45">
        <f>IF(ISBLANK(D51),0,IF(G51=0,F51-E51+1,0))</f>
        <v>8</v>
      </c>
      <c r="N51" s="54"/>
      <c r="O51" s="54"/>
      <c r="P51" s="54"/>
      <c r="Q51" s="42" t="str">
        <f>C51&amp;IF(ISBLANK(D51),"","=")&amp;D51</f>
        <v>GearRatio_M4=30</v>
      </c>
      <c r="R51"/>
      <c r="S51" s="39">
        <v>30</v>
      </c>
      <c r="T51" s="42" t="str">
        <f>C51&amp;IF(ISBLANK(S51),"","=")&amp;S51</f>
        <v>GearRatio_M4=30</v>
      </c>
      <c r="U51" s="39">
        <v>12</v>
      </c>
      <c r="V51" s="42" t="str">
        <f>C51&amp;IF(ISBLANK(U51),"","=")&amp;U51</f>
        <v>GearRatio_M4=12</v>
      </c>
      <c r="W51"/>
      <c r="X51"/>
      <c r="Y51"/>
    </row>
    <row r="52" spans="1:25" x14ac:dyDescent="0.25">
      <c r="A52">
        <v>51</v>
      </c>
      <c r="B52" t="s">
        <v>235</v>
      </c>
      <c r="C52" s="39" t="s">
        <v>338</v>
      </c>
      <c r="D52" s="39">
        <v>1</v>
      </c>
      <c r="E52" s="26">
        <v>460</v>
      </c>
      <c r="F52" s="26">
        <v>463</v>
      </c>
      <c r="G52" s="26">
        <v>24</v>
      </c>
      <c r="H52" s="49" t="str">
        <f>DEC2HEX(I52)</f>
        <v>75</v>
      </c>
      <c r="I52" s="27">
        <v>117</v>
      </c>
      <c r="J52" s="27" t="str">
        <f>CHAR(I52)</f>
        <v>u</v>
      </c>
      <c r="L52">
        <f>IF(ISBLANK(D52),IF(E52&gt;0,F52-E52+1,0),0)</f>
        <v>0</v>
      </c>
      <c r="M52" s="45">
        <f>IF(ISBLANK(D52),0,IF(G52=0,F52-E52+1,0))</f>
        <v>0</v>
      </c>
      <c r="Q52" s="42" t="str">
        <f>C52&amp;IF(ISBLANK(D52),"","=")&amp;D52</f>
        <v>Polarity_M4=1</v>
      </c>
      <c r="S52" s="39">
        <v>1</v>
      </c>
      <c r="T52" s="42" t="str">
        <f>C52&amp;IF(ISBLANK(S52),"","=")&amp;S52</f>
        <v>Polarity_M4=1</v>
      </c>
      <c r="U52" s="39">
        <v>0</v>
      </c>
      <c r="V52" s="42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107" t="s">
        <v>339</v>
      </c>
      <c r="D53" s="107">
        <v>2.5399999999999999E-2</v>
      </c>
      <c r="E53" s="26">
        <v>600</v>
      </c>
      <c r="F53" s="26">
        <v>607</v>
      </c>
      <c r="G53" s="26"/>
      <c r="H53" s="49" t="str">
        <f>DEC2HEX(I53)</f>
        <v>A8</v>
      </c>
      <c r="I53" s="27">
        <v>168</v>
      </c>
      <c r="J53" s="27" t="str">
        <f>CHAR(I53)</f>
        <v>¨</v>
      </c>
      <c r="L53">
        <f>IF(ISBLANK(D53),IF(E53&gt;0,F53-E53+1,0),0)</f>
        <v>0</v>
      </c>
      <c r="M53" s="45">
        <f>IF(ISBLANK(D53),0,IF(G53=0,F53-E53+1,0))</f>
        <v>8</v>
      </c>
      <c r="Q53" s="42" t="str">
        <f>C53&amp;IF(ISBLANK(D53),"","=")&amp;D53</f>
        <v>DistancePer360_M4=0.0254</v>
      </c>
      <c r="S53" s="39">
        <v>0.01</v>
      </c>
      <c r="T53" s="42" t="str">
        <f>C53&amp;IF(ISBLANK(S53),"","=")&amp;S53</f>
        <v>DistancePer360_M4=0.01</v>
      </c>
      <c r="U53" s="39">
        <v>45</v>
      </c>
      <c r="V53" s="42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39" t="s">
        <v>455</v>
      </c>
      <c r="D54" s="39">
        <v>1</v>
      </c>
      <c r="E54" s="26">
        <v>460</v>
      </c>
      <c r="F54" s="26">
        <v>463</v>
      </c>
      <c r="G54" s="26">
        <v>8</v>
      </c>
      <c r="H54" s="49" t="str">
        <f>DEC2HEX(I54)</f>
        <v>A2</v>
      </c>
      <c r="I54" s="27">
        <v>162</v>
      </c>
      <c r="J54" s="27" t="str">
        <f>CHAR(I54)</f>
        <v>¢</v>
      </c>
      <c r="L54">
        <f>IF(ISBLANK(D54),IF(E54&gt;0,F54-E54+1,0),0)</f>
        <v>0</v>
      </c>
      <c r="M54" s="45">
        <f>IF(ISBLANK(D54),0,IF(G54=0,F54-E54+1,0))</f>
        <v>0</v>
      </c>
      <c r="Q54" s="42" t="str">
        <f>C54&amp;IF(ISBLANK(D54),"","=")&amp;D54</f>
        <v>RadialOrLineal_M4=1</v>
      </c>
      <c r="S54" s="39">
        <v>1</v>
      </c>
      <c r="T54" s="42" t="str">
        <f>C54&amp;IF(ISBLANK(S54),"","=")&amp;S54</f>
        <v>RadialOrLineal_M4=1</v>
      </c>
      <c r="U54" s="39">
        <v>0</v>
      </c>
      <c r="V54" s="42" t="str">
        <f>C54&amp;IF(ISBLANK(U54),"","=")&amp;U54</f>
        <v>RadialOrLineal_M4=0</v>
      </c>
    </row>
    <row r="55" spans="1:25" x14ac:dyDescent="0.25">
      <c r="A55">
        <v>54</v>
      </c>
      <c r="B55" s="106" t="s">
        <v>235</v>
      </c>
      <c r="C55" s="107" t="s">
        <v>340</v>
      </c>
      <c r="D55" s="107">
        <v>11.257999999999999</v>
      </c>
      <c r="E55" s="26">
        <v>664</v>
      </c>
      <c r="F55" s="26">
        <v>671</v>
      </c>
      <c r="G55" s="26"/>
      <c r="H55" s="49" t="str">
        <f>DEC2HEX(I55)</f>
        <v>B0</v>
      </c>
      <c r="I55" s="27">
        <v>176</v>
      </c>
      <c r="J55" s="27" t="str">
        <f>CHAR(I55)</f>
        <v>°</v>
      </c>
      <c r="L55">
        <f>IF(ISBLANK(D55),IF(E55&gt;0,F55-E55+1,0),0)</f>
        <v>0</v>
      </c>
      <c r="M55" s="45">
        <f>IF(ISBLANK(D55),0,IF(G55=0,F55-E55+1,0))</f>
        <v>8</v>
      </c>
      <c r="Q55" s="42" t="str">
        <f>C55&amp;IF(ISBLANK(D55),"","=")&amp;D55</f>
        <v>M4Radius=11.258</v>
      </c>
      <c r="S55" s="39">
        <v>5</v>
      </c>
      <c r="T55" s="42" t="str">
        <f>C55&amp;IF(ISBLANK(S55),"","=")&amp;S55</f>
        <v>M4Radius=5</v>
      </c>
      <c r="U55" s="39">
        <v>1</v>
      </c>
      <c r="V55" s="42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107" t="s">
        <v>575</v>
      </c>
      <c r="D56" s="107">
        <v>1</v>
      </c>
      <c r="E56" s="26">
        <v>264</v>
      </c>
      <c r="F56" s="26">
        <v>267</v>
      </c>
      <c r="G56" s="26"/>
      <c r="H56" s="49"/>
      <c r="I56" s="27"/>
      <c r="J56" s="27"/>
      <c r="L56">
        <f>IF(ISBLANK(D32),IF(E56&gt;0,F56-E56+1,0),0)</f>
        <v>0</v>
      </c>
      <c r="M56" s="45">
        <f>IF(ISBLANK(D32),0,IF(G56=0,F56-E56+1,0))</f>
        <v>4</v>
      </c>
      <c r="Q56" s="42" t="str">
        <f>C56&amp;IF(ISBLANK(D56),"","=")&amp;D56</f>
        <v>Leadscrew_Hand_M4=1</v>
      </c>
      <c r="S56" s="39">
        <v>1</v>
      </c>
      <c r="T56" s="42" t="str">
        <f>C56&amp;IF(ISBLANK(S56),"","=")&amp;S56</f>
        <v>Leadscrew_Hand_M4=1</v>
      </c>
      <c r="U56" s="39">
        <v>0</v>
      </c>
      <c r="V56" s="42" t="str">
        <f>C56&amp;IF(ISBLANK(U56),"","=")&amp;U56</f>
        <v>Leadscrew_Hand_M4=0</v>
      </c>
    </row>
    <row r="57" spans="1:25" x14ac:dyDescent="0.25">
      <c r="A57">
        <v>56</v>
      </c>
      <c r="C57" s="39" t="s">
        <v>229</v>
      </c>
      <c r="Q57" s="42" t="str">
        <f>C57&amp;IF(ISBLANK(D57),"","=")&amp;D57</f>
        <v>;</v>
      </c>
      <c r="T57" s="42" t="str">
        <f>C57&amp;IF(ISBLANK(S57),"","=")&amp;S57</f>
        <v>;</v>
      </c>
      <c r="V57" s="42" t="str">
        <f>C57&amp;IF(ISBLANK(U57),"","=")&amp;U57</f>
        <v>;</v>
      </c>
    </row>
    <row r="58" spans="1:25" s="80" customFormat="1" x14ac:dyDescent="0.25">
      <c r="A58">
        <v>57</v>
      </c>
      <c r="C58" s="81" t="s">
        <v>283</v>
      </c>
      <c r="D58" s="81"/>
      <c r="H58" s="82"/>
      <c r="K58" s="81"/>
      <c r="M58" s="83"/>
      <c r="Q58" s="80" t="str">
        <f>C58&amp;IF(ISBLANK(D58),"","=")&amp;D58</f>
        <v>[Limits]</v>
      </c>
      <c r="S58" s="81"/>
      <c r="T58" s="80" t="str">
        <f>C58&amp;IF(ISBLANK(S58),"","=")&amp;S58</f>
        <v>[Limits]</v>
      </c>
      <c r="U58" s="81"/>
      <c r="V58" s="42" t="str">
        <f>C58&amp;IF(ISBLANK(U58),"","=")&amp;U58</f>
        <v>[Limits]</v>
      </c>
    </row>
    <row r="59" spans="1:25" x14ac:dyDescent="0.25">
      <c r="A59">
        <v>58</v>
      </c>
      <c r="C59" s="39" t="s">
        <v>229</v>
      </c>
      <c r="Q59" s="42" t="str">
        <f>C59&amp;IF(ISBLANK(D59),"","=")&amp;D59</f>
        <v>;</v>
      </c>
      <c r="T59" s="42" t="str">
        <f>C59&amp;IF(ISBLANK(S59),"","=")&amp;S59</f>
        <v>;</v>
      </c>
      <c r="V59" s="42" t="str">
        <f>C59&amp;IF(ISBLANK(U59),"","=")&amp;U59</f>
        <v>;</v>
      </c>
    </row>
    <row r="60" spans="1:25" x14ac:dyDescent="0.25">
      <c r="A60">
        <v>59</v>
      </c>
      <c r="C60" s="39" t="s">
        <v>453</v>
      </c>
      <c r="Q60" s="42" t="str">
        <f>C60&amp;IF(ISBLANK(D60),"","=")&amp;D60</f>
        <v>;Limit Switches and Stop pins must be greater than 16 on 4 motor board.</v>
      </c>
      <c r="T60" s="42" t="str">
        <f>C60&amp;IF(ISBLANK(S60),"","=")&amp;S60</f>
        <v>;Limit Switches and Stop pins must be greater than 16 on 4 motor board.</v>
      </c>
      <c r="V60" s="42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39" t="s">
        <v>454</v>
      </c>
      <c r="Q61" s="42" t="str">
        <f>C61&amp;IF(ISBLANK(D61),"","=")&amp;D61</f>
        <v>;Limit Switches and Stop pins must be greater than 24 on 5 motor board.</v>
      </c>
      <c r="T61" s="42" t="str">
        <f>C61&amp;IF(ISBLANK(S61),"","=")&amp;S61</f>
        <v>;Limit Switches and Stop pins must be greater than 24 on 5 motor board.</v>
      </c>
      <c r="V61" s="42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39" t="s">
        <v>341</v>
      </c>
      <c r="D62" s="39">
        <v>24</v>
      </c>
      <c r="E62" s="26">
        <v>424</v>
      </c>
      <c r="F62" s="26">
        <v>427</v>
      </c>
      <c r="G62" s="26">
        <v>8</v>
      </c>
      <c r="H62" s="49" t="str">
        <f>DEC2HEX(I62)</f>
        <v>DC</v>
      </c>
      <c r="I62" s="27">
        <v>220</v>
      </c>
      <c r="J62" s="27" t="str">
        <f>CHAR(I62)</f>
        <v>Ü</v>
      </c>
      <c r="L62">
        <f>IF(ISBLANK(D62),IF(E62&gt;0,F62-E62+1,0),0)</f>
        <v>0</v>
      </c>
      <c r="M62" s="45">
        <f>IF(ISBLANK(D62),0,IF(G62=0,F62-E62+1,0))</f>
        <v>0</v>
      </c>
      <c r="Q62" s="42" t="str">
        <f>C62&amp;IF(ISBLANK(D62),"","=")&amp;D62</f>
        <v>Min_Z=24</v>
      </c>
      <c r="S62" s="39">
        <v>24</v>
      </c>
      <c r="T62" s="42" t="str">
        <f>C62&amp;IF(ISBLANK(S62),"","=")&amp;S62</f>
        <v>Min_Z=24</v>
      </c>
      <c r="U62" s="39">
        <v>31</v>
      </c>
      <c r="V62" s="42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39" t="s">
        <v>342</v>
      </c>
      <c r="D63" s="39">
        <v>26</v>
      </c>
      <c r="E63" s="26">
        <v>424</v>
      </c>
      <c r="F63" s="26">
        <v>427</v>
      </c>
      <c r="G63" s="26">
        <v>0</v>
      </c>
      <c r="H63" s="49" t="str">
        <f>DEC2HEX(I63)</f>
        <v>DD</v>
      </c>
      <c r="I63" s="27">
        <v>221</v>
      </c>
      <c r="J63" s="27" t="str">
        <f>CHAR(I63)</f>
        <v>Ý</v>
      </c>
      <c r="L63">
        <f>IF(ISBLANK(D63),IF(E63&gt;0,F63-E63+1,0),0)</f>
        <v>0</v>
      </c>
      <c r="M63" s="45">
        <f>IF(ISBLANK(D63),0,IF(G63=0,F63-E63+1,0))</f>
        <v>4</v>
      </c>
      <c r="Q63" s="42" t="str">
        <f>C63&amp;IF(ISBLANK(D63),"","=")&amp;D63</f>
        <v>Max_Z=26</v>
      </c>
      <c r="S63" s="39">
        <v>26</v>
      </c>
      <c r="T63" s="42" t="str">
        <f>C63&amp;IF(ISBLANK(S63),"","=")&amp;S63</f>
        <v>Max_Z=26</v>
      </c>
      <c r="U63" s="39">
        <v>31</v>
      </c>
      <c r="V63" s="42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39" t="s">
        <v>343</v>
      </c>
      <c r="D64" s="39">
        <v>24</v>
      </c>
      <c r="E64" s="26">
        <v>424</v>
      </c>
      <c r="F64" s="26">
        <v>427</v>
      </c>
      <c r="G64" s="26">
        <v>16</v>
      </c>
      <c r="H64" s="49" t="str">
        <f>DEC2HEX(I64)</f>
        <v>DE</v>
      </c>
      <c r="I64" s="27">
        <v>222</v>
      </c>
      <c r="J64" s="27" t="str">
        <f>CHAR(I64)</f>
        <v>Þ</v>
      </c>
      <c r="L64">
        <f>IF(ISBLANK(D64),IF(E64&gt;0,F64-E64+1,0),0)</f>
        <v>0</v>
      </c>
      <c r="M64" s="45">
        <f>IF(ISBLANK(D64),0,IF(G64=0,F64-E64+1,0))</f>
        <v>0</v>
      </c>
      <c r="Q64" s="42" t="str">
        <f>C64&amp;IF(ISBLANK(D64),"","=")&amp;D64</f>
        <v>Min_X=24</v>
      </c>
      <c r="S64" s="39">
        <v>24</v>
      </c>
      <c r="T64" s="42" t="str">
        <f>C64&amp;IF(ISBLANK(S64),"","=")&amp;S64</f>
        <v>Min_X=24</v>
      </c>
      <c r="U64" s="39">
        <v>31</v>
      </c>
      <c r="V64" s="42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107" t="s">
        <v>344</v>
      </c>
      <c r="D65" s="107">
        <v>26</v>
      </c>
      <c r="E65" s="26">
        <v>424</v>
      </c>
      <c r="F65" s="26">
        <v>427</v>
      </c>
      <c r="G65" s="26">
        <v>24</v>
      </c>
      <c r="H65" s="49" t="str">
        <f>DEC2HEX(I65)</f>
        <v>DF</v>
      </c>
      <c r="I65" s="27">
        <v>223</v>
      </c>
      <c r="J65" s="27" t="str">
        <f>CHAR(I65)</f>
        <v>ß</v>
      </c>
      <c r="L65">
        <f>IF(ISBLANK(D65),IF(E65&gt;0,F65-E65+1,0),0)</f>
        <v>0</v>
      </c>
      <c r="M65" s="45">
        <f>IF(ISBLANK(D65),0,IF(G65=0,F65-E65+1,0))</f>
        <v>0</v>
      </c>
      <c r="Q65" s="42" t="str">
        <f>C65&amp;IF(ISBLANK(D65),"","=")&amp;D65</f>
        <v>Max_X=26</v>
      </c>
      <c r="S65" s="39">
        <v>26</v>
      </c>
      <c r="T65" s="42" t="str">
        <f>C65&amp;IF(ISBLANK(S65),"","=")&amp;S65</f>
        <v>Max_X=26</v>
      </c>
      <c r="U65" s="39">
        <v>31</v>
      </c>
      <c r="V65" s="42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39" t="s">
        <v>345</v>
      </c>
      <c r="D66" s="39">
        <v>24</v>
      </c>
      <c r="E66" s="26">
        <v>576</v>
      </c>
      <c r="F66" s="26">
        <v>579</v>
      </c>
      <c r="G66" s="26">
        <v>0</v>
      </c>
      <c r="H66" s="49" t="str">
        <f>DEC2HEX(I66)</f>
        <v>E0</v>
      </c>
      <c r="I66" s="27">
        <v>224</v>
      </c>
      <c r="J66" s="27" t="str">
        <f>CHAR(I66)</f>
        <v>à</v>
      </c>
      <c r="L66">
        <f>IF(ISBLANK(D66),IF(E66&gt;0,F66-E66+1,0),0)</f>
        <v>0</v>
      </c>
      <c r="M66" s="45">
        <f>IF(ISBLANK(D66),0,IF(G66=0,F66-E66+1,0))</f>
        <v>4</v>
      </c>
      <c r="Q66" s="42" t="str">
        <f>C66&amp;IF(ISBLANK(D66),"","=")&amp;D66</f>
        <v>Min_M3=24</v>
      </c>
      <c r="S66" s="39">
        <v>24</v>
      </c>
      <c r="T66" s="42" t="str">
        <f>C66&amp;IF(ISBLANK(S66),"","=")&amp;S66</f>
        <v>Min_M3=24</v>
      </c>
      <c r="U66" s="39">
        <v>31</v>
      </c>
      <c r="V66" s="42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39" t="s">
        <v>346</v>
      </c>
      <c r="D67" s="39">
        <v>26</v>
      </c>
      <c r="E67" s="26">
        <v>576</v>
      </c>
      <c r="F67" s="26">
        <v>579</v>
      </c>
      <c r="G67" s="26">
        <v>8</v>
      </c>
      <c r="H67" s="49" t="str">
        <f>DEC2HEX(I67)</f>
        <v>E1</v>
      </c>
      <c r="I67" s="27">
        <v>225</v>
      </c>
      <c r="J67" s="27" t="str">
        <f>CHAR(I67)</f>
        <v>á</v>
      </c>
      <c r="L67">
        <f>IF(ISBLANK(D67),IF(E67&gt;0,F67-E67+1,0),0)</f>
        <v>0</v>
      </c>
      <c r="M67" s="45">
        <f>IF(ISBLANK(D67),0,IF(G67=0,F67-E67+1,0))</f>
        <v>0</v>
      </c>
      <c r="Q67" s="42" t="str">
        <f>C67&amp;IF(ISBLANK(D67),"","=")&amp;D67</f>
        <v>Max_M3=26</v>
      </c>
      <c r="S67" s="39">
        <v>26</v>
      </c>
      <c r="T67" s="42" t="str">
        <f>C67&amp;IF(ISBLANK(S67),"","=")&amp;S67</f>
        <v>Max_M3=26</v>
      </c>
      <c r="U67" s="39">
        <v>31</v>
      </c>
      <c r="V67" s="42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39" t="s">
        <v>347</v>
      </c>
      <c r="D68" s="39">
        <v>24</v>
      </c>
      <c r="E68" s="26">
        <v>368</v>
      </c>
      <c r="F68" s="26">
        <v>371</v>
      </c>
      <c r="G68" s="26">
        <v>0</v>
      </c>
      <c r="H68" s="49" t="str">
        <f>DEC2HEX(I68)</f>
        <v>AF</v>
      </c>
      <c r="I68" s="27">
        <v>175</v>
      </c>
      <c r="J68" s="27" t="str">
        <f>CHAR(I68)</f>
        <v>¯</v>
      </c>
      <c r="L68">
        <f>IF(ISBLANK(D68),IF(E68&gt;0,F68-E68+1,0),0)</f>
        <v>0</v>
      </c>
      <c r="M68" s="45">
        <f>IF(ISBLANK(D68),0,IF(G68=0,F68-E68+1,0))</f>
        <v>4</v>
      </c>
      <c r="Q68" s="42" t="str">
        <f>C68&amp;IF(ISBLANK(D68),"","=")&amp;D68</f>
        <v>Min_M4=24</v>
      </c>
      <c r="S68" s="39">
        <v>24</v>
      </c>
      <c r="T68" s="42" t="str">
        <f>C68&amp;IF(ISBLANK(S68),"","=")&amp;S68</f>
        <v>Min_M4=24</v>
      </c>
      <c r="U68" s="39">
        <v>31</v>
      </c>
      <c r="V68" s="42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39" t="s">
        <v>348</v>
      </c>
      <c r="D69" s="39">
        <v>26</v>
      </c>
      <c r="E69" s="26">
        <v>368</v>
      </c>
      <c r="F69" s="26">
        <v>371</v>
      </c>
      <c r="G69" s="26">
        <v>8</v>
      </c>
      <c r="H69" s="49" t="str">
        <f>DEC2HEX(I69)</f>
        <v>AE</v>
      </c>
      <c r="I69" s="27">
        <v>174</v>
      </c>
      <c r="J69" s="27" t="str">
        <f>CHAR(I69)</f>
        <v>®</v>
      </c>
      <c r="L69">
        <f>IF(ISBLANK(D69),IF(E69&gt;0,F69-E69+1,0),0)</f>
        <v>0</v>
      </c>
      <c r="M69" s="45">
        <f>IF(ISBLANK(D69),0,IF(G69=0,F69-E69+1,0))</f>
        <v>0</v>
      </c>
      <c r="Q69" s="42" t="str">
        <f>C69&amp;IF(ISBLANK(D69),"","=")&amp;D69</f>
        <v>Max_M4=26</v>
      </c>
      <c r="S69" s="39">
        <v>26</v>
      </c>
      <c r="T69" s="42" t="str">
        <f>C69&amp;IF(ISBLANK(S69),"","=")&amp;S69</f>
        <v>Max_M4=26</v>
      </c>
      <c r="U69" s="39">
        <v>31</v>
      </c>
      <c r="V69" s="42" t="str">
        <f>C69&amp;IF(ISBLANK(U69),"","=")&amp;U69</f>
        <v>Max_M4=31</v>
      </c>
    </row>
    <row r="70" spans="1:22" x14ac:dyDescent="0.25">
      <c r="A70">
        <v>69</v>
      </c>
      <c r="C70" s="39" t="s">
        <v>284</v>
      </c>
      <c r="Q70" s="42" t="str">
        <f>C70&amp;IF(ISBLANK(D70),"","=")&amp;D70</f>
        <v>;Stop spindle when limit hit = 0.  Leave spindle running =1</v>
      </c>
      <c r="T70" s="42" t="str">
        <f>C70&amp;IF(ISBLANK(S70),"","=")&amp;S70</f>
        <v>;Stop spindle when limit hit = 0.  Leave spindle running =1</v>
      </c>
      <c r="V70" s="42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39" t="s">
        <v>349</v>
      </c>
      <c r="D71" s="39">
        <v>0</v>
      </c>
      <c r="E71" s="26">
        <v>576</v>
      </c>
      <c r="F71" s="26">
        <v>579</v>
      </c>
      <c r="G71" s="26">
        <v>24</v>
      </c>
      <c r="H71" s="49" t="str">
        <f>DEC2HEX(I71)</f>
        <v>56</v>
      </c>
      <c r="I71" s="27">
        <v>86</v>
      </c>
      <c r="J71" s="27" t="str">
        <f>CHAR(I71)</f>
        <v>V</v>
      </c>
      <c r="L71">
        <f>IF(ISBLANK(D71),IF(E71&gt;0,F71-E71+1,0),0)</f>
        <v>0</v>
      </c>
      <c r="M71" s="45">
        <f>IF(ISBLANK(D71),0,IF(G71=0,F71-E71+1,0))</f>
        <v>0</v>
      </c>
      <c r="Q71" s="42" t="str">
        <f>C71&amp;IF(ISBLANK(D71),"","=")&amp;D71</f>
        <v>StopSpindle=0</v>
      </c>
      <c r="S71" s="39">
        <v>1</v>
      </c>
      <c r="T71" s="42" t="str">
        <f>C71&amp;IF(ISBLANK(S71),"","=")&amp;S71</f>
        <v>StopSpindle=1</v>
      </c>
      <c r="U71" s="39">
        <v>1</v>
      </c>
      <c r="V71" s="42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39" t="s">
        <v>350</v>
      </c>
      <c r="D72" s="39">
        <v>28</v>
      </c>
      <c r="E72" s="26">
        <v>576</v>
      </c>
      <c r="F72" s="26">
        <v>579</v>
      </c>
      <c r="G72" s="26">
        <v>16</v>
      </c>
      <c r="H72" s="49" t="str">
        <f>DEC2HEX(I72)</f>
        <v>47</v>
      </c>
      <c r="I72" s="27">
        <v>71</v>
      </c>
      <c r="J72" s="27" t="str">
        <f>CHAR(I72)</f>
        <v>G</v>
      </c>
      <c r="L72">
        <f>IF(ISBLANK(D72),IF(E72&gt;0,F72-E72+1,0),0)</f>
        <v>0</v>
      </c>
      <c r="M72" s="45">
        <f>IF(ISBLANK(D72),0,IF(G72=0,F72-E72+1,0))</f>
        <v>0</v>
      </c>
      <c r="Q72" s="42" t="str">
        <f>C72&amp;IF(ISBLANK(D72),"","=")&amp;D72</f>
        <v>Stop=28</v>
      </c>
      <c r="S72" s="39">
        <v>28</v>
      </c>
      <c r="T72" s="42" t="str">
        <f>C72&amp;IF(ISBLANK(S72),"","=")&amp;S72</f>
        <v>Stop=28</v>
      </c>
      <c r="U72" s="39">
        <v>31</v>
      </c>
      <c r="V72" s="42" t="str">
        <f>C72&amp;IF(ISBLANK(U72),"","=")&amp;U72</f>
        <v>Stop=31</v>
      </c>
    </row>
    <row r="73" spans="1:22" x14ac:dyDescent="0.25">
      <c r="A73">
        <v>72</v>
      </c>
      <c r="C73" s="39" t="s">
        <v>508</v>
      </c>
      <c r="Q73" s="42" t="str">
        <f>C73&amp;IF(ISBLANK(D73),"","=")&amp;D73</f>
        <v>;Normally Closed=0, Normally Open=1</v>
      </c>
      <c r="T73" s="42" t="str">
        <f>C73&amp;IF(ISBLANK(S73),"","=")&amp;S73</f>
        <v>;Normally Closed=0, Normally Open=1</v>
      </c>
      <c r="V73" s="42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39" t="s">
        <v>351</v>
      </c>
      <c r="D74" s="39">
        <v>1</v>
      </c>
      <c r="E74" s="26">
        <v>416</v>
      </c>
      <c r="F74" s="26">
        <v>419</v>
      </c>
      <c r="G74" s="26">
        <v>8</v>
      </c>
      <c r="H74" s="49" t="str">
        <f>DEC2HEX(I74)</f>
        <v>A1</v>
      </c>
      <c r="I74" s="27">
        <v>161</v>
      </c>
      <c r="J74" s="27" t="str">
        <f>CHAR(I74)</f>
        <v>¡</v>
      </c>
      <c r="K74" s="39" t="s">
        <v>587</v>
      </c>
      <c r="L74">
        <f>IF(ISBLANK(D74),IF(E74&gt;0,F74-E74+1,0),0)</f>
        <v>0</v>
      </c>
      <c r="M74" s="45">
        <f>IF(ISBLANK(D74),0,IF(G74=0,F74-E74+1,0))</f>
        <v>0</v>
      </c>
      <c r="Q74" s="42" t="str">
        <f>C74&amp;IF(ISBLANK(D74),"","=")&amp;D74</f>
        <v>NC-NO=1</v>
      </c>
      <c r="S74" s="39">
        <v>1</v>
      </c>
      <c r="T74" s="42" t="str">
        <f>C74&amp;IF(ISBLANK(S74),"","=")&amp;S74</f>
        <v>NC-NO=1</v>
      </c>
      <c r="U74" s="39">
        <v>0</v>
      </c>
      <c r="V74" s="42" t="str">
        <f>C74&amp;IF(ISBLANK(U74),"","=")&amp;U74</f>
        <v>NC-NO=0</v>
      </c>
    </row>
    <row r="75" spans="1:22" x14ac:dyDescent="0.25">
      <c r="A75">
        <v>74</v>
      </c>
      <c r="C75" s="39" t="s">
        <v>229</v>
      </c>
      <c r="Q75" s="42" t="str">
        <f>C75&amp;IF(ISBLANK(D75),"","=")&amp;D75</f>
        <v>;</v>
      </c>
      <c r="T75" s="42" t="str">
        <f>C75&amp;IF(ISBLANK(S75),"","=")&amp;S75</f>
        <v>;</v>
      </c>
      <c r="V75" s="42" t="str">
        <f>C75&amp;IF(ISBLANK(U75),"","=")&amp;U75</f>
        <v>;</v>
      </c>
    </row>
    <row r="76" spans="1:22" s="80" customFormat="1" x14ac:dyDescent="0.25">
      <c r="A76">
        <v>75</v>
      </c>
      <c r="C76" s="81" t="s">
        <v>285</v>
      </c>
      <c r="D76" s="81"/>
      <c r="H76" s="82"/>
      <c r="K76" s="81"/>
      <c r="M76" s="83"/>
      <c r="Q76" s="80" t="str">
        <f>C76&amp;IF(ISBLANK(D76),"","=")&amp;D76</f>
        <v>[Returns]</v>
      </c>
      <c r="S76" s="81"/>
      <c r="T76" s="80" t="str">
        <f>C76&amp;IF(ISBLANK(S76),"","=")&amp;S76</f>
        <v>[Returns]</v>
      </c>
      <c r="U76" s="81"/>
      <c r="V76" s="42" t="str">
        <f>C76&amp;IF(ISBLANK(U76),"","=")&amp;U76</f>
        <v>[Returns]</v>
      </c>
    </row>
    <row r="77" spans="1:22" x14ac:dyDescent="0.25">
      <c r="A77">
        <v>76</v>
      </c>
      <c r="C77" s="39" t="s">
        <v>229</v>
      </c>
      <c r="Q77" s="42" t="str">
        <f>C77&amp;IF(ISBLANK(D77),"","=")&amp;D77</f>
        <v>;</v>
      </c>
      <c r="T77" s="42" t="str">
        <f>C77&amp;IF(ISBLANK(S77),"","=")&amp;S77</f>
        <v>;</v>
      </c>
      <c r="V77" s="42" t="str">
        <f>C77&amp;IF(ISBLANK(U77),"","=")&amp;U77</f>
        <v>;</v>
      </c>
    </row>
    <row r="78" spans="1:22" x14ac:dyDescent="0.25">
      <c r="A78">
        <v>77</v>
      </c>
      <c r="C78" s="39" t="s">
        <v>286</v>
      </c>
      <c r="Q78" s="42" t="str">
        <f>C78&amp;IF(ISBLANK(D78),"","=")&amp;D78</f>
        <v>;Return</v>
      </c>
      <c r="T78" s="42" t="str">
        <f>C78&amp;IF(ISBLANK(S78),"","=")&amp;S78</f>
        <v>;Return</v>
      </c>
      <c r="V78" s="42" t="str">
        <f>C78&amp;IF(ISBLANK(U78),"","=")&amp;U78</f>
        <v>;Return</v>
      </c>
    </row>
    <row r="79" spans="1:22" x14ac:dyDescent="0.25">
      <c r="A79">
        <v>78</v>
      </c>
      <c r="C79" s="39" t="s">
        <v>287</v>
      </c>
      <c r="Q79" s="42" t="str">
        <f>C79&amp;IF(ISBLANK(D79),"","=")&amp;D79</f>
        <v>; All speeds and accellerations are in steps per second</v>
      </c>
      <c r="T79" s="42" t="str">
        <f>C79&amp;IF(ISBLANK(S79),"","=")&amp;S79</f>
        <v>; All speeds and accellerations are in steps per second</v>
      </c>
      <c r="V79" s="42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39" t="s">
        <v>352</v>
      </c>
      <c r="D80" s="39">
        <v>30000</v>
      </c>
      <c r="E80" s="26">
        <v>808</v>
      </c>
      <c r="F80" s="26">
        <v>811</v>
      </c>
      <c r="G80" s="26"/>
      <c r="H80" s="49" t="str">
        <f>DEC2HEX(I80)</f>
        <v>E8</v>
      </c>
      <c r="I80" s="27">
        <v>232</v>
      </c>
      <c r="J80" s="27" t="str">
        <f>CHAR(I80)</f>
        <v>è</v>
      </c>
      <c r="L80">
        <f>IF(ISBLANK(#REF!),IF(E80&gt;0,F80-E80+1,0),0)</f>
        <v>0</v>
      </c>
      <c r="M80" s="45">
        <f>IF(ISBLANK(#REF!),0,IF(G80=0,F80-E80+1,0))</f>
        <v>4</v>
      </c>
      <c r="Q80" s="42" t="str">
        <f>C80&amp;IF(ISBLANK(D80),"","=")&amp;D80</f>
        <v>MaxSpeed_Spindle=30000</v>
      </c>
      <c r="S80" s="39">
        <v>15001</v>
      </c>
      <c r="T80" s="42" t="str">
        <f>C80&amp;IF(ISBLANK(S80),"","=")&amp;S80</f>
        <v>MaxSpeed_Spindle=15001</v>
      </c>
      <c r="U80" s="39">
        <v>1001</v>
      </c>
      <c r="V80" s="42" t="str">
        <f>C80&amp;IF(ISBLANK(U80),"","=")&amp;U80</f>
        <v>MaxSpeed_Spindle=1001</v>
      </c>
    </row>
    <row r="81" spans="1:25" x14ac:dyDescent="0.25">
      <c r="A81">
        <v>80</v>
      </c>
      <c r="B81" t="s">
        <v>184</v>
      </c>
      <c r="C81" s="39" t="s">
        <v>353</v>
      </c>
      <c r="D81" s="39">
        <v>20000</v>
      </c>
      <c r="E81" s="26">
        <v>812</v>
      </c>
      <c r="F81" s="26">
        <v>815</v>
      </c>
      <c r="G81" s="26"/>
      <c r="H81" s="49" t="str">
        <f>DEC2HEX(I81)</f>
        <v>E9</v>
      </c>
      <c r="I81" s="27">
        <v>233</v>
      </c>
      <c r="J81" s="27" t="str">
        <f>CHAR(I81)</f>
        <v>é</v>
      </c>
      <c r="L81">
        <f>IF(ISBLANK(#REF!),IF(E81&gt;0,F81-E81+1,0),0)</f>
        <v>0</v>
      </c>
      <c r="M81" s="45">
        <f>IF(ISBLANK(#REF!),0,IF(G81=0,F81-E81+1,0))</f>
        <v>4</v>
      </c>
      <c r="Q81" s="42" t="str">
        <f>C81&amp;IF(ISBLANK(D81),"","=")&amp;D81</f>
        <v>Accel_Spindle=20000</v>
      </c>
      <c r="S81" s="39">
        <v>15002</v>
      </c>
      <c r="T81" s="42" t="str">
        <f>C81&amp;IF(ISBLANK(S81),"","=")&amp;S81</f>
        <v>Accel_Spindle=15002</v>
      </c>
      <c r="U81" s="39">
        <v>1002</v>
      </c>
      <c r="V81" s="42" t="str">
        <f>C81&amp;IF(ISBLANK(U81),"","=")&amp;U81</f>
        <v>Accel_Spindle=1002</v>
      </c>
    </row>
    <row r="82" spans="1:25" x14ac:dyDescent="0.25">
      <c r="A82">
        <v>81</v>
      </c>
      <c r="B82" t="s">
        <v>184</v>
      </c>
      <c r="C82" s="39" t="s">
        <v>354</v>
      </c>
      <c r="D82" s="39">
        <v>30000</v>
      </c>
      <c r="E82" s="26">
        <v>816</v>
      </c>
      <c r="F82" s="26">
        <v>819</v>
      </c>
      <c r="G82" s="26"/>
      <c r="H82" s="49" t="str">
        <f>DEC2HEX(I82)</f>
        <v>EA</v>
      </c>
      <c r="I82" s="27">
        <v>234</v>
      </c>
      <c r="J82" s="27" t="str">
        <f>CHAR(I82)</f>
        <v>ê</v>
      </c>
      <c r="L82">
        <f>IF(ISBLANK(#REF!),IF(E82&gt;0,F82-E82+1,0),0)</f>
        <v>0</v>
      </c>
      <c r="M82" s="45">
        <f>IF(ISBLANK(#REF!),0,IF(G82=0,F82-E82+1,0))</f>
        <v>4</v>
      </c>
      <c r="Q82" s="42" t="str">
        <f>C82&amp;IF(ISBLANK(D82),"","=")&amp;D82</f>
        <v>MaxSpeed_Axis_Z=30000</v>
      </c>
      <c r="S82" s="39">
        <v>15003</v>
      </c>
      <c r="T82" s="42" t="str">
        <f>C82&amp;IF(ISBLANK(S82),"","=")&amp;S82</f>
        <v>MaxSpeed_Axis_Z=15003</v>
      </c>
      <c r="U82" s="39">
        <v>1003</v>
      </c>
      <c r="V82" s="42" t="str">
        <f>C82&amp;IF(ISBLANK(U82),"","=")&amp;U82</f>
        <v>MaxSpeed_Axis_Z=1003</v>
      </c>
    </row>
    <row r="83" spans="1:25" x14ac:dyDescent="0.25">
      <c r="A83">
        <v>82</v>
      </c>
      <c r="B83" t="s">
        <v>184</v>
      </c>
      <c r="C83" s="39" t="s">
        <v>355</v>
      </c>
      <c r="D83" s="39">
        <v>20000</v>
      </c>
      <c r="E83" s="26">
        <v>772</v>
      </c>
      <c r="F83" s="26">
        <v>775</v>
      </c>
      <c r="G83" s="26"/>
      <c r="H83" s="49" t="str">
        <f>DEC2HEX(I83)</f>
        <v>EB</v>
      </c>
      <c r="I83" s="27">
        <v>235</v>
      </c>
      <c r="J83" s="27" t="str">
        <f>CHAR(I83)</f>
        <v>ë</v>
      </c>
      <c r="L83">
        <f>IF(ISBLANK(D83),IF(E83&gt;0,F83-E83+1,0),0)</f>
        <v>0</v>
      </c>
      <c r="M83" s="45">
        <f>IF(ISBLANK(D83),0,IF(G83=0,F83-E83+1,0))</f>
        <v>4</v>
      </c>
      <c r="Q83" s="42" t="str">
        <f>C83&amp;IF(ISBLANK(D83),"","=")&amp;D83</f>
        <v>Accel_Axis_Z=20000</v>
      </c>
      <c r="S83" s="39">
        <v>15000</v>
      </c>
      <c r="T83" s="42" t="str">
        <f>C83&amp;IF(ISBLANK(S83),"","=")&amp;S83</f>
        <v>Accel_Axis_Z=15000</v>
      </c>
      <c r="U83" s="39">
        <v>1000</v>
      </c>
      <c r="V83" s="42" t="str">
        <f>C83&amp;IF(ISBLANK(U83),"","=")&amp;U83</f>
        <v>Accel_Axis_Z=1000</v>
      </c>
    </row>
    <row r="84" spans="1:25" s="29" customFormat="1" x14ac:dyDescent="0.25">
      <c r="A84">
        <v>83</v>
      </c>
      <c r="B84" t="s">
        <v>184</v>
      </c>
      <c r="C84" s="39" t="s">
        <v>356</v>
      </c>
      <c r="D84" s="39">
        <v>30000</v>
      </c>
      <c r="E84" s="26">
        <v>784</v>
      </c>
      <c r="F84" s="26">
        <v>787</v>
      </c>
      <c r="G84" s="26"/>
      <c r="H84" s="49" t="str">
        <f>DEC2HEX(I84)</f>
        <v>EA</v>
      </c>
      <c r="I84" s="27">
        <v>234</v>
      </c>
      <c r="J84" s="27" t="str">
        <f>CHAR(I84)</f>
        <v>ê</v>
      </c>
      <c r="K84" s="39"/>
      <c r="L84">
        <f>IF(ISBLANK(D84),IF(E84&gt;0,F84-E84+1,0),0)</f>
        <v>0</v>
      </c>
      <c r="M84" s="45">
        <f>IF(ISBLANK(D84),0,IF(G84=0,F84-E84+1,0))</f>
        <v>4</v>
      </c>
      <c r="N84" s="54"/>
      <c r="O84" s="54"/>
      <c r="P84" s="54"/>
      <c r="Q84" s="42" t="str">
        <f>C84&amp;IF(ISBLANK(D84),"","=")&amp;D84</f>
        <v>MaxSpeed_Axis_X=30000</v>
      </c>
      <c r="R84"/>
      <c r="S84" s="39">
        <v>30000</v>
      </c>
      <c r="T84" s="42" t="str">
        <f>C84&amp;IF(ISBLANK(S84),"","=")&amp;S84</f>
        <v>MaxSpeed_Axis_X=30000</v>
      </c>
      <c r="U84" s="39">
        <v>1000</v>
      </c>
      <c r="V84" s="42" t="str">
        <f>C84&amp;IF(ISBLANK(U84),"","=")&amp;U84</f>
        <v>MaxSpeed_Axis_X=1000</v>
      </c>
      <c r="W84"/>
      <c r="X84"/>
      <c r="Y84"/>
    </row>
    <row r="85" spans="1:25" x14ac:dyDescent="0.25">
      <c r="A85">
        <v>84</v>
      </c>
      <c r="B85" t="s">
        <v>184</v>
      </c>
      <c r="C85" s="39" t="s">
        <v>357</v>
      </c>
      <c r="D85" s="39">
        <v>20000</v>
      </c>
      <c r="E85" s="26">
        <v>788</v>
      </c>
      <c r="F85" s="26">
        <v>791</v>
      </c>
      <c r="G85" s="26"/>
      <c r="H85" s="49" t="str">
        <f>DEC2HEX(I85)</f>
        <v>EB</v>
      </c>
      <c r="I85" s="27">
        <v>235</v>
      </c>
      <c r="J85" s="27" t="str">
        <f>CHAR(I85)</f>
        <v>ë</v>
      </c>
      <c r="L85">
        <f>IF(ISBLANK(D85),IF(E85&gt;0,F85-E85+1,0),0)</f>
        <v>0</v>
      </c>
      <c r="M85" s="45">
        <f>IF(ISBLANK(D85),0,IF(G85=0,F85-E85+1,0))</f>
        <v>4</v>
      </c>
      <c r="Q85" s="42" t="str">
        <f>C85&amp;IF(ISBLANK(D85),"","=")&amp;D85</f>
        <v>Accel_Axis_X=20000</v>
      </c>
      <c r="S85" s="39">
        <v>15000</v>
      </c>
      <c r="T85" s="42" t="str">
        <f>C85&amp;IF(ISBLANK(S85),"","=")&amp;S85</f>
        <v>Accel_Axis_X=15000</v>
      </c>
      <c r="U85" s="39">
        <v>1000</v>
      </c>
      <c r="V85" s="42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39" t="s">
        <v>358</v>
      </c>
      <c r="D86" s="39">
        <v>30000</v>
      </c>
      <c r="E86" s="26">
        <v>776</v>
      </c>
      <c r="F86" s="26">
        <v>779</v>
      </c>
      <c r="G86" s="26"/>
      <c r="H86" s="49" t="str">
        <f>DEC2HEX(I86)</f>
        <v>EA</v>
      </c>
      <c r="I86" s="27">
        <v>234</v>
      </c>
      <c r="J86" s="27" t="str">
        <f>CHAR(I86)</f>
        <v>ê</v>
      </c>
      <c r="L86">
        <f>IF(ISBLANK(D86),IF(E86&gt;0,F86-E86+1,0),0)</f>
        <v>0</v>
      </c>
      <c r="M86" s="45">
        <f>IF(ISBLANK(D86),0,IF(G86=0,F86-E86+1,0))</f>
        <v>4</v>
      </c>
      <c r="Q86" s="42" t="str">
        <f>C86&amp;IF(ISBLANK(D86),"","=")&amp;D86</f>
        <v>MaxSpeed_Axis_M3=30000</v>
      </c>
      <c r="S86" s="39">
        <v>30000</v>
      </c>
      <c r="T86" s="42" t="str">
        <f>C86&amp;IF(ISBLANK(S86),"","=")&amp;S86</f>
        <v>MaxSpeed_Axis_M3=30000</v>
      </c>
      <c r="U86" s="39">
        <v>1000</v>
      </c>
      <c r="V86" s="42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39" t="s">
        <v>359</v>
      </c>
      <c r="D87" s="39">
        <v>20000</v>
      </c>
      <c r="E87" s="26">
        <v>780</v>
      </c>
      <c r="F87" s="26">
        <v>783</v>
      </c>
      <c r="G87" s="26"/>
      <c r="H87" s="49" t="str">
        <f>DEC2HEX(I87)</f>
        <v>EB</v>
      </c>
      <c r="I87" s="27">
        <v>235</v>
      </c>
      <c r="J87" s="27" t="str">
        <f>CHAR(I87)</f>
        <v>ë</v>
      </c>
      <c r="L87">
        <f>IF(ISBLANK(D87),IF(E87&gt;0,F87-E87+1,0),0)</f>
        <v>0</v>
      </c>
      <c r="M87" s="45">
        <f>IF(ISBLANK(D87),0,IF(G87=0,F87-E87+1,0))</f>
        <v>4</v>
      </c>
      <c r="Q87" s="42" t="str">
        <f>C87&amp;IF(ISBLANK(D87),"","=")&amp;D87</f>
        <v>Accel_Axis_M3=20000</v>
      </c>
      <c r="S87" s="39">
        <v>15000</v>
      </c>
      <c r="T87" s="42" t="str">
        <f>C87&amp;IF(ISBLANK(S87),"","=")&amp;S87</f>
        <v>Accel_Axis_M3=15000</v>
      </c>
      <c r="U87" s="39">
        <v>1000</v>
      </c>
      <c r="V87" s="42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39" t="s">
        <v>360</v>
      </c>
      <c r="D88" s="39">
        <v>30000</v>
      </c>
      <c r="E88" s="26">
        <v>856</v>
      </c>
      <c r="F88" s="26">
        <v>859</v>
      </c>
      <c r="G88" s="26"/>
      <c r="H88" s="49" t="str">
        <f>DEC2HEX(I88)</f>
        <v>EA</v>
      </c>
      <c r="I88" s="27">
        <v>234</v>
      </c>
      <c r="J88" s="27" t="str">
        <f>CHAR(I88)</f>
        <v>ê</v>
      </c>
      <c r="L88">
        <f>IF(ISBLANK(D88),IF(E88&gt;0,F88-E88+1,0),0)</f>
        <v>0</v>
      </c>
      <c r="M88" s="45">
        <f>IF(ISBLANK(D88),0,IF(G88=0,F88-E88+1,0))</f>
        <v>4</v>
      </c>
      <c r="Q88" s="42" t="str">
        <f>C88&amp;IF(ISBLANK(D88),"","=")&amp;D88</f>
        <v>MaxSpeed_Axis_M4=30000</v>
      </c>
      <c r="S88" s="39">
        <v>15004</v>
      </c>
      <c r="T88" s="42" t="str">
        <f>C88&amp;IF(ISBLANK(S88),"","=")&amp;S88</f>
        <v>MaxSpeed_Axis_M4=15004</v>
      </c>
      <c r="U88" s="39">
        <v>1004</v>
      </c>
      <c r="V88" s="42" t="str">
        <f>C88&amp;IF(ISBLANK(U88),"","=")&amp;U88</f>
        <v>MaxSpeed_Axis_M4=1004</v>
      </c>
    </row>
    <row r="89" spans="1:25" x14ac:dyDescent="0.25">
      <c r="A89">
        <v>88</v>
      </c>
      <c r="B89" t="s">
        <v>184</v>
      </c>
      <c r="C89" s="39" t="s">
        <v>361</v>
      </c>
      <c r="D89" s="39">
        <v>20000</v>
      </c>
      <c r="E89" s="26">
        <v>860</v>
      </c>
      <c r="F89" s="26">
        <v>863</v>
      </c>
      <c r="G89" s="26"/>
      <c r="H89" s="49" t="str">
        <f>DEC2HEX(I89)</f>
        <v>EB</v>
      </c>
      <c r="I89" s="27">
        <v>235</v>
      </c>
      <c r="J89" s="27" t="str">
        <f>CHAR(I89)</f>
        <v>ë</v>
      </c>
      <c r="L89">
        <f>IF(ISBLANK(D89),IF(E89&gt;0,F89-E89+1,0),0)</f>
        <v>0</v>
      </c>
      <c r="M89" s="45">
        <f>IF(ISBLANK(D89),0,IF(G89=0,F89-E89+1,0))</f>
        <v>4</v>
      </c>
      <c r="Q89" s="42" t="str">
        <f>C89&amp;IF(ISBLANK(D89),"","=")&amp;D89</f>
        <v>Accel_Axis_M4=20000</v>
      </c>
      <c r="S89" s="39">
        <v>15005</v>
      </c>
      <c r="T89" s="42" t="str">
        <f>C89&amp;IF(ISBLANK(S89),"","=")&amp;S89</f>
        <v>Accel_Axis_M4=15005</v>
      </c>
      <c r="U89" s="39">
        <v>1005</v>
      </c>
      <c r="V89" s="42" t="str">
        <f>C89&amp;IF(ISBLANK(U89),"","=")&amp;U89</f>
        <v>Accel_Axis_M4=1005</v>
      </c>
    </row>
    <row r="90" spans="1:25" x14ac:dyDescent="0.25">
      <c r="A90">
        <v>89</v>
      </c>
      <c r="C90" s="39" t="s">
        <v>229</v>
      </c>
      <c r="Q90" s="42" t="str">
        <f>C90&amp;IF(ISBLANK(D90),"","=")&amp;D90</f>
        <v>;</v>
      </c>
      <c r="T90" s="42" t="str">
        <f>C90&amp;IF(ISBLANK(S90),"","=")&amp;S90</f>
        <v>;</v>
      </c>
      <c r="V90" s="42" t="str">
        <f>C90&amp;IF(ISBLANK(U90),"","=")&amp;U90</f>
        <v>;</v>
      </c>
    </row>
    <row r="91" spans="1:25" s="80" customFormat="1" x14ac:dyDescent="0.25">
      <c r="A91">
        <v>90</v>
      </c>
      <c r="C91" s="81" t="s">
        <v>288</v>
      </c>
      <c r="D91" s="81"/>
      <c r="H91" s="82"/>
      <c r="K91" s="81"/>
      <c r="M91" s="83"/>
      <c r="Q91" s="80" t="str">
        <f>C91&amp;IF(ISBLANK(D91),"","=")&amp;D91</f>
        <v>[Main]</v>
      </c>
      <c r="S91" s="81"/>
      <c r="T91" s="80" t="str">
        <f>C91&amp;IF(ISBLANK(S91),"","=")&amp;S91</f>
        <v>[Main]</v>
      </c>
      <c r="U91" s="81"/>
      <c r="V91" s="42" t="str">
        <f>C91&amp;IF(ISBLANK(U91),"","=")&amp;U91</f>
        <v>[Main]</v>
      </c>
    </row>
    <row r="92" spans="1:25" x14ac:dyDescent="0.25">
      <c r="A92">
        <v>91</v>
      </c>
      <c r="C92" s="39" t="s">
        <v>229</v>
      </c>
      <c r="Q92" s="42" t="str">
        <f>C92&amp;IF(ISBLANK(D92),"","=")&amp;D92</f>
        <v>;</v>
      </c>
      <c r="T92" s="42" t="str">
        <f>C92&amp;IF(ISBLANK(S92),"","=")&amp;S92</f>
        <v>;</v>
      </c>
      <c r="V92" s="42" t="str">
        <f>C92&amp;IF(ISBLANK(U92),"","=")&amp;U92</f>
        <v>;</v>
      </c>
    </row>
    <row r="93" spans="1:25" x14ac:dyDescent="0.25">
      <c r="A93">
        <v>92</v>
      </c>
      <c r="C93" s="39" t="s">
        <v>289</v>
      </c>
      <c r="Q93" s="42" t="str">
        <f>C93&amp;IF(ISBLANK(D93),"","=")&amp;D93</f>
        <v>;Axis Ids:</v>
      </c>
      <c r="T93" s="42" t="str">
        <f>C93&amp;IF(ISBLANK(S93),"","=")&amp;S93</f>
        <v>;Axis Ids:</v>
      </c>
      <c r="V93" s="42" t="str">
        <f>C93&amp;IF(ISBLANK(U93),"","=")&amp;U93</f>
        <v>;Axis Ids:</v>
      </c>
    </row>
    <row r="94" spans="1:25" x14ac:dyDescent="0.25">
      <c r="A94">
        <v>93</v>
      </c>
      <c r="C94" s="39" t="s">
        <v>290</v>
      </c>
      <c r="Q94" s="42" t="str">
        <f>C94&amp;IF(ISBLANK(D94),"","=")&amp;D94</f>
        <v>;-----------------</v>
      </c>
      <c r="T94" s="42" t="str">
        <f>C94&amp;IF(ISBLANK(S94),"","=")&amp;S94</f>
        <v>;-----------------</v>
      </c>
      <c r="V94" s="42" t="str">
        <f>C94&amp;IF(ISBLANK(U94),"","=")&amp;U94</f>
        <v>;-----------------</v>
      </c>
    </row>
    <row r="95" spans="1:25" x14ac:dyDescent="0.25">
      <c r="A95">
        <v>94</v>
      </c>
      <c r="C95" s="39" t="s">
        <v>511</v>
      </c>
      <c r="Q95" s="42" t="str">
        <f>C95&amp;IF(ISBLANK(D95),"","=")&amp;D95</f>
        <v>;Z=1</v>
      </c>
      <c r="T95" s="42" t="str">
        <f>C95&amp;IF(ISBLANK(S95),"","=")&amp;S95</f>
        <v>;Z=1</v>
      </c>
      <c r="V95" s="42" t="str">
        <f>C95&amp;IF(ISBLANK(U95),"","=")&amp;U95</f>
        <v>;Z=1</v>
      </c>
    </row>
    <row r="96" spans="1:25" x14ac:dyDescent="0.25">
      <c r="A96">
        <v>95</v>
      </c>
      <c r="C96" s="39" t="s">
        <v>512</v>
      </c>
      <c r="Q96" s="42" t="str">
        <f>C96&amp;IF(ISBLANK(D96),"","=")&amp;D96</f>
        <v>;X=2</v>
      </c>
      <c r="T96" s="42" t="str">
        <f>C96&amp;IF(ISBLANK(S96),"","=")&amp;S96</f>
        <v>;X=2</v>
      </c>
      <c r="V96" s="42" t="str">
        <f>C96&amp;IF(ISBLANK(U96),"","=")&amp;U96</f>
        <v>;X=2</v>
      </c>
    </row>
    <row r="97" spans="1:22" x14ac:dyDescent="0.25">
      <c r="A97">
        <v>96</v>
      </c>
      <c r="C97" s="39" t="s">
        <v>513</v>
      </c>
      <c r="Q97" s="42" t="str">
        <f>C97&amp;IF(ISBLANK(D97),"","=")&amp;D97</f>
        <v>;M3=3</v>
      </c>
      <c r="T97" s="42" t="str">
        <f>C97&amp;IF(ISBLANK(S97),"","=")&amp;S97</f>
        <v>;M3=3</v>
      </c>
      <c r="V97" s="42" t="str">
        <f>C97&amp;IF(ISBLANK(U97),"","=")&amp;U97</f>
        <v>;M3=3</v>
      </c>
    </row>
    <row r="98" spans="1:22" x14ac:dyDescent="0.25">
      <c r="A98">
        <v>97</v>
      </c>
      <c r="C98" s="39" t="s">
        <v>514</v>
      </c>
      <c r="Q98" s="42" t="str">
        <f>C98&amp;IF(ISBLANK(D98),"","=")&amp;D98</f>
        <v>;M4=4</v>
      </c>
      <c r="T98" s="42" t="str">
        <f>C98&amp;IF(ISBLANK(S98),"","=")&amp;S98</f>
        <v>;M4=4</v>
      </c>
      <c r="V98" s="42" t="str">
        <f>C98&amp;IF(ISBLANK(U98),"","=")&amp;U98</f>
        <v>;M4=4</v>
      </c>
    </row>
    <row r="99" spans="1:22" x14ac:dyDescent="0.25">
      <c r="A99">
        <v>98</v>
      </c>
      <c r="C99" s="39" t="s">
        <v>510</v>
      </c>
      <c r="Q99" s="42" t="str">
        <f>C99&amp;IF(ISBLANK(D99),"","=")&amp;D99</f>
        <v>;Spindle=0</v>
      </c>
      <c r="T99" s="42" t="str">
        <f>C99&amp;IF(ISBLANK(S99),"","=")&amp;S99</f>
        <v>;Spindle=0</v>
      </c>
      <c r="V99" s="42" t="str">
        <f>C99&amp;IF(ISBLANK(U99),"","=")&amp;U99</f>
        <v>;Spindle=0</v>
      </c>
    </row>
    <row r="100" spans="1:22" x14ac:dyDescent="0.25">
      <c r="A100">
        <v>99</v>
      </c>
      <c r="C100" s="39" t="s">
        <v>290</v>
      </c>
      <c r="Q100" s="42" t="str">
        <f>C100&amp;IF(ISBLANK(D100),"","=")&amp;D100</f>
        <v>;-----------------</v>
      </c>
      <c r="T100" s="42" t="str">
        <f>C100&amp;IF(ISBLANK(S100),"","=")&amp;S100</f>
        <v>;-----------------</v>
      </c>
      <c r="V100" s="42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39" t="s">
        <v>260</v>
      </c>
      <c r="D101" s="39">
        <v>1</v>
      </c>
      <c r="E101" s="26">
        <v>0</v>
      </c>
      <c r="F101" s="26">
        <v>3</v>
      </c>
      <c r="G101" s="26">
        <v>8</v>
      </c>
      <c r="H101" s="49" t="str">
        <f>DEC2HEX(I101)</f>
        <v>42</v>
      </c>
      <c r="I101" s="27">
        <v>66</v>
      </c>
      <c r="J101" s="27" t="str">
        <f>CHAR(I101)</f>
        <v>B</v>
      </c>
      <c r="L101">
        <f>IF(ISBLANK(D101),IF(E101&gt;0,F101-E101+1,0),0)</f>
        <v>0</v>
      </c>
      <c r="M101" s="45">
        <f>IF(ISBLANK(D101),0,IF(G101=0,F101-E101+1,0))</f>
        <v>0</v>
      </c>
      <c r="Q101" s="42" t="str">
        <f>C101&amp;IF(ISBLANK(D101),"","=")&amp;D101</f>
        <v>AxisId=1</v>
      </c>
      <c r="S101" s="39">
        <v>2</v>
      </c>
      <c r="T101" s="42" t="str">
        <f>C101&amp;IF(ISBLANK(S101),"","=")&amp;S101</f>
        <v>AxisId=2</v>
      </c>
      <c r="U101" s="39">
        <v>3</v>
      </c>
      <c r="V101" s="42" t="str">
        <f>C101&amp;IF(ISBLANK(U101),"","=")&amp;U101</f>
        <v>AxisId=3</v>
      </c>
    </row>
    <row r="102" spans="1:22" x14ac:dyDescent="0.25">
      <c r="A102">
        <v>101</v>
      </c>
      <c r="C102" s="39" t="s">
        <v>291</v>
      </c>
      <c r="Q102" s="42" t="str">
        <f>C102&amp;IF(ISBLANK(D102),"","=")&amp;D102</f>
        <v>;Spindle</v>
      </c>
      <c r="T102" s="42" t="str">
        <f>C102&amp;IF(ISBLANK(S102),"","=")&amp;S102</f>
        <v>;Spindle</v>
      </c>
      <c r="V102" s="42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39" t="s">
        <v>352</v>
      </c>
      <c r="D103" s="39">
        <v>15000</v>
      </c>
      <c r="E103" s="26">
        <v>872</v>
      </c>
      <c r="F103" s="26">
        <v>875</v>
      </c>
      <c r="G103" s="26"/>
      <c r="H103" s="49" t="str">
        <f>DEC2HEX(I103)</f>
        <v>3A</v>
      </c>
      <c r="I103" s="27">
        <v>58</v>
      </c>
      <c r="J103" s="27" t="str">
        <f>CHAR(I103)</f>
        <v>:</v>
      </c>
      <c r="L103">
        <f>IF(ISBLANK(D103),IF(E103&gt;0,F103-E103+1,0),0)</f>
        <v>0</v>
      </c>
      <c r="M103" s="45">
        <f>IF(ISBLANK(D103),0,IF(G103=0,F103-E103+1,0))</f>
        <v>4</v>
      </c>
      <c r="Q103" s="42" t="str">
        <f>C103&amp;IF(ISBLANK(D103),"","=")&amp;D103</f>
        <v>MaxSpeed_Spindle=15000</v>
      </c>
      <c r="S103" s="39">
        <v>30000</v>
      </c>
      <c r="T103" s="42" t="str">
        <f>C103&amp;IF(ISBLANK(S103),"","=")&amp;S103</f>
        <v>MaxSpeed_Spindle=30000</v>
      </c>
      <c r="U103" s="39">
        <v>1000</v>
      </c>
      <c r="V103" s="42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39" t="s">
        <v>353</v>
      </c>
      <c r="D104" s="39">
        <v>20000</v>
      </c>
      <c r="E104" s="26">
        <v>912</v>
      </c>
      <c r="F104" s="26">
        <v>915</v>
      </c>
      <c r="G104" s="26"/>
      <c r="H104" s="49" t="str">
        <f>DEC2HEX(I104)</f>
        <v>3B</v>
      </c>
      <c r="I104" s="27">
        <v>59</v>
      </c>
      <c r="J104" s="27" t="str">
        <f>CHAR(I104)</f>
        <v>;</v>
      </c>
      <c r="K104" s="102"/>
      <c r="L104">
        <f>IF(ISBLANK(D104),IF(E104&gt;0,F104-E104+1,0),0)</f>
        <v>0</v>
      </c>
      <c r="M104" s="45">
        <f>IF(ISBLANK(D104),0,IF(G104=0,F104-E104+1,0))</f>
        <v>4</v>
      </c>
      <c r="Q104" s="42" t="str">
        <f>C104&amp;IF(ISBLANK(D104),"","=")&amp;D104</f>
        <v>Accel_Spindle=20000</v>
      </c>
      <c r="S104" s="39">
        <v>15000</v>
      </c>
      <c r="T104" s="42" t="str">
        <f>C104&amp;IF(ISBLANK(S104),"","=")&amp;S104</f>
        <v>Accel_Spindle=15000</v>
      </c>
      <c r="U104" s="39">
        <v>1000</v>
      </c>
      <c r="V104" s="42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39" t="s">
        <v>362</v>
      </c>
      <c r="D105" s="39">
        <v>51</v>
      </c>
      <c r="E105" s="26">
        <v>0</v>
      </c>
      <c r="F105" s="26">
        <v>3</v>
      </c>
      <c r="G105" s="26">
        <v>0</v>
      </c>
      <c r="H105" s="49" t="str">
        <f>DEC2HEX(I105)</f>
        <v>6E</v>
      </c>
      <c r="I105" s="27">
        <v>110</v>
      </c>
      <c r="J105" s="27" t="str">
        <f>CHAR(I105)</f>
        <v>n</v>
      </c>
      <c r="K105" s="102"/>
      <c r="L105">
        <f>IF(ISBLANK(D105),IF(E105&gt;0,F105-E105+1,0),0)</f>
        <v>0</v>
      </c>
      <c r="M105" s="45">
        <f>IF(ISBLANK(D105),0,IF(G105=0,F105-E105+1,0))</f>
        <v>4</v>
      </c>
      <c r="Q105" s="42" t="str">
        <f>C105&amp;IF(ISBLANK(D105),"","=")&amp;D105</f>
        <v>SpeedPercentage_Spindle=51</v>
      </c>
      <c r="S105" s="39">
        <v>100</v>
      </c>
      <c r="T105" s="42" t="str">
        <f>C105&amp;IF(ISBLANK(S105),"","=")&amp;S105</f>
        <v>SpeedPercentage_Spindle=100</v>
      </c>
      <c r="U105" s="39">
        <v>11</v>
      </c>
      <c r="V105" s="42" t="str">
        <f>C105&amp;IF(ISBLANK(U105),"","=")&amp;U105</f>
        <v>SpeedPercentage_Spindle=11</v>
      </c>
    </row>
    <row r="106" spans="1:22" x14ac:dyDescent="0.25">
      <c r="A106">
        <v>105</v>
      </c>
      <c r="C106" s="39" t="s">
        <v>278</v>
      </c>
      <c r="K106" s="102"/>
      <c r="Q106" s="42" t="str">
        <f>C106&amp;IF(ISBLANK(D106),"","=")&amp;D106</f>
        <v>;Z Axis</v>
      </c>
      <c r="T106" s="42" t="str">
        <f>C106&amp;IF(ISBLANK(S106),"","=")&amp;S106</f>
        <v>;Z Axis</v>
      </c>
      <c r="V106" s="42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102" t="s">
        <v>363</v>
      </c>
      <c r="D107" s="39">
        <v>15000</v>
      </c>
      <c r="E107" s="26">
        <v>952</v>
      </c>
      <c r="F107" s="26">
        <v>955</v>
      </c>
      <c r="G107" s="26"/>
      <c r="H107" s="49" t="str">
        <f>DEC2HEX(I107)</f>
        <v>B9</v>
      </c>
      <c r="I107" s="27">
        <v>185</v>
      </c>
      <c r="J107" s="27" t="str">
        <f>CHAR(I107)</f>
        <v>¹</v>
      </c>
      <c r="L107">
        <f>IF(ISBLANK(D107),IF(E107&gt;0,F107-E107+1,0),0)</f>
        <v>0</v>
      </c>
      <c r="M107" s="45">
        <f>IF(ISBLANK(D107),0,IF(G107=0,F107-E107+1,0))</f>
        <v>4</v>
      </c>
      <c r="Q107" s="42" t="str">
        <f>C107&amp;IF(ISBLANK(D107),"","=")&amp;D107</f>
        <v>MaxSpeed_Z=15000</v>
      </c>
      <c r="S107" s="39">
        <v>30000</v>
      </c>
      <c r="T107" s="42" t="str">
        <f>C107&amp;IF(ISBLANK(S107),"","=")&amp;S107</f>
        <v>MaxSpeed_Z=30000</v>
      </c>
      <c r="U107" s="39">
        <v>1000</v>
      </c>
      <c r="V107" s="42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39" t="s">
        <v>364</v>
      </c>
      <c r="D108" s="39">
        <v>20000</v>
      </c>
      <c r="E108" s="26">
        <v>972</v>
      </c>
      <c r="F108" s="26">
        <v>975</v>
      </c>
      <c r="G108" s="26"/>
      <c r="H108" s="49" t="str">
        <f>DEC2HEX(I108)</f>
        <v>BA</v>
      </c>
      <c r="I108" s="27">
        <v>186</v>
      </c>
      <c r="J108" s="27" t="str">
        <f>CHAR(I108)</f>
        <v>º</v>
      </c>
      <c r="L108">
        <f>IF(ISBLANK(D108),IF(E108&gt;0,F108-E108+1,0),0)</f>
        <v>0</v>
      </c>
      <c r="M108" s="45">
        <f>IF(ISBLANK(D108),0,IF(G108=0,F108-E108+1,0))</f>
        <v>4</v>
      </c>
      <c r="Q108" s="42" t="str">
        <f>C108&amp;IF(ISBLANK(D108),"","=")&amp;D108</f>
        <v>Accel_Z=20000</v>
      </c>
      <c r="S108" s="39">
        <v>15000</v>
      </c>
      <c r="T108" s="42" t="str">
        <f>C108&amp;IF(ISBLANK(S108),"","=")&amp;S108</f>
        <v>Accel_Z=15000</v>
      </c>
      <c r="U108" s="39">
        <v>1000</v>
      </c>
      <c r="V108" s="42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39" t="s">
        <v>365</v>
      </c>
      <c r="D109" s="39">
        <v>53</v>
      </c>
      <c r="E109" s="26">
        <v>8</v>
      </c>
      <c r="F109" s="26">
        <v>11</v>
      </c>
      <c r="G109" s="26">
        <v>0</v>
      </c>
      <c r="H109" s="49" t="str">
        <f>DEC2HEX(I109)</f>
        <v>6F</v>
      </c>
      <c r="I109" s="26">
        <v>111</v>
      </c>
      <c r="J109" s="27" t="str">
        <f>CHAR(I109)</f>
        <v>o</v>
      </c>
      <c r="L109">
        <f>IF(ISBLANK(D109),IF(E109&gt;0,F109-E109+1,0),0)</f>
        <v>0</v>
      </c>
      <c r="M109" s="45">
        <f>IF(ISBLANK(D109),0,IF(G109=0,F109-E109+1,0))</f>
        <v>4</v>
      </c>
      <c r="Q109" s="42" t="str">
        <f>C109&amp;IF(ISBLANK(D109),"","=")&amp;D109</f>
        <v>SpeedPercentage_Z=53</v>
      </c>
      <c r="S109" s="39">
        <v>100</v>
      </c>
      <c r="T109" s="42" t="str">
        <f>C109&amp;IF(ISBLANK(S109),"","=")&amp;S109</f>
        <v>SpeedPercentage_Z=100</v>
      </c>
      <c r="U109" s="39">
        <v>11</v>
      </c>
      <c r="V109" s="42" t="str">
        <f>C109&amp;IF(ISBLANK(U109),"","=")&amp;U109</f>
        <v>SpeedPercentage_Z=11</v>
      </c>
    </row>
    <row r="110" spans="1:22" x14ac:dyDescent="0.25">
      <c r="A110">
        <v>109</v>
      </c>
      <c r="C110" s="39" t="s">
        <v>279</v>
      </c>
      <c r="Q110" s="42" t="str">
        <f>C110&amp;IF(ISBLANK(D110),"","=")&amp;D110</f>
        <v>;X Axis</v>
      </c>
      <c r="T110" s="42" t="str">
        <f>C110&amp;IF(ISBLANK(S110),"","=")&amp;S110</f>
        <v>;X Axis</v>
      </c>
      <c r="V110" s="42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39" t="s">
        <v>366</v>
      </c>
      <c r="D111" s="39">
        <v>4000</v>
      </c>
      <c r="E111" s="26">
        <v>992</v>
      </c>
      <c r="F111" s="26">
        <v>995</v>
      </c>
      <c r="G111" s="26"/>
      <c r="H111" s="49" t="str">
        <f>DEC2HEX(I111)</f>
        <v>B9</v>
      </c>
      <c r="I111" s="27">
        <v>185</v>
      </c>
      <c r="J111" s="27" t="str">
        <f>CHAR(I111)</f>
        <v>¹</v>
      </c>
      <c r="L111">
        <f>IF(ISBLANK(D111),IF(E111&gt;0,F111-E111+1,0),0)</f>
        <v>0</v>
      </c>
      <c r="M111" s="45">
        <f>IF(ISBLANK(D111),0,IF(G111=0,F111-E111+1,0))</f>
        <v>4</v>
      </c>
      <c r="Q111" s="42" t="str">
        <f>C111&amp;IF(ISBLANK(D111),"","=")&amp;D111</f>
        <v>MaxSpeed_X=4000</v>
      </c>
      <c r="S111" s="39">
        <v>30000</v>
      </c>
      <c r="T111" s="42" t="str">
        <f>C111&amp;IF(ISBLANK(S111),"","=")&amp;S111</f>
        <v>MaxSpeed_X=30000</v>
      </c>
      <c r="U111" s="39">
        <v>1000</v>
      </c>
      <c r="V111" s="42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39" t="s">
        <v>367</v>
      </c>
      <c r="D112" s="39">
        <v>20000</v>
      </c>
      <c r="E112" s="26">
        <v>1004</v>
      </c>
      <c r="F112" s="26">
        <v>1007</v>
      </c>
      <c r="G112" s="26"/>
      <c r="H112" s="49" t="str">
        <f>DEC2HEX(I112)</f>
        <v>BA</v>
      </c>
      <c r="I112" s="27">
        <v>186</v>
      </c>
      <c r="J112" s="27" t="str">
        <f>CHAR(I112)</f>
        <v>º</v>
      </c>
      <c r="L112">
        <f>IF(ISBLANK(D112),IF(E112&gt;0,F112-E112+1,0),0)</f>
        <v>0</v>
      </c>
      <c r="M112" s="45">
        <f>IF(ISBLANK(D112),0,IF(G112=0,F112-E112+1,0))</f>
        <v>4</v>
      </c>
      <c r="Q112" s="42" t="str">
        <f>C112&amp;IF(ISBLANK(D112),"","=")&amp;D112</f>
        <v>Accel_X=20000</v>
      </c>
      <c r="S112" s="39">
        <v>15000</v>
      </c>
      <c r="T112" s="42" t="str">
        <f>C112&amp;IF(ISBLANK(S112),"","=")&amp;S112</f>
        <v>Accel_X=15000</v>
      </c>
      <c r="U112" s="39">
        <v>1000</v>
      </c>
      <c r="V112" s="42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39" t="s">
        <v>368</v>
      </c>
      <c r="D113" s="39">
        <v>54</v>
      </c>
      <c r="E113" s="26">
        <v>8</v>
      </c>
      <c r="F113" s="26">
        <v>11</v>
      </c>
      <c r="G113" s="26">
        <v>8</v>
      </c>
      <c r="H113" s="49" t="str">
        <f>DEC2HEX(I113)</f>
        <v>6F</v>
      </c>
      <c r="I113" s="26">
        <v>111</v>
      </c>
      <c r="J113" s="27" t="str">
        <f>CHAR(I113)</f>
        <v>o</v>
      </c>
      <c r="L113">
        <f>IF(ISBLANK(D113),IF(E113&gt;0,F113-E113+1,0),0)</f>
        <v>0</v>
      </c>
      <c r="M113" s="45">
        <f>IF(ISBLANK(D113),0,IF(G113=0,F113-E113+1,0))</f>
        <v>0</v>
      </c>
      <c r="Q113" s="42" t="str">
        <f>C113&amp;IF(ISBLANK(D113),"","=")&amp;D113</f>
        <v>SpeedPercentage_X=54</v>
      </c>
      <c r="S113" s="39">
        <v>100</v>
      </c>
      <c r="T113" s="42" t="str">
        <f>C113&amp;IF(ISBLANK(S113),"","=")&amp;S113</f>
        <v>SpeedPercentage_X=100</v>
      </c>
      <c r="U113" s="39">
        <v>11</v>
      </c>
      <c r="V113" s="42" t="str">
        <f>C113&amp;IF(ISBLANK(U113),"","=")&amp;U113</f>
        <v>SpeedPercentage_X=11</v>
      </c>
    </row>
    <row r="114" spans="1:25" x14ac:dyDescent="0.25">
      <c r="A114">
        <v>113</v>
      </c>
      <c r="C114" s="102" t="s">
        <v>281</v>
      </c>
      <c r="D114" s="102"/>
      <c r="H114" s="102"/>
      <c r="Q114" s="42" t="str">
        <f>C114&amp;IF(ISBLANK(D114),"","=")&amp;D114</f>
        <v>;M3 Axis</v>
      </c>
      <c r="T114" s="42" t="str">
        <f>C114&amp;IF(ISBLANK(S114),"","=")&amp;S114</f>
        <v>;M3 Axis</v>
      </c>
      <c r="U114" s="102"/>
      <c r="V114" s="42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39" t="s">
        <v>369</v>
      </c>
      <c r="D115" s="39">
        <v>5007</v>
      </c>
      <c r="E115" s="26">
        <v>1016</v>
      </c>
      <c r="F115" s="26">
        <v>1019</v>
      </c>
      <c r="G115" s="26"/>
      <c r="H115" s="104" t="str">
        <f>DEC2HEX(I115)</f>
        <v>B9</v>
      </c>
      <c r="I115" s="27">
        <v>185</v>
      </c>
      <c r="J115" s="27" t="str">
        <f>CHAR(I115)</f>
        <v>¹</v>
      </c>
      <c r="L115">
        <f>IF(ISBLANK(D115),IF(E115&gt;0,F115-E115+1,0),0)</f>
        <v>0</v>
      </c>
      <c r="M115" s="45">
        <f>IF(ISBLANK(D115),0,IF(G115=0,F115-E115+1,0))</f>
        <v>4</v>
      </c>
      <c r="Q115" s="42" t="str">
        <f>C115&amp;IF(ISBLANK(D115),"","=")&amp;D115</f>
        <v>MaxSpeed_M3 =5007</v>
      </c>
      <c r="S115" s="39">
        <v>30000</v>
      </c>
      <c r="T115" s="42" t="str">
        <f>C115&amp;IF(ISBLANK(S115),"","=")&amp;S115</f>
        <v>MaxSpeed_M3 =30000</v>
      </c>
      <c r="U115" s="39">
        <v>10001</v>
      </c>
      <c r="V115" s="42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39" t="s">
        <v>370</v>
      </c>
      <c r="D116" s="39">
        <v>20000</v>
      </c>
      <c r="E116" s="26">
        <v>1020</v>
      </c>
      <c r="F116" s="26">
        <v>1023</v>
      </c>
      <c r="G116" s="26"/>
      <c r="H116" s="49" t="str">
        <f>DEC2HEX(I116)</f>
        <v>BA</v>
      </c>
      <c r="I116" s="27">
        <v>186</v>
      </c>
      <c r="J116" s="27" t="str">
        <f>CHAR(I116)</f>
        <v>º</v>
      </c>
      <c r="L116">
        <f>IF(ISBLANK(D116),IF(E116&gt;0,F116-E116+1,0),0)</f>
        <v>0</v>
      </c>
      <c r="M116" s="45">
        <f>IF(ISBLANK(D116),0,IF(G116=0,F116-E116+1,0))</f>
        <v>4</v>
      </c>
      <c r="Q116" s="42" t="str">
        <f>C116&amp;IF(ISBLANK(D116),"","=")&amp;D116</f>
        <v>Accel_M3 =20000</v>
      </c>
      <c r="S116" s="39">
        <v>15000</v>
      </c>
      <c r="T116" s="42" t="str">
        <f>C116&amp;IF(ISBLANK(S116),"","=")&amp;S116</f>
        <v>Accel_M3 =15000</v>
      </c>
      <c r="U116" s="39">
        <v>1000</v>
      </c>
      <c r="V116" s="42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39" t="s">
        <v>371</v>
      </c>
      <c r="D117" s="39">
        <v>59</v>
      </c>
      <c r="E117" s="26">
        <v>8</v>
      </c>
      <c r="F117" s="26">
        <v>11</v>
      </c>
      <c r="G117" s="26">
        <v>16</v>
      </c>
      <c r="H117" s="49" t="str">
        <f>DEC2HEX(I117)</f>
        <v>6F</v>
      </c>
      <c r="I117" s="26">
        <v>111</v>
      </c>
      <c r="J117" s="27" t="str">
        <f>CHAR(I117)</f>
        <v>o</v>
      </c>
      <c r="L117">
        <f>IF(ISBLANK(D117),IF(E117&gt;0,F117-E117+1,0),0)</f>
        <v>0</v>
      </c>
      <c r="M117" s="45">
        <f>IF(ISBLANK(D117),0,IF(G117=0,F117-E117+1,0))</f>
        <v>0</v>
      </c>
      <c r="Q117" s="42" t="str">
        <f>C117&amp;IF(ISBLANK(D117),"","=")&amp;D117</f>
        <v>SpeedPercentage_M3 =59</v>
      </c>
      <c r="S117" s="39">
        <v>100</v>
      </c>
      <c r="T117" s="42" t="str">
        <f>C117&amp;IF(ISBLANK(S117),"","=")&amp;S117</f>
        <v>SpeedPercentage_M3 =100</v>
      </c>
      <c r="U117" s="39">
        <v>10</v>
      </c>
      <c r="V117" s="42" t="str">
        <f>C117&amp;IF(ISBLANK(U117),"","=")&amp;U117</f>
        <v>SpeedPercentage_M3 =10</v>
      </c>
    </row>
    <row r="118" spans="1:25" s="29" customFormat="1" x14ac:dyDescent="0.25">
      <c r="A118">
        <v>117</v>
      </c>
      <c r="B118"/>
      <c r="C118" s="39" t="s">
        <v>282</v>
      </c>
      <c r="D118" s="39"/>
      <c r="E118"/>
      <c r="F118"/>
      <c r="G118"/>
      <c r="H118" s="38"/>
      <c r="I118"/>
      <c r="J118"/>
      <c r="K118" s="39"/>
      <c r="L118"/>
      <c r="M118" s="45"/>
      <c r="N118" s="54"/>
      <c r="O118" s="54"/>
      <c r="P118" s="54"/>
      <c r="Q118" s="42" t="str">
        <f>C118&amp;IF(ISBLANK(D118),"","=")&amp;D118</f>
        <v>;M4 Axis</v>
      </c>
      <c r="R118"/>
      <c r="S118" s="39"/>
      <c r="T118" s="42" t="str">
        <f>C118&amp;IF(ISBLANK(S118),"","=")&amp;S118</f>
        <v>;M4 Axis</v>
      </c>
      <c r="U118" s="39"/>
      <c r="V118" s="42" t="str">
        <f>C118&amp;IF(ISBLANK(U118),"","=")&amp;U118</f>
        <v>;M4 Axis</v>
      </c>
      <c r="W118"/>
      <c r="X118"/>
      <c r="Y118"/>
    </row>
    <row r="119" spans="1:25" x14ac:dyDescent="0.25">
      <c r="A119">
        <v>118</v>
      </c>
      <c r="B119" t="s">
        <v>5</v>
      </c>
      <c r="C119" s="39" t="s">
        <v>372</v>
      </c>
      <c r="D119" s="39">
        <v>5007</v>
      </c>
      <c r="E119" s="26">
        <v>916</v>
      </c>
      <c r="F119" s="26">
        <v>919</v>
      </c>
      <c r="G119" s="26"/>
      <c r="H119" s="49" t="str">
        <f>DEC2HEX(I119)</f>
        <v>B9</v>
      </c>
      <c r="I119" s="27">
        <v>185</v>
      </c>
      <c r="J119" s="27" t="str">
        <f>CHAR(I119)</f>
        <v>¹</v>
      </c>
      <c r="L119">
        <f>IF(ISBLANK(D119),IF(E119&gt;0,F119-E119+1,0),0)</f>
        <v>0</v>
      </c>
      <c r="M119" s="45">
        <f>IF(ISBLANK(D119),0,IF(G119=0,F119-E119+1,0))</f>
        <v>4</v>
      </c>
      <c r="Q119" s="42" t="str">
        <f>C119&amp;IF(ISBLANK(D119),"","=")&amp;D119</f>
        <v>MaxSpeed_M4 =5007</v>
      </c>
      <c r="S119" s="39">
        <v>30000</v>
      </c>
      <c r="T119" s="42" t="str">
        <f>C119&amp;IF(ISBLANK(S119),"","=")&amp;S119</f>
        <v>MaxSpeed_M4 =30000</v>
      </c>
      <c r="U119" s="39">
        <v>1000</v>
      </c>
      <c r="V119" s="42" t="str">
        <f>C119&amp;IF(ISBLANK(U119),"","=")&amp;U119</f>
        <v>MaxSpeed_M4 =1000</v>
      </c>
    </row>
    <row r="120" spans="1:25" x14ac:dyDescent="0.25">
      <c r="A120">
        <v>119</v>
      </c>
      <c r="B120" t="s">
        <v>5</v>
      </c>
      <c r="C120" s="39" t="s">
        <v>373</v>
      </c>
      <c r="D120" s="39">
        <v>20000</v>
      </c>
      <c r="E120" s="26">
        <v>920</v>
      </c>
      <c r="F120" s="26">
        <v>923</v>
      </c>
      <c r="G120" s="26"/>
      <c r="H120" s="49" t="str">
        <f>DEC2HEX(I120)</f>
        <v>BA</v>
      </c>
      <c r="I120" s="27">
        <v>186</v>
      </c>
      <c r="J120" s="27" t="str">
        <f>CHAR(I120)</f>
        <v>º</v>
      </c>
      <c r="L120">
        <f>IF(ISBLANK(D120),IF(E120&gt;0,F120-E120+1,0),0)</f>
        <v>0</v>
      </c>
      <c r="M120" s="45">
        <f>IF(ISBLANK(D120),0,IF(G120=0,F120-E120+1,0))</f>
        <v>4</v>
      </c>
      <c r="Q120" s="42" t="str">
        <f>C120&amp;IF(ISBLANK(D120),"","=")&amp;D120</f>
        <v>Accel_M4 =20000</v>
      </c>
      <c r="S120" s="39">
        <v>15000</v>
      </c>
      <c r="T120" s="42" t="str">
        <f>C120&amp;IF(ISBLANK(S120),"","=")&amp;S120</f>
        <v>Accel_M4 =15000</v>
      </c>
      <c r="U120" s="39">
        <v>1000</v>
      </c>
      <c r="V120" s="42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39" t="s">
        <v>374</v>
      </c>
      <c r="D121" s="39">
        <v>60</v>
      </c>
      <c r="E121" s="26">
        <v>8</v>
      </c>
      <c r="F121" s="26">
        <v>11</v>
      </c>
      <c r="G121" s="26">
        <v>24</v>
      </c>
      <c r="H121" s="49" t="str">
        <f>DEC2HEX(I121)</f>
        <v>6F</v>
      </c>
      <c r="I121" s="26">
        <v>111</v>
      </c>
      <c r="J121" s="27" t="str">
        <f>CHAR(I121)</f>
        <v>o</v>
      </c>
      <c r="L121">
        <f>IF(ISBLANK(D121),IF(E121&gt;0,F121-E121+1,0),0)</f>
        <v>0</v>
      </c>
      <c r="M121" s="45">
        <f>IF(ISBLANK(D121),0,IF(G121=0,F121-E121+1,0))</f>
        <v>0</v>
      </c>
      <c r="Q121" s="42" t="str">
        <f>C121&amp;IF(ISBLANK(D121),"","=")&amp;D121</f>
        <v>SpeedPercentage_M4 =60</v>
      </c>
      <c r="S121" s="39">
        <v>100</v>
      </c>
      <c r="T121" s="42" t="str">
        <f>C121&amp;IF(ISBLANK(S121),"","=")&amp;S121</f>
        <v>SpeedPercentage_M4 =100</v>
      </c>
      <c r="U121" s="39">
        <v>11</v>
      </c>
      <c r="V121" s="42" t="str">
        <f>C121&amp;IF(ISBLANK(U121),"","=")&amp;U121</f>
        <v>SpeedPercentage_M4 =11</v>
      </c>
    </row>
    <row r="122" spans="1:25" s="80" customFormat="1" x14ac:dyDescent="0.25">
      <c r="A122">
        <v>121</v>
      </c>
      <c r="B122"/>
      <c r="C122" s="39" t="s">
        <v>229</v>
      </c>
      <c r="D122" s="39"/>
      <c r="E122"/>
      <c r="F122"/>
      <c r="G122"/>
      <c r="H122" s="38"/>
      <c r="I122"/>
      <c r="J122"/>
      <c r="K122" s="39"/>
      <c r="L122"/>
      <c r="M122" s="45"/>
      <c r="N122" s="54"/>
      <c r="O122" s="54"/>
      <c r="P122" s="54"/>
      <c r="Q122" s="42" t="str">
        <f>C122&amp;IF(ISBLANK(D122),"","=")&amp;D122</f>
        <v>;</v>
      </c>
      <c r="R122"/>
      <c r="S122" s="39"/>
      <c r="T122" s="42" t="str">
        <f>C122&amp;IF(ISBLANK(S122),"","=")&amp;S122</f>
        <v>;</v>
      </c>
      <c r="U122" s="39"/>
      <c r="V122" s="42" t="str">
        <f>C122&amp;IF(ISBLANK(U122),"","=")&amp;U122</f>
        <v>;</v>
      </c>
      <c r="W122"/>
      <c r="X122"/>
      <c r="Y122"/>
    </row>
    <row r="123" spans="1:25" x14ac:dyDescent="0.25">
      <c r="A123">
        <v>122</v>
      </c>
      <c r="B123" s="80"/>
      <c r="C123" s="81" t="s">
        <v>564</v>
      </c>
      <c r="D123" s="81"/>
      <c r="E123" s="80"/>
      <c r="F123" s="80"/>
      <c r="G123" s="80"/>
      <c r="H123" s="82"/>
      <c r="I123" s="80"/>
      <c r="J123" s="80"/>
      <c r="K123" s="81"/>
      <c r="L123" s="80"/>
      <c r="M123" s="83"/>
      <c r="N123" s="80"/>
      <c r="O123" s="80"/>
      <c r="P123" s="80"/>
      <c r="Q123" s="80" t="str">
        <f>C123&amp;IF(ISBLANK(D123),"","=")&amp;D123</f>
        <v>[One_Multi]</v>
      </c>
      <c r="R123" s="80"/>
      <c r="S123" s="81"/>
      <c r="T123" s="80" t="str">
        <f>C123&amp;IF(ISBLANK(S123),"","=")&amp;S123</f>
        <v>[One_Multi]</v>
      </c>
      <c r="U123" s="81"/>
      <c r="V123" s="42" t="str">
        <f>C123&amp;IF(ISBLANK(U123),"","=")&amp;U123</f>
        <v>[One_Multi]</v>
      </c>
      <c r="W123" s="80"/>
      <c r="X123" s="80"/>
      <c r="Y123" s="80"/>
    </row>
    <row r="124" spans="1:25" x14ac:dyDescent="0.25">
      <c r="A124">
        <v>123</v>
      </c>
      <c r="C124" s="39" t="s">
        <v>229</v>
      </c>
      <c r="Q124" s="42" t="str">
        <f>C124&amp;IF(ISBLANK(D124),"","=")&amp;D124</f>
        <v>;</v>
      </c>
      <c r="T124" s="42" t="str">
        <f>C124&amp;IF(ISBLANK(S124),"","=")&amp;S124</f>
        <v>;</v>
      </c>
      <c r="V124" s="42" t="str">
        <f>C124&amp;IF(ISBLANK(U124),"","=")&amp;U124</f>
        <v>;</v>
      </c>
    </row>
    <row r="125" spans="1:25" x14ac:dyDescent="0.25">
      <c r="A125">
        <v>124</v>
      </c>
      <c r="C125" s="39" t="s">
        <v>565</v>
      </c>
      <c r="Q125" s="42" t="str">
        <f>C125&amp;IF(ISBLANK(D125),"","=")&amp;D125</f>
        <v>; Settings are shared between One and Multi pages.</v>
      </c>
      <c r="T125" s="42" t="str">
        <f>C125&amp;IF(ISBLANK(S125),"","=")&amp;S125</f>
        <v>; Settings are shared between One and Multi pages.</v>
      </c>
      <c r="V125" s="42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39" t="s">
        <v>260</v>
      </c>
      <c r="D126" s="39">
        <v>1</v>
      </c>
      <c r="E126" s="26">
        <v>88</v>
      </c>
      <c r="F126" s="26">
        <v>91</v>
      </c>
      <c r="G126" s="26">
        <v>8</v>
      </c>
      <c r="H126" s="49" t="str">
        <f>DEC2HEX(I126)</f>
        <v>42</v>
      </c>
      <c r="I126" s="27">
        <v>66</v>
      </c>
      <c r="J126" s="27" t="str">
        <f>CHAR(I126)</f>
        <v>B</v>
      </c>
      <c r="L126">
        <f>IF(ISBLANK(D126),IF(E126&gt;0,F126-E126+1,0),0)</f>
        <v>0</v>
      </c>
      <c r="M126" s="45">
        <f>IF(ISBLANK(D126),0,IF(G126=0,F126-E126+1,0))</f>
        <v>0</v>
      </c>
      <c r="Q126" s="42" t="str">
        <f>C126&amp;IF(ISBLANK(D126),"","=")&amp;D126</f>
        <v>AxisId=1</v>
      </c>
      <c r="S126" s="39">
        <v>1</v>
      </c>
      <c r="T126" s="42" t="str">
        <f>C126&amp;IF(ISBLANK(S126),"","=")&amp;S126</f>
        <v>AxisId=1</v>
      </c>
      <c r="U126" s="39">
        <v>3</v>
      </c>
      <c r="V126" s="42" t="str">
        <f>C126&amp;IF(ISBLANK(U126),"","=")&amp;U126</f>
        <v>AxisId=3</v>
      </c>
    </row>
    <row r="127" spans="1:25" x14ac:dyDescent="0.25">
      <c r="A127">
        <v>126</v>
      </c>
      <c r="C127" s="39" t="s">
        <v>458</v>
      </c>
      <c r="E127" s="106"/>
      <c r="F127" s="106"/>
      <c r="G127" s="106"/>
      <c r="H127" s="114"/>
      <c r="I127" s="115"/>
      <c r="J127" s="115"/>
      <c r="Q127" s="42" t="str">
        <f>C127&amp;IF(ISBLANK(D127),"","=")&amp;D127</f>
        <v>; MultiAxesRun and Direction values are ANDed together.</v>
      </c>
      <c r="T127" s="42" t="str">
        <f>C127&amp;IF(ISBLANK(S127),"","=")&amp;S127</f>
        <v>; MultiAxesRun and Direction values are ANDed together.</v>
      </c>
      <c r="V127" s="42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39" t="s">
        <v>492</v>
      </c>
      <c r="D128" s="39">
        <v>0</v>
      </c>
      <c r="E128" s="26">
        <v>88</v>
      </c>
      <c r="F128" s="26">
        <v>91</v>
      </c>
      <c r="G128" s="26">
        <v>16</v>
      </c>
      <c r="H128" s="49" t="str">
        <f>DEC2HEX(I128)</f>
        <v>C8</v>
      </c>
      <c r="I128" s="27">
        <v>200</v>
      </c>
      <c r="J128" s="27" t="str">
        <f>CHAR(I128)</f>
        <v>È</v>
      </c>
      <c r="K128" s="39" t="s">
        <v>436</v>
      </c>
      <c r="L128">
        <f>IF(ISBLANK(D128),IF(E128&gt;0,F128-E128+1,0),0)</f>
        <v>0</v>
      </c>
      <c r="M128" s="45">
        <f>IF(ISBLANK(D128),0,IF(G128=0,F128-E128+1,0))</f>
        <v>0</v>
      </c>
      <c r="Q128" s="42" t="str">
        <f>C128&amp;IF(ISBLANK(D128),"","=")&amp;D128</f>
        <v>MultiAxesIDs=0</v>
      </c>
      <c r="S128" s="39">
        <v>0</v>
      </c>
      <c r="T128" s="42" t="str">
        <f>C128&amp;IF(ISBLANK(S128),"","=")&amp;S128</f>
        <v>MultiAxesIDs=0</v>
      </c>
      <c r="U128" s="39">
        <v>2</v>
      </c>
      <c r="V128" s="42" t="str">
        <f>C128&amp;IF(ISBLANK(U128),"","=")&amp;U128</f>
        <v>MultiAxesIDs=2</v>
      </c>
    </row>
    <row r="129" spans="1:22" x14ac:dyDescent="0.25">
      <c r="A129">
        <v>128</v>
      </c>
      <c r="C129" s="39" t="s">
        <v>291</v>
      </c>
      <c r="E129" s="106"/>
      <c r="F129" s="106"/>
      <c r="G129" s="106"/>
      <c r="H129" s="116"/>
      <c r="I129" s="106"/>
      <c r="J129" s="106"/>
      <c r="Q129" s="42" t="str">
        <f>C129&amp;IF(ISBLANK(D129),"","=")&amp;D129</f>
        <v>;Spindle</v>
      </c>
      <c r="T129" s="42" t="str">
        <f>C129&amp;IF(ISBLANK(S129),"","=")&amp;S129</f>
        <v>;Spindle</v>
      </c>
      <c r="V129" s="42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39" t="s">
        <v>352</v>
      </c>
      <c r="D130" s="39">
        <v>2500</v>
      </c>
      <c r="E130" s="27">
        <v>928</v>
      </c>
      <c r="F130" s="27">
        <v>931</v>
      </c>
      <c r="G130" s="26"/>
      <c r="H130" s="49" t="str">
        <f>DEC2HEX(I130)</f>
        <v>3A</v>
      </c>
      <c r="I130" s="27">
        <v>58</v>
      </c>
      <c r="J130" s="27" t="str">
        <f>CHAR(I130)</f>
        <v>:</v>
      </c>
      <c r="L130">
        <f>IF(ISBLANK(D130),IF(E130&gt;0,F130-E130+1,0),0)</f>
        <v>0</v>
      </c>
      <c r="M130" s="45">
        <f>IF(ISBLANK(D130),0,IF(G130=0,F130-E130+1,0))</f>
        <v>4</v>
      </c>
      <c r="Q130" s="42" t="str">
        <f>C130&amp;IF(ISBLANK(D130),"","=")&amp;D130</f>
        <v>MaxSpeed_Spindle=2500</v>
      </c>
      <c r="S130" s="39">
        <v>10</v>
      </c>
      <c r="T130" s="42" t="str">
        <f>C130&amp;IF(ISBLANK(S130),"","=")&amp;S130</f>
        <v>MaxSpeed_Spindle=10</v>
      </c>
      <c r="U130" s="39">
        <v>9</v>
      </c>
      <c r="V130" s="42" t="str">
        <f>C130&amp;IF(ISBLANK(U130),"","=")&amp;U130</f>
        <v>MaxSpeed_Spindle=9</v>
      </c>
    </row>
    <row r="131" spans="1:22" x14ac:dyDescent="0.25">
      <c r="A131">
        <v>130</v>
      </c>
      <c r="B131" t="s">
        <v>236</v>
      </c>
      <c r="C131" s="39" t="s">
        <v>353</v>
      </c>
      <c r="D131" s="39">
        <v>20000</v>
      </c>
      <c r="E131" s="26">
        <v>940</v>
      </c>
      <c r="F131" s="26">
        <v>943</v>
      </c>
      <c r="G131" s="26"/>
      <c r="H131" s="49" t="str">
        <f>DEC2HEX(I131)</f>
        <v>3B</v>
      </c>
      <c r="I131" s="27">
        <v>59</v>
      </c>
      <c r="J131" s="27" t="str">
        <f>CHAR(I131)</f>
        <v>;</v>
      </c>
      <c r="L131">
        <f>IF(ISBLANK(D131),IF(E131&gt;0,F131-E131+1,0),0)</f>
        <v>0</v>
      </c>
      <c r="M131" s="45">
        <f>IF(ISBLANK(D131),0,IF(G131=0,F131-E131+1,0))</f>
        <v>4</v>
      </c>
      <c r="Q131" s="42" t="str">
        <f>C131&amp;IF(ISBLANK(D131),"","=")&amp;D131</f>
        <v>Accel_Spindle=20000</v>
      </c>
      <c r="S131" s="39">
        <v>10</v>
      </c>
      <c r="T131" s="42" t="str">
        <f>C131&amp;IF(ISBLANK(S131),"","=")&amp;S131</f>
        <v>Accel_Spindle=10</v>
      </c>
      <c r="U131" s="39">
        <v>9</v>
      </c>
      <c r="V131" s="42" t="str">
        <f>C131&amp;IF(ISBLANK(U131),"","=")&amp;U131</f>
        <v>Accel_Spindle=9</v>
      </c>
    </row>
    <row r="132" spans="1:22" x14ac:dyDescent="0.25">
      <c r="A132">
        <v>131</v>
      </c>
      <c r="B132" t="s">
        <v>236</v>
      </c>
      <c r="C132" s="39" t="s">
        <v>362</v>
      </c>
      <c r="D132" s="39">
        <v>61</v>
      </c>
      <c r="E132" s="26">
        <v>88</v>
      </c>
      <c r="F132" s="26">
        <v>91</v>
      </c>
      <c r="G132" s="26">
        <v>0</v>
      </c>
      <c r="H132" s="49" t="str">
        <f>DEC2HEX(I132)</f>
        <v>6E</v>
      </c>
      <c r="I132" s="27">
        <v>110</v>
      </c>
      <c r="J132" s="27" t="str">
        <f>CHAR(I132)</f>
        <v>n</v>
      </c>
      <c r="K132" s="102"/>
      <c r="L132">
        <f>IF(ISBLANK(D132),IF(E132&gt;0,F132-E132+1,0),0)</f>
        <v>0</v>
      </c>
      <c r="M132" s="45">
        <f>IF(ISBLANK(D132),0,IF(G132=0,F132-E132+1,0))</f>
        <v>4</v>
      </c>
      <c r="Q132" s="42" t="str">
        <f>C132&amp;IF(ISBLANK(D132),"","=")&amp;D132</f>
        <v>SpeedPercentage_Spindle=61</v>
      </c>
      <c r="S132" s="39">
        <v>100</v>
      </c>
      <c r="T132" s="42" t="str">
        <f>C132&amp;IF(ISBLANK(S132),"","=")&amp;S132</f>
        <v>SpeedPercentage_Spindle=100</v>
      </c>
      <c r="U132" s="39">
        <v>11</v>
      </c>
      <c r="V132" s="42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39" t="s">
        <v>445</v>
      </c>
      <c r="D133" s="39">
        <v>39.450000000000003</v>
      </c>
      <c r="E133" s="51">
        <v>388</v>
      </c>
      <c r="F133" s="51">
        <v>395</v>
      </c>
      <c r="G133" s="26"/>
      <c r="H133" s="49" t="str">
        <f>DEC2HEX(I133)</f>
        <v>7E</v>
      </c>
      <c r="I133" s="27">
        <v>126</v>
      </c>
      <c r="J133" s="27" t="str">
        <f>CHAR(I133)</f>
        <v>~</v>
      </c>
      <c r="K133" s="102"/>
      <c r="L133">
        <f>IF(ISBLANK(D133),IF(E133&gt;0,F133-E133+1,0),0)</f>
        <v>0</v>
      </c>
      <c r="M133" s="45">
        <f>IF(ISBLANK(D133),0,IF(G133=0,F133-E133+1,0))</f>
        <v>8</v>
      </c>
      <c r="Q133" s="42" t="str">
        <f>C133&amp;IF(ISBLANK(D133),"","=")&amp;D133</f>
        <v>TargetDistance_Spindle=39.45</v>
      </c>
      <c r="R133" s="102"/>
      <c r="S133" s="39">
        <v>360</v>
      </c>
      <c r="T133" s="42" t="str">
        <f>C133&amp;IF(ISBLANK(S133),"","=")&amp;S133</f>
        <v>TargetDistance_Spindle=360</v>
      </c>
      <c r="U133" s="39">
        <v>11</v>
      </c>
      <c r="V133" s="42" t="str">
        <f>C133&amp;IF(ISBLANK(U133),"","=")&amp;U133</f>
        <v>TargetDistance_Spindle=11</v>
      </c>
    </row>
    <row r="134" spans="1:22" x14ac:dyDescent="0.25">
      <c r="A134">
        <v>133</v>
      </c>
      <c r="C134" s="39" t="s">
        <v>580</v>
      </c>
      <c r="E134" s="119"/>
      <c r="F134" s="119"/>
      <c r="G134" s="106"/>
      <c r="H134" s="114"/>
      <c r="I134" s="115"/>
      <c r="J134" s="115"/>
      <c r="Q134" s="42" t="str">
        <f>C134&amp;IF(ISBLANK(D134),"","=")&amp;D134</f>
        <v>; CW=2, CCW=3</v>
      </c>
      <c r="T134" s="42" t="str">
        <f>C134&amp;IF(ISBLANK(S134),"","=")&amp;S134</f>
        <v>; CW=2, CCW=3</v>
      </c>
      <c r="V134" s="42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107" t="s">
        <v>566</v>
      </c>
      <c r="D135" s="107">
        <v>2</v>
      </c>
      <c r="E135" s="51">
        <v>712</v>
      </c>
      <c r="F135" s="51">
        <v>715</v>
      </c>
      <c r="G135" s="26"/>
      <c r="H135" s="49" t="str">
        <f>DEC2HEX(I135)</f>
        <v>C2</v>
      </c>
      <c r="I135" s="27">
        <v>194</v>
      </c>
      <c r="J135" s="27" t="str">
        <f>CHAR(I135)</f>
        <v>Â</v>
      </c>
      <c r="L135">
        <f>IF(ISBLANK(D135),IF(E135&gt;0,F135-E135+1,0),0)</f>
        <v>0</v>
      </c>
      <c r="M135" s="45">
        <f>IF(ISBLANK(D135),0,IF(G135=0,F135-E135+1,0))</f>
        <v>4</v>
      </c>
      <c r="Q135" s="42" t="str">
        <f>C135&amp;IF(ISBLANK(D135),"","=")&amp;D135</f>
        <v>Direction_Spindle=2</v>
      </c>
      <c r="S135" s="39">
        <v>2</v>
      </c>
      <c r="T135" s="42" t="str">
        <f>C135&amp;IF(ISBLANK(S135),"","=")&amp;S135</f>
        <v>Direction_Spindle=2</v>
      </c>
      <c r="U135" s="39">
        <v>3</v>
      </c>
      <c r="V135" s="42" t="str">
        <f>C135&amp;IF(ISBLANK(U135),"","=")&amp;U135</f>
        <v>Direction_Spindle=3</v>
      </c>
    </row>
    <row r="136" spans="1:22" x14ac:dyDescent="0.25">
      <c r="A136">
        <v>135</v>
      </c>
      <c r="C136" s="39" t="s">
        <v>278</v>
      </c>
      <c r="E136" s="106"/>
      <c r="F136" s="106"/>
      <c r="G136" s="106"/>
      <c r="H136" s="116"/>
      <c r="I136" s="106"/>
      <c r="J136" s="106"/>
      <c r="Q136" s="42" t="str">
        <f>C136&amp;IF(ISBLANK(D136),"","=")&amp;D136</f>
        <v>;Z Axis</v>
      </c>
      <c r="T136" s="42" t="str">
        <f>C136&amp;IF(ISBLANK(S136),"","=")&amp;S136</f>
        <v>;Z Axis</v>
      </c>
      <c r="V136" s="42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39" t="s">
        <v>363</v>
      </c>
      <c r="D137" s="39">
        <v>5062</v>
      </c>
      <c r="E137" s="26">
        <v>852</v>
      </c>
      <c r="F137" s="26">
        <v>855</v>
      </c>
      <c r="G137" s="26"/>
      <c r="H137" s="49" t="str">
        <f>DEC2HEX(I137)</f>
        <v>B9</v>
      </c>
      <c r="I137" s="27">
        <v>185</v>
      </c>
      <c r="J137" s="27" t="str">
        <f>CHAR(I137)</f>
        <v>¹</v>
      </c>
      <c r="L137">
        <f>IF(ISBLANK(D137),IF(E137&gt;0,F137-E137+1,0),0)</f>
        <v>0</v>
      </c>
      <c r="M137" s="45">
        <f>IF(ISBLANK(D137),0,IF(G137=0,F137-E137+1,0))</f>
        <v>4</v>
      </c>
      <c r="Q137" s="42" t="str">
        <f>C137&amp;IF(ISBLANK(D137),"","=")&amp;D137</f>
        <v>MaxSpeed_Z=5062</v>
      </c>
      <c r="S137" s="39">
        <v>6</v>
      </c>
      <c r="T137" s="42" t="str">
        <f>C137&amp;IF(ISBLANK(S137),"","=")&amp;S137</f>
        <v>MaxSpeed_Z=6</v>
      </c>
      <c r="U137" s="39">
        <v>5</v>
      </c>
      <c r="V137" s="42" t="str">
        <f>C137&amp;IF(ISBLANK(U137),"","=")&amp;U137</f>
        <v>MaxSpeed_Z=5</v>
      </c>
    </row>
    <row r="138" spans="1:22" x14ac:dyDescent="0.25">
      <c r="A138">
        <v>137</v>
      </c>
      <c r="B138" t="s">
        <v>236</v>
      </c>
      <c r="C138" s="39" t="s">
        <v>364</v>
      </c>
      <c r="D138" s="39">
        <v>20000</v>
      </c>
      <c r="E138" s="26">
        <v>768</v>
      </c>
      <c r="F138" s="26">
        <v>771</v>
      </c>
      <c r="G138" s="26"/>
      <c r="H138" s="49" t="str">
        <f>DEC2HEX(I138)</f>
        <v>BA</v>
      </c>
      <c r="I138" s="27">
        <v>186</v>
      </c>
      <c r="J138" s="27" t="str">
        <f>CHAR(I138)</f>
        <v>º</v>
      </c>
      <c r="L138">
        <f>IF(ISBLANK(D138),IF(E138&gt;0,F138-E138+1,0),0)</f>
        <v>0</v>
      </c>
      <c r="M138" s="45">
        <f>IF(ISBLANK(D138),0,IF(G138=0,F138-E138+1,0))</f>
        <v>4</v>
      </c>
      <c r="Q138" s="42" t="str">
        <f>C138&amp;IF(ISBLANK(D138),"","=")&amp;D138</f>
        <v>Accel_Z=20000</v>
      </c>
      <c r="R138" s="102"/>
      <c r="S138" s="39">
        <v>30000</v>
      </c>
      <c r="T138" s="42" t="str">
        <f>C138&amp;IF(ISBLANK(S138),"","=")&amp;S138</f>
        <v>Accel_Z=30000</v>
      </c>
      <c r="U138" s="39">
        <v>1000</v>
      </c>
      <c r="V138" s="42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39" t="s">
        <v>365</v>
      </c>
      <c r="D139" s="39">
        <v>64</v>
      </c>
      <c r="E139" s="26">
        <v>76</v>
      </c>
      <c r="F139" s="26">
        <v>79</v>
      </c>
      <c r="G139" s="26">
        <v>0</v>
      </c>
      <c r="H139" s="49" t="str">
        <f>DEC2HEX(I139)</f>
        <v>6F</v>
      </c>
      <c r="I139" s="26">
        <v>111</v>
      </c>
      <c r="J139" s="27" t="str">
        <f>CHAR(I139)</f>
        <v>o</v>
      </c>
      <c r="K139" s="102"/>
      <c r="L139">
        <f>IF(ISBLANK(D139),IF(E139&gt;0,F139-E139+1,0),0)</f>
        <v>0</v>
      </c>
      <c r="M139" s="45">
        <f>IF(ISBLANK(D139),0,IF(G139=0,F139-E139+1,0))</f>
        <v>4</v>
      </c>
      <c r="Q139" s="42" t="str">
        <f>C139&amp;IF(ISBLANK(D139),"","=")&amp;D139</f>
        <v>SpeedPercentage_Z=64</v>
      </c>
      <c r="S139" s="39">
        <v>100</v>
      </c>
      <c r="T139" s="42" t="str">
        <f>C139&amp;IF(ISBLANK(S139),"","=")&amp;S139</f>
        <v>SpeedPercentage_Z=100</v>
      </c>
      <c r="U139" s="39">
        <v>11</v>
      </c>
      <c r="V139" s="42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107" t="s">
        <v>446</v>
      </c>
      <c r="D140" s="107">
        <v>2.1230000000000002</v>
      </c>
      <c r="E140" s="27">
        <v>652</v>
      </c>
      <c r="F140" s="27">
        <v>659</v>
      </c>
      <c r="G140" s="26"/>
      <c r="H140" s="49" t="str">
        <f>DEC2HEX(I140)</f>
        <v>67</v>
      </c>
      <c r="I140" s="27">
        <v>103</v>
      </c>
      <c r="J140" s="27" t="str">
        <f>CHAR(I140)</f>
        <v>g</v>
      </c>
      <c r="K140" s="102"/>
      <c r="L140">
        <f>IF(ISBLANK(D140),IF(E140&gt;0,F140-E140+1,0),0)</f>
        <v>0</v>
      </c>
      <c r="M140" s="45">
        <f>IF(ISBLANK(D140),0,IF(G140=0,F140-E140+1,0))</f>
        <v>8</v>
      </c>
      <c r="Q140" s="42" t="str">
        <f>C140&amp;IF(ISBLANK(D140),"","=")&amp;D140</f>
        <v>TargetDistance_Z=2.123</v>
      </c>
      <c r="R140" s="102"/>
      <c r="S140" s="39">
        <v>0.2</v>
      </c>
      <c r="T140" s="42" t="str">
        <f>C140&amp;IF(ISBLANK(S140),"","=")&amp;S140</f>
        <v>TargetDistance_Z=0.2</v>
      </c>
      <c r="U140" s="39">
        <v>11</v>
      </c>
      <c r="V140" s="42" t="str">
        <f>C140&amp;IF(ISBLANK(U140),"","=")&amp;U140</f>
        <v>TargetDistance_Z=11</v>
      </c>
    </row>
    <row r="141" spans="1:22" x14ac:dyDescent="0.25">
      <c r="A141">
        <v>140</v>
      </c>
      <c r="C141" s="39" t="s">
        <v>581</v>
      </c>
      <c r="E141" s="115"/>
      <c r="F141" s="115"/>
      <c r="G141" s="106"/>
      <c r="H141" s="114"/>
      <c r="I141" s="115"/>
      <c r="J141" s="115"/>
      <c r="Q141" s="42" t="str">
        <f>C141&amp;IF(ISBLANK(D141),"","=")&amp;D141</f>
        <v>; Right=2, Left=3</v>
      </c>
      <c r="T141" s="42" t="str">
        <f>C141&amp;IF(ISBLANK(S141),"","=")&amp;S141</f>
        <v>; Right=2, Left=3</v>
      </c>
      <c r="V141" s="42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107" t="s">
        <v>567</v>
      </c>
      <c r="D142" s="107">
        <v>2</v>
      </c>
      <c r="E142" s="27">
        <v>716</v>
      </c>
      <c r="F142" s="27">
        <v>719</v>
      </c>
      <c r="G142" s="26"/>
      <c r="H142" s="49" t="str">
        <f>DEC2HEX(I142)</f>
        <v>C2</v>
      </c>
      <c r="I142" s="27">
        <v>194</v>
      </c>
      <c r="J142" s="27" t="str">
        <f>CHAR(I142)</f>
        <v>Â</v>
      </c>
      <c r="L142">
        <f>IF(ISBLANK(D142),IF(E142&gt;0,F142-E142+1,0),0)</f>
        <v>0</v>
      </c>
      <c r="M142" s="45">
        <f>IF(ISBLANK(D142),0,IF(G142=0,F142-E142+1,0))</f>
        <v>4</v>
      </c>
      <c r="Q142" s="42" t="str">
        <f>C142&amp;IF(ISBLANK(D142),"","=")&amp;D142</f>
        <v>Direction_Z=2</v>
      </c>
      <c r="S142" s="39">
        <v>2</v>
      </c>
      <c r="T142" s="42" t="str">
        <f>C142&amp;IF(ISBLANK(S142),"","=")&amp;S142</f>
        <v>Direction_Z=2</v>
      </c>
      <c r="U142" s="39">
        <v>3</v>
      </c>
      <c r="V142" s="42" t="str">
        <f>C142&amp;IF(ISBLANK(U142),"","=")&amp;U142</f>
        <v>Direction_Z=3</v>
      </c>
    </row>
    <row r="143" spans="1:22" x14ac:dyDescent="0.25">
      <c r="A143">
        <v>142</v>
      </c>
      <c r="C143" s="39" t="s">
        <v>279</v>
      </c>
      <c r="E143" s="106"/>
      <c r="F143" s="106"/>
      <c r="G143" s="106"/>
      <c r="H143" s="116"/>
      <c r="I143" s="106"/>
      <c r="J143" s="106"/>
      <c r="Q143" s="42" t="str">
        <f>C143&amp;IF(ISBLANK(D143),"","=")&amp;D143</f>
        <v>;X Axis</v>
      </c>
      <c r="T143" s="42" t="str">
        <f>C143&amp;IF(ISBLANK(S143),"","=")&amp;S143</f>
        <v>;X Axis</v>
      </c>
      <c r="V143" s="42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39" t="s">
        <v>366</v>
      </c>
      <c r="D144" s="39">
        <v>5065</v>
      </c>
      <c r="E144" s="26">
        <v>848</v>
      </c>
      <c r="F144" s="26">
        <v>851</v>
      </c>
      <c r="G144" s="26"/>
      <c r="H144" s="49" t="str">
        <f>DEC2HEX(I144)</f>
        <v>B9</v>
      </c>
      <c r="I144" s="27">
        <v>185</v>
      </c>
      <c r="J144" s="27" t="str">
        <f>CHAR(I144)</f>
        <v>¹</v>
      </c>
      <c r="L144">
        <f>IF(ISBLANK(D144),IF(E144&gt;0,F144-E144+1,0),0)</f>
        <v>0</v>
      </c>
      <c r="M144" s="45">
        <f>IF(ISBLANK(D144),0,IF(G144=0,F144-E144+1,0))</f>
        <v>4</v>
      </c>
      <c r="Q144" s="42" t="str">
        <f>C144&amp;IF(ISBLANK(D144),"","=")&amp;D144</f>
        <v>MaxSpeed_X=5065</v>
      </c>
      <c r="R144" s="38"/>
      <c r="S144" s="39">
        <v>5</v>
      </c>
      <c r="T144" s="42" t="str">
        <f>C144&amp;IF(ISBLANK(S144),"","=")&amp;S144</f>
        <v>MaxSpeed_X=5</v>
      </c>
      <c r="U144" s="39">
        <v>4</v>
      </c>
      <c r="V144" s="42" t="str">
        <f>C144&amp;IF(ISBLANK(U144),"","=")&amp;U144</f>
        <v>MaxSpeed_X=4</v>
      </c>
    </row>
    <row r="145" spans="1:25" x14ac:dyDescent="0.25">
      <c r="A145">
        <v>144</v>
      </c>
      <c r="B145" t="s">
        <v>236</v>
      </c>
      <c r="C145" s="39" t="s">
        <v>367</v>
      </c>
      <c r="D145" s="39">
        <v>20000</v>
      </c>
      <c r="E145" s="27">
        <v>908</v>
      </c>
      <c r="F145" s="27">
        <v>911</v>
      </c>
      <c r="G145" s="26"/>
      <c r="H145" s="49" t="str">
        <f>DEC2HEX(I145)</f>
        <v>BA</v>
      </c>
      <c r="I145" s="27">
        <v>186</v>
      </c>
      <c r="J145" s="27" t="str">
        <f>CHAR(I145)</f>
        <v>º</v>
      </c>
      <c r="L145">
        <f>IF(ISBLANK(D145),IF(E145&gt;0,F145-E145+1,0),0)</f>
        <v>0</v>
      </c>
      <c r="M145" s="45">
        <f>IF(ISBLANK(D145),0,IF(G145=0,F145-E145+1,0))</f>
        <v>4</v>
      </c>
      <c r="Q145" s="42" t="str">
        <f>C145&amp;IF(ISBLANK(D145),"","=")&amp;D145</f>
        <v>Accel_X=20000</v>
      </c>
      <c r="R145" s="102"/>
      <c r="S145" s="39">
        <v>8</v>
      </c>
      <c r="T145" s="42" t="str">
        <f>C145&amp;IF(ISBLANK(S145),"","=")&amp;S145</f>
        <v>Accel_X=8</v>
      </c>
      <c r="U145" s="39">
        <v>7</v>
      </c>
      <c r="V145" s="42" t="str">
        <f>C145&amp;IF(ISBLANK(U145),"","=")&amp;U145</f>
        <v>Accel_X=7</v>
      </c>
    </row>
    <row r="146" spans="1:25" x14ac:dyDescent="0.25">
      <c r="A146">
        <v>145</v>
      </c>
      <c r="B146" t="s">
        <v>236</v>
      </c>
      <c r="C146" s="39" t="s">
        <v>368</v>
      </c>
      <c r="D146" s="39">
        <v>67</v>
      </c>
      <c r="E146" s="26">
        <v>76</v>
      </c>
      <c r="F146" s="26">
        <v>79</v>
      </c>
      <c r="G146" s="26">
        <v>8</v>
      </c>
      <c r="H146" s="49" t="str">
        <f>DEC2HEX(I146)</f>
        <v>6F</v>
      </c>
      <c r="I146" s="26">
        <v>111</v>
      </c>
      <c r="J146" s="27" t="str">
        <f>CHAR(I146)</f>
        <v>o</v>
      </c>
      <c r="K146" s="102"/>
      <c r="L146">
        <f>IF(ISBLANK(D146),IF(E146&gt;0,F146-E146+1,0),0)</f>
        <v>0</v>
      </c>
      <c r="M146" s="45">
        <f>IF(ISBLANK(D146),0,IF(G146=0,F146-E146+1,0))</f>
        <v>0</v>
      </c>
      <c r="Q146" s="42" t="str">
        <f>C146&amp;IF(ISBLANK(D146),"","=")&amp;D146</f>
        <v>SpeedPercentage_X=67</v>
      </c>
      <c r="R146" s="102"/>
      <c r="S146" s="39">
        <v>100</v>
      </c>
      <c r="T146" s="42" t="str">
        <f>C146&amp;IF(ISBLANK(S146),"","=")&amp;S146</f>
        <v>SpeedPercentage_X=100</v>
      </c>
      <c r="U146" s="39">
        <v>11</v>
      </c>
      <c r="V146" s="42" t="str">
        <f>C146&amp;IF(ISBLANK(U146),"","=")&amp;U146</f>
        <v>SpeedPercentage_X=11</v>
      </c>
    </row>
    <row r="147" spans="1:25" x14ac:dyDescent="0.25">
      <c r="A147" s="106">
        <v>146</v>
      </c>
      <c r="B147" s="106" t="s">
        <v>236</v>
      </c>
      <c r="C147" s="107" t="s">
        <v>447</v>
      </c>
      <c r="D147" s="107">
        <v>3.5139999999999998</v>
      </c>
      <c r="E147" s="26">
        <v>140</v>
      </c>
      <c r="F147" s="26">
        <v>147</v>
      </c>
      <c r="G147" s="26"/>
      <c r="H147" s="49" t="str">
        <f>DEC2HEX(I147)</f>
        <v>68</v>
      </c>
      <c r="I147" s="27">
        <v>104</v>
      </c>
      <c r="J147" s="27" t="str">
        <f>CHAR(I147)</f>
        <v>h</v>
      </c>
      <c r="K147" s="102"/>
      <c r="L147">
        <f>IF(ISBLANK(D147),IF(E147&gt;0,F147-E147+1,0),0)</f>
        <v>0</v>
      </c>
      <c r="M147" s="45">
        <f>IF(ISBLANK(D147),0,IF(G147=0,F147-E147+1,0))</f>
        <v>8</v>
      </c>
      <c r="Q147" s="42" t="str">
        <f>C147&amp;IF(ISBLANK(D147),"","=")&amp;D147</f>
        <v>TargetDistance_X=3.514</v>
      </c>
      <c r="R147" s="102"/>
      <c r="S147" s="39">
        <v>0.2</v>
      </c>
      <c r="T147" s="42" t="str">
        <f>C147&amp;IF(ISBLANK(S147),"","=")&amp;S147</f>
        <v>TargetDistance_X=0.2</v>
      </c>
      <c r="U147" s="39">
        <v>11</v>
      </c>
      <c r="V147" s="42" t="str">
        <f>C147&amp;IF(ISBLANK(U147),"","=")&amp;U147</f>
        <v>TargetDistance_X=11</v>
      </c>
    </row>
    <row r="148" spans="1:25" x14ac:dyDescent="0.25">
      <c r="A148">
        <v>147</v>
      </c>
      <c r="C148" s="39" t="s">
        <v>581</v>
      </c>
      <c r="E148" s="106"/>
      <c r="F148" s="106"/>
      <c r="G148" s="106"/>
      <c r="H148" s="114"/>
      <c r="I148" s="115"/>
      <c r="J148" s="115"/>
      <c r="Q148" s="42" t="str">
        <f>C148&amp;IF(ISBLANK(D148),"","=")&amp;D148</f>
        <v>; Right=2, Left=3</v>
      </c>
      <c r="R148" s="102"/>
      <c r="T148" s="42" t="str">
        <f>C148&amp;IF(ISBLANK(S148),"","=")&amp;S148</f>
        <v>; Right=2, Left=3</v>
      </c>
      <c r="V148" s="42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107" t="s">
        <v>568</v>
      </c>
      <c r="D149" s="107">
        <v>3</v>
      </c>
      <c r="E149" s="26">
        <v>720</v>
      </c>
      <c r="F149" s="26">
        <v>723</v>
      </c>
      <c r="G149" s="26"/>
      <c r="H149" s="49" t="str">
        <f>DEC2HEX(I149)</f>
        <v>C2</v>
      </c>
      <c r="I149" s="27">
        <v>194</v>
      </c>
      <c r="J149" s="27" t="str">
        <f>CHAR(I149)</f>
        <v>Â</v>
      </c>
      <c r="L149">
        <f>IF(ISBLANK(D149),IF(E149&gt;0,F149-E149+1,0),0)</f>
        <v>0</v>
      </c>
      <c r="M149" s="45">
        <f>IF(ISBLANK(D149),0,IF(G149=0,F149-E149+1,0))</f>
        <v>4</v>
      </c>
      <c r="Q149" s="42" t="str">
        <f>C149&amp;IF(ISBLANK(D149),"","=")&amp;D149</f>
        <v>Direction_X=3</v>
      </c>
      <c r="S149" s="39">
        <v>3</v>
      </c>
      <c r="T149" s="42" t="str">
        <f>C149&amp;IF(ISBLANK(S149),"","=")&amp;S149</f>
        <v>Direction_X=3</v>
      </c>
      <c r="U149" s="39">
        <v>2</v>
      </c>
      <c r="V149" s="42" t="str">
        <f>C149&amp;IF(ISBLANK(U149),"","=")&amp;U149</f>
        <v>Direction_X=2</v>
      </c>
    </row>
    <row r="150" spans="1:25" x14ac:dyDescent="0.25">
      <c r="A150">
        <v>149</v>
      </c>
      <c r="C150" s="39" t="s">
        <v>281</v>
      </c>
      <c r="E150" s="106"/>
      <c r="F150" s="106"/>
      <c r="G150" s="106"/>
      <c r="H150" s="116"/>
      <c r="I150" s="106"/>
      <c r="J150" s="106"/>
      <c r="Q150" s="42" t="str">
        <f>C150&amp;IF(ISBLANK(D150),"","=")&amp;D150</f>
        <v>;M3 Axis</v>
      </c>
      <c r="T150" s="42" t="str">
        <f>C150&amp;IF(ISBLANK(S150),"","=")&amp;S150</f>
        <v>;M3 Axis</v>
      </c>
      <c r="V150" s="42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39" t="s">
        <v>375</v>
      </c>
      <c r="D151" s="39">
        <v>5068</v>
      </c>
      <c r="E151" s="26">
        <v>864</v>
      </c>
      <c r="F151" s="26">
        <v>867</v>
      </c>
      <c r="G151" s="26"/>
      <c r="H151" s="49" t="str">
        <f>DEC2HEX(I151)</f>
        <v>B9</v>
      </c>
      <c r="I151" s="27">
        <v>185</v>
      </c>
      <c r="J151" s="27" t="str">
        <f>CHAR(I151)</f>
        <v>¹</v>
      </c>
      <c r="L151">
        <f>IF(ISBLANK(D151),IF(E151&gt;0,F151-E151+1,0),0)</f>
        <v>0</v>
      </c>
      <c r="M151" s="45">
        <f>IF(ISBLANK(D151),0,IF(G151=0,F151-E151+1,0))</f>
        <v>4</v>
      </c>
      <c r="Q151" s="42" t="str">
        <f>C151&amp;IF(ISBLANK(D151),"","=")&amp;D151</f>
        <v>MaxSpeed_M3=5068</v>
      </c>
      <c r="S151" s="39">
        <v>7</v>
      </c>
      <c r="T151" s="42" t="str">
        <f>C151&amp;IF(ISBLANK(S151),"","=")&amp;S151</f>
        <v>MaxSpeed_M3=7</v>
      </c>
      <c r="U151" s="39">
        <v>6</v>
      </c>
      <c r="V151" s="42" t="str">
        <f>C151&amp;IF(ISBLANK(U151),"","=")&amp;U151</f>
        <v>MaxSpeed_M3=6</v>
      </c>
    </row>
    <row r="152" spans="1:25" x14ac:dyDescent="0.25">
      <c r="A152">
        <v>151</v>
      </c>
      <c r="B152" t="s">
        <v>236</v>
      </c>
      <c r="C152" s="39" t="s">
        <v>376</v>
      </c>
      <c r="D152" s="39">
        <v>20000</v>
      </c>
      <c r="E152" s="27">
        <v>932</v>
      </c>
      <c r="F152" s="27">
        <v>935</v>
      </c>
      <c r="G152" s="26"/>
      <c r="H152" s="49" t="str">
        <f>DEC2HEX(I152)</f>
        <v>BA</v>
      </c>
      <c r="I152" s="27">
        <v>186</v>
      </c>
      <c r="J152" s="27" t="str">
        <f>CHAR(I152)</f>
        <v>º</v>
      </c>
      <c r="L152">
        <f>IF(ISBLANK(D152),IF(E152&gt;0,F152-E152+1,0),0)</f>
        <v>0</v>
      </c>
      <c r="M152" s="45">
        <f>IF(ISBLANK(D152),0,IF(G152=0,F152-E152+1,0))</f>
        <v>4</v>
      </c>
      <c r="Q152" s="42" t="str">
        <f>C152&amp;IF(ISBLANK(D152),"","=")&amp;D152</f>
        <v>Accel_M3=20000</v>
      </c>
      <c r="S152" s="39">
        <v>11</v>
      </c>
      <c r="T152" s="42" t="str">
        <f>C152&amp;IF(ISBLANK(S152),"","=")&amp;S152</f>
        <v>Accel_M3=11</v>
      </c>
      <c r="U152" s="39">
        <v>10</v>
      </c>
      <c r="V152" s="42" t="str">
        <f>C152&amp;IF(ISBLANK(U152),"","=")&amp;U152</f>
        <v>Accel_M3=10</v>
      </c>
    </row>
    <row r="153" spans="1:25" x14ac:dyDescent="0.25">
      <c r="A153">
        <v>152</v>
      </c>
      <c r="B153" t="s">
        <v>236</v>
      </c>
      <c r="C153" s="39" t="s">
        <v>377</v>
      </c>
      <c r="D153" s="39">
        <v>70</v>
      </c>
      <c r="E153" s="26">
        <v>76</v>
      </c>
      <c r="F153" s="26">
        <v>79</v>
      </c>
      <c r="G153" s="26">
        <v>16</v>
      </c>
      <c r="H153" s="49" t="str">
        <f>DEC2HEX(I153)</f>
        <v>6F</v>
      </c>
      <c r="I153" s="26">
        <v>111</v>
      </c>
      <c r="J153" s="27" t="str">
        <f>CHAR(I153)</f>
        <v>o</v>
      </c>
      <c r="K153" s="102"/>
      <c r="L153">
        <f>IF(ISBLANK(D153),IF(E153&gt;0,F153-E153+1,0),0)</f>
        <v>0</v>
      </c>
      <c r="M153" s="45">
        <f>IF(ISBLANK(D153),0,IF(G153=0,F153-E153+1,0))</f>
        <v>0</v>
      </c>
      <c r="Q153" s="42" t="str">
        <f>C153&amp;IF(ISBLANK(D153),"","=")&amp;D153</f>
        <v>SpeedPercentage_M3=70</v>
      </c>
      <c r="S153" s="39">
        <v>100</v>
      </c>
      <c r="T153" s="42" t="str">
        <f>C153&amp;IF(ISBLANK(S153),"","=")&amp;S153</f>
        <v>SpeedPercentage_M3=100</v>
      </c>
      <c r="U153" s="39">
        <v>11</v>
      </c>
      <c r="V153" s="42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39" t="s">
        <v>448</v>
      </c>
      <c r="D154" s="39">
        <v>1.369</v>
      </c>
      <c r="E154" s="26">
        <v>244</v>
      </c>
      <c r="F154" s="26">
        <v>251</v>
      </c>
      <c r="G154" s="26"/>
      <c r="H154" s="49" t="str">
        <f>DEC2HEX(I154)</f>
        <v>6A</v>
      </c>
      <c r="I154" s="27">
        <v>106</v>
      </c>
      <c r="J154" s="27" t="str">
        <f>CHAR(I154)</f>
        <v>j</v>
      </c>
      <c r="K154" s="102"/>
      <c r="L154">
        <f>IF(ISBLANK(D154),IF(E154&gt;0,F154-E154+1,0),0)</f>
        <v>0</v>
      </c>
      <c r="M154" s="45">
        <f>IF(ISBLANK(D154),0,IF(G154=0,F154-E154+1,0))</f>
        <v>8</v>
      </c>
      <c r="Q154" s="42" t="str">
        <f>C154&amp;IF(ISBLANK(D154),"","=")&amp;D154</f>
        <v>TargetDistance_M3=1.369</v>
      </c>
      <c r="R154" s="102"/>
      <c r="S154" s="39">
        <v>360</v>
      </c>
      <c r="T154" s="42" t="str">
        <f>C154&amp;IF(ISBLANK(S154),"","=")&amp;S154</f>
        <v>TargetDistance_M3=360</v>
      </c>
      <c r="U154" s="39">
        <v>11</v>
      </c>
      <c r="V154" s="42" t="str">
        <f>C154&amp;IF(ISBLANK(U154),"","=")&amp;U154</f>
        <v>TargetDistance_M3=11</v>
      </c>
    </row>
    <row r="155" spans="1:25" s="29" customFormat="1" x14ac:dyDescent="0.25">
      <c r="A155">
        <v>154</v>
      </c>
      <c r="B155"/>
      <c r="C155" s="39" t="s">
        <v>582</v>
      </c>
      <c r="D155" s="39"/>
      <c r="E155" s="106"/>
      <c r="F155" s="106"/>
      <c r="G155" s="106"/>
      <c r="H155" s="114"/>
      <c r="I155" s="115"/>
      <c r="J155" s="115"/>
      <c r="K155" s="39"/>
      <c r="L155"/>
      <c r="M155" s="45"/>
      <c r="N155" s="54"/>
      <c r="O155" s="54"/>
      <c r="P155" s="54"/>
      <c r="Q155" s="42" t="str">
        <f>C155&amp;IF(ISBLANK(D155),"","=")&amp;D155</f>
        <v>; Right and CW=2, Left and CCW=3</v>
      </c>
      <c r="R155"/>
      <c r="S155" s="39"/>
      <c r="T155" s="42" t="str">
        <f>C155&amp;IF(ISBLANK(S155),"","=")&amp;S155</f>
        <v>; Right and CW=2, Left and CCW=3</v>
      </c>
      <c r="U155" s="39"/>
      <c r="V155" s="42" t="str">
        <f>C155&amp;IF(ISBLANK(U155),"","=")&amp;U155</f>
        <v>; Right and CW=2, Left and CCW=3</v>
      </c>
      <c r="W155"/>
      <c r="X155"/>
      <c r="Y155"/>
    </row>
    <row r="156" spans="1:25" x14ac:dyDescent="0.25">
      <c r="A156">
        <v>155</v>
      </c>
      <c r="B156" t="s">
        <v>236</v>
      </c>
      <c r="C156" s="107" t="s">
        <v>569</v>
      </c>
      <c r="D156" s="107">
        <v>2</v>
      </c>
      <c r="E156" s="26">
        <v>724</v>
      </c>
      <c r="F156" s="26">
        <v>727</v>
      </c>
      <c r="G156" s="26"/>
      <c r="H156" s="49" t="str">
        <f>DEC2HEX(I156)</f>
        <v>C2</v>
      </c>
      <c r="I156" s="27">
        <v>194</v>
      </c>
      <c r="J156" s="27" t="str">
        <f>CHAR(I156)</f>
        <v>Â</v>
      </c>
      <c r="L156">
        <f>IF(ISBLANK(D156),IF(E156&gt;0,F156-E156+1,0),0)</f>
        <v>0</v>
      </c>
      <c r="M156" s="45">
        <f>IF(ISBLANK(D156),0,IF(G156=0,F156-E156+1,0))</f>
        <v>4</v>
      </c>
      <c r="Q156" s="42" t="str">
        <f>C156&amp;IF(ISBLANK(D156),"","=")&amp;D156</f>
        <v>Direction_M3=2</v>
      </c>
      <c r="S156" s="39">
        <v>2</v>
      </c>
      <c r="T156" s="42" t="str">
        <f>C156&amp;IF(ISBLANK(S156),"","=")&amp;S156</f>
        <v>Direction_M3=2</v>
      </c>
      <c r="U156" s="39">
        <v>3</v>
      </c>
      <c r="V156" s="42" t="str">
        <f>C156&amp;IF(ISBLANK(U156),"","=")&amp;U156</f>
        <v>Direction_M3=3</v>
      </c>
    </row>
    <row r="157" spans="1:25" x14ac:dyDescent="0.25">
      <c r="A157">
        <v>156</v>
      </c>
      <c r="C157" s="39" t="s">
        <v>282</v>
      </c>
      <c r="E157" s="106"/>
      <c r="F157" s="106"/>
      <c r="G157" s="106"/>
      <c r="H157" s="114"/>
      <c r="I157" s="115"/>
      <c r="J157" s="115"/>
      <c r="Q157" s="42" t="str">
        <f>C157&amp;IF(ISBLANK(D157),"","=")&amp;D157</f>
        <v>;M4 Axis</v>
      </c>
      <c r="T157" s="42" t="str">
        <f>C157&amp;IF(ISBLANK(S157),"","=")&amp;S157</f>
        <v>;M4 Axis</v>
      </c>
      <c r="V157" s="42" t="str">
        <f>C157&amp;IF(ISBLANK(U157),"","=")&amp;U157</f>
        <v>;M4 Axis</v>
      </c>
    </row>
    <row r="158" spans="1:25" x14ac:dyDescent="0.25">
      <c r="A158">
        <v>157</v>
      </c>
      <c r="B158" t="s">
        <v>236</v>
      </c>
      <c r="C158" s="39" t="s">
        <v>378</v>
      </c>
      <c r="D158" s="39">
        <v>5068</v>
      </c>
      <c r="E158" s="26">
        <v>836</v>
      </c>
      <c r="F158" s="26">
        <v>839</v>
      </c>
      <c r="G158" s="26"/>
      <c r="H158" s="49" t="str">
        <f>DEC2HEX(I158)</f>
        <v>B9</v>
      </c>
      <c r="I158" s="27">
        <v>185</v>
      </c>
      <c r="J158" s="27" t="str">
        <f>CHAR(I158)</f>
        <v>¹</v>
      </c>
      <c r="L158">
        <f>IF(ISBLANK(D158),IF(E158&gt;0,F158-E158+1,0),0)</f>
        <v>0</v>
      </c>
      <c r="M158" s="45">
        <f>IF(ISBLANK(D158),0,IF(G158=0,F158-E158+1,0))</f>
        <v>4</v>
      </c>
      <c r="Q158" s="42" t="str">
        <f>C158&amp;IF(ISBLANK(D158),"","=")&amp;D158</f>
        <v>MaxSpeed_M4=5068</v>
      </c>
      <c r="S158" s="39">
        <v>4</v>
      </c>
      <c r="T158" s="42" t="str">
        <f>C158&amp;IF(ISBLANK(S158),"","=")&amp;S158</f>
        <v>MaxSpeed_M4=4</v>
      </c>
      <c r="U158" s="39">
        <v>3</v>
      </c>
      <c r="V158" s="42" t="str">
        <f>C158&amp;IF(ISBLANK(U158),"","=")&amp;U158</f>
        <v>MaxSpeed_M4=3</v>
      </c>
    </row>
    <row r="159" spans="1:25" x14ac:dyDescent="0.25">
      <c r="A159">
        <v>158</v>
      </c>
      <c r="B159" t="s">
        <v>236</v>
      </c>
      <c r="C159" s="39" t="s">
        <v>379</v>
      </c>
      <c r="D159" s="39">
        <v>20000</v>
      </c>
      <c r="E159" s="27">
        <v>924</v>
      </c>
      <c r="F159" s="27">
        <v>927</v>
      </c>
      <c r="G159" s="26"/>
      <c r="H159" s="49" t="str">
        <f>DEC2HEX(I159)</f>
        <v>BA</v>
      </c>
      <c r="I159" s="27">
        <v>186</v>
      </c>
      <c r="J159" s="27" t="str">
        <f>CHAR(I159)</f>
        <v>º</v>
      </c>
      <c r="L159">
        <f>IF(ISBLANK(D159),IF(E159&gt;0,F159-E159+1,0),0)</f>
        <v>0</v>
      </c>
      <c r="M159" s="45">
        <f>IF(ISBLANK(D159),0,IF(G159=0,F159-E159+1,0))</f>
        <v>4</v>
      </c>
      <c r="Q159" s="42" t="str">
        <f>C159&amp;IF(ISBLANK(D159),"","=")&amp;D159</f>
        <v>Accel_M4=20000</v>
      </c>
      <c r="S159" s="39">
        <v>9</v>
      </c>
      <c r="T159" s="42" t="str">
        <f>C159&amp;IF(ISBLANK(S159),"","=")&amp;S159</f>
        <v>Accel_M4=9</v>
      </c>
      <c r="U159" s="39">
        <v>8</v>
      </c>
      <c r="V159" s="42" t="str">
        <f>C159&amp;IF(ISBLANK(U159),"","=")&amp;U159</f>
        <v>Accel_M4=8</v>
      </c>
    </row>
    <row r="160" spans="1:25" x14ac:dyDescent="0.25">
      <c r="A160">
        <v>159</v>
      </c>
      <c r="B160" t="s">
        <v>236</v>
      </c>
      <c r="C160" s="39" t="s">
        <v>380</v>
      </c>
      <c r="D160" s="39">
        <v>70</v>
      </c>
      <c r="E160" s="26">
        <v>76</v>
      </c>
      <c r="F160" s="26">
        <v>79</v>
      </c>
      <c r="G160" s="26">
        <v>24</v>
      </c>
      <c r="H160" s="49" t="str">
        <f>DEC2HEX(I160)</f>
        <v>6F</v>
      </c>
      <c r="I160" s="26">
        <v>111</v>
      </c>
      <c r="J160" s="27" t="str">
        <f>CHAR(I160)</f>
        <v>o</v>
      </c>
      <c r="K160" s="102"/>
      <c r="L160">
        <f>IF(ISBLANK(D160),IF(E160&gt;0,F160-E160+1,0),0)</f>
        <v>0</v>
      </c>
      <c r="M160" s="45">
        <f>IF(ISBLANK(D160),0,IF(G160=0,F160-E160+1,0))</f>
        <v>0</v>
      </c>
      <c r="Q160" s="42" t="str">
        <f>C160&amp;IF(ISBLANK(D160),"","=")&amp;D160</f>
        <v>SpeedPercentage_M4=70</v>
      </c>
      <c r="S160" s="39">
        <v>100</v>
      </c>
      <c r="T160" s="42" t="str">
        <f>C160&amp;IF(ISBLANK(S160),"","=")&amp;S160</f>
        <v>SpeedPercentage_M4=100</v>
      </c>
      <c r="U160" s="39">
        <v>11</v>
      </c>
      <c r="V160" s="42" t="str">
        <f>C160&amp;IF(ISBLANK(U160),"","=")&amp;U160</f>
        <v>SpeedPercentage_M4=11</v>
      </c>
    </row>
    <row r="161" spans="1:25" x14ac:dyDescent="0.25">
      <c r="A161">
        <v>160</v>
      </c>
      <c r="B161" t="s">
        <v>236</v>
      </c>
      <c r="C161" s="39" t="s">
        <v>449</v>
      </c>
      <c r="D161" s="39">
        <v>0.47799999999999998</v>
      </c>
      <c r="E161" s="26">
        <v>256</v>
      </c>
      <c r="F161" s="26">
        <v>263</v>
      </c>
      <c r="G161" s="26"/>
      <c r="H161" s="49" t="str">
        <f>DEC2HEX(I161)</f>
        <v>C7</v>
      </c>
      <c r="I161" s="27">
        <v>199</v>
      </c>
      <c r="J161" s="27" t="str">
        <f>CHAR(I161)</f>
        <v>Ç</v>
      </c>
      <c r="K161" s="102"/>
      <c r="L161">
        <f>IF(ISBLANK(D161),IF(E161&gt;0,F161-E161+1,0),0)</f>
        <v>0</v>
      </c>
      <c r="M161" s="45">
        <f>IF(ISBLANK(D161),0,IF(G161=0,F161-E161+1,0))</f>
        <v>8</v>
      </c>
      <c r="Q161" s="42" t="str">
        <f>C161&amp;IF(ISBLANK(D161),"","=")&amp;D161</f>
        <v>TargetDistance_M4=0.478</v>
      </c>
      <c r="R161" s="102"/>
      <c r="S161" s="39">
        <v>0.02</v>
      </c>
      <c r="T161" s="42" t="str">
        <f>C161&amp;IF(ISBLANK(S161),"","=")&amp;S161</f>
        <v>TargetDistance_M4=0.02</v>
      </c>
      <c r="U161" s="39">
        <v>11</v>
      </c>
      <c r="V161" s="42" t="str">
        <f>C161&amp;IF(ISBLANK(U161),"","=")&amp;U161</f>
        <v>TargetDistance_M4=11</v>
      </c>
    </row>
    <row r="162" spans="1:25" x14ac:dyDescent="0.25">
      <c r="A162">
        <v>161</v>
      </c>
      <c r="C162" s="39" t="s">
        <v>582</v>
      </c>
      <c r="E162" s="106"/>
      <c r="F162" s="106"/>
      <c r="G162" s="106"/>
      <c r="H162" s="114"/>
      <c r="I162" s="115"/>
      <c r="J162" s="115"/>
      <c r="Q162" s="42" t="str">
        <f>C162&amp;IF(ISBLANK(D162),"","=")&amp;D162</f>
        <v>; Right and CW=2, Left and CCW=3</v>
      </c>
      <c r="T162" s="42" t="str">
        <f>C162&amp;IF(ISBLANK(S162),"","=")&amp;S162</f>
        <v>; Right and CW=2, Left and CCW=3</v>
      </c>
      <c r="V162" s="42" t="str">
        <f>C162&amp;IF(ISBLANK(U162),"","=")&amp;U162</f>
        <v>; Right and CW=2, Left and CCW=3</v>
      </c>
    </row>
    <row r="163" spans="1:25" s="80" customFormat="1" x14ac:dyDescent="0.25">
      <c r="A163">
        <v>162</v>
      </c>
      <c r="B163" t="s">
        <v>236</v>
      </c>
      <c r="C163" s="107" t="s">
        <v>570</v>
      </c>
      <c r="D163" s="107">
        <v>3</v>
      </c>
      <c r="E163" s="26">
        <v>728</v>
      </c>
      <c r="F163" s="26">
        <v>731</v>
      </c>
      <c r="G163" s="26"/>
      <c r="H163" s="49" t="str">
        <f>DEC2HEX(I163)</f>
        <v>C2</v>
      </c>
      <c r="I163" s="27">
        <v>194</v>
      </c>
      <c r="J163" s="27" t="str">
        <f>CHAR(I163)</f>
        <v>Â</v>
      </c>
      <c r="K163" s="39"/>
      <c r="L163">
        <f>IF(ISBLANK(D163),IF(E163&gt;0,F163-E163+1,0),0)</f>
        <v>0</v>
      </c>
      <c r="M163" s="45">
        <f>IF(ISBLANK(D163),0,IF(G163=0,F163-E163+1,0))</f>
        <v>4</v>
      </c>
      <c r="N163" s="54"/>
      <c r="O163" s="54"/>
      <c r="P163" s="54"/>
      <c r="Q163" s="42" t="str">
        <f>C163&amp;IF(ISBLANK(D163),"","=")&amp;D163</f>
        <v>Direction_M4=3</v>
      </c>
      <c r="R163"/>
      <c r="S163" s="39">
        <v>3</v>
      </c>
      <c r="T163" s="42" t="str">
        <f>C163&amp;IF(ISBLANK(S163),"","=")&amp;S163</f>
        <v>Direction_M4=3</v>
      </c>
      <c r="U163" s="39">
        <v>2</v>
      </c>
      <c r="V163" s="42" t="str">
        <f>C163&amp;IF(ISBLANK(U163),"","=")&amp;U163</f>
        <v>Direction_M4=2</v>
      </c>
      <c r="W163"/>
      <c r="X163"/>
      <c r="Y163"/>
    </row>
    <row r="164" spans="1:25" x14ac:dyDescent="0.25">
      <c r="A164">
        <v>163</v>
      </c>
      <c r="C164" s="39" t="s">
        <v>229</v>
      </c>
      <c r="Q164" s="42" t="str">
        <f>C164&amp;IF(ISBLANK(D164),"","=")&amp;D164</f>
        <v>;</v>
      </c>
      <c r="T164" s="42" t="str">
        <f>C164&amp;IF(ISBLANK(S164),"","=")&amp;S164</f>
        <v>;</v>
      </c>
      <c r="V164" s="42" t="str">
        <f>C164&amp;IF(ISBLANK(U164),"","=")&amp;U164</f>
        <v>;</v>
      </c>
    </row>
    <row r="165" spans="1:25" x14ac:dyDescent="0.25">
      <c r="A165">
        <v>164</v>
      </c>
      <c r="B165" s="80"/>
      <c r="C165" s="81" t="s">
        <v>292</v>
      </c>
      <c r="D165" s="81"/>
      <c r="E165" s="80"/>
      <c r="F165" s="80"/>
      <c r="G165" s="80"/>
      <c r="H165" s="82"/>
      <c r="I165" s="80"/>
      <c r="J165" s="80"/>
      <c r="K165" s="81"/>
      <c r="L165" s="80"/>
      <c r="M165" s="83"/>
      <c r="N165" s="80"/>
      <c r="O165" s="80"/>
      <c r="P165" s="80"/>
      <c r="Q165" s="80" t="str">
        <f>C165&amp;IF(ISBLANK(D165),"","=")&amp;D165</f>
        <v>[Index]</v>
      </c>
      <c r="R165" s="80"/>
      <c r="S165" s="81"/>
      <c r="T165" s="80" t="str">
        <f>C165&amp;IF(ISBLANK(S165),"","=")&amp;S165</f>
        <v>[Index]</v>
      </c>
      <c r="U165" s="81"/>
      <c r="V165" s="42" t="str">
        <f>C165&amp;IF(ISBLANK(U165),"","=")&amp;U165</f>
        <v>[Index]</v>
      </c>
      <c r="W165" s="80"/>
      <c r="X165" s="80"/>
      <c r="Y165" s="80"/>
    </row>
    <row r="166" spans="1:25" x14ac:dyDescent="0.25">
      <c r="A166">
        <v>165</v>
      </c>
      <c r="C166" s="39" t="s">
        <v>229</v>
      </c>
      <c r="Q166" s="42" t="str">
        <f>C166&amp;IF(ISBLANK(D166),"","=")&amp;D166</f>
        <v>;</v>
      </c>
      <c r="T166" s="42" t="str">
        <f>C166&amp;IF(ISBLANK(S166),"","=")&amp;S166</f>
        <v>;</v>
      </c>
      <c r="V166" s="42" t="str">
        <f>C166&amp;IF(ISBLANK(U166),"","=")&amp;U166</f>
        <v>;</v>
      </c>
    </row>
    <row r="167" spans="1:25" x14ac:dyDescent="0.25">
      <c r="A167">
        <v>166</v>
      </c>
      <c r="C167" s="39" t="s">
        <v>289</v>
      </c>
      <c r="Q167" s="42" t="str">
        <f>C167&amp;IF(ISBLANK(D167),"","=")&amp;D167</f>
        <v>;Axis Ids:</v>
      </c>
      <c r="T167" s="42" t="str">
        <f>C167&amp;IF(ISBLANK(S167),"","=")&amp;S167</f>
        <v>;Axis Ids:</v>
      </c>
      <c r="V167" s="42" t="str">
        <f>C167&amp;IF(ISBLANK(U167),"","=")&amp;U167</f>
        <v>;Axis Ids:</v>
      </c>
    </row>
    <row r="168" spans="1:25" x14ac:dyDescent="0.25">
      <c r="A168">
        <v>167</v>
      </c>
      <c r="C168" s="39" t="s">
        <v>290</v>
      </c>
      <c r="Q168" s="42" t="str">
        <f>C168&amp;IF(ISBLANK(D168),"","=")&amp;D168</f>
        <v>;-----------------</v>
      </c>
      <c r="T168" s="42" t="str">
        <f>C168&amp;IF(ISBLANK(S168),"","=")&amp;S168</f>
        <v>;-----------------</v>
      </c>
      <c r="V168" s="42" t="str">
        <f>C168&amp;IF(ISBLANK(U168),"","=")&amp;U168</f>
        <v>;-----------------</v>
      </c>
    </row>
    <row r="169" spans="1:25" x14ac:dyDescent="0.25">
      <c r="A169">
        <v>168</v>
      </c>
      <c r="C169" s="39" t="s">
        <v>513</v>
      </c>
      <c r="Q169" s="42" t="str">
        <f>C169&amp;IF(ISBLANK(D169),"","=")&amp;D169</f>
        <v>;M3=3</v>
      </c>
      <c r="T169" s="42" t="str">
        <f>C169&amp;IF(ISBLANK(S169),"","=")&amp;S169</f>
        <v>;M3=3</v>
      </c>
      <c r="V169" s="42" t="str">
        <f>C169&amp;IF(ISBLANK(U169),"","=")&amp;U169</f>
        <v>;M3=3</v>
      </c>
    </row>
    <row r="170" spans="1:25" x14ac:dyDescent="0.25">
      <c r="A170">
        <v>169</v>
      </c>
      <c r="C170" s="39" t="s">
        <v>514</v>
      </c>
      <c r="Q170" s="42" t="str">
        <f>C170&amp;IF(ISBLANK(D170),"","=")&amp;D170</f>
        <v>;M4=4</v>
      </c>
      <c r="T170" s="42" t="str">
        <f>C170&amp;IF(ISBLANK(S170),"","=")&amp;S170</f>
        <v>;M4=4</v>
      </c>
      <c r="V170" s="42" t="str">
        <f>C170&amp;IF(ISBLANK(U170),"","=")&amp;U170</f>
        <v>;M4=4</v>
      </c>
    </row>
    <row r="171" spans="1:25" x14ac:dyDescent="0.25">
      <c r="A171">
        <v>170</v>
      </c>
      <c r="C171" s="39" t="s">
        <v>510</v>
      </c>
      <c r="Q171" s="42" t="str">
        <f>C171&amp;IF(ISBLANK(D171),"","=")&amp;D171</f>
        <v>;Spindle=0</v>
      </c>
      <c r="T171" s="42" t="str">
        <f>C171&amp;IF(ISBLANK(S171),"","=")&amp;S171</f>
        <v>;Spindle=0</v>
      </c>
      <c r="V171" s="42" t="str">
        <f>C171&amp;IF(ISBLANK(U171),"","=")&amp;U171</f>
        <v>;Spindle=0</v>
      </c>
    </row>
    <row r="172" spans="1:25" x14ac:dyDescent="0.25">
      <c r="A172">
        <v>171</v>
      </c>
      <c r="C172" s="39" t="s">
        <v>290</v>
      </c>
      <c r="Q172" s="42" t="str">
        <f>C172&amp;IF(ISBLANK(D172),"","=")&amp;D172</f>
        <v>;-----------------</v>
      </c>
      <c r="T172" s="42" t="str">
        <f>C172&amp;IF(ISBLANK(S172),"","=")&amp;S172</f>
        <v>;-----------------</v>
      </c>
      <c r="V172" s="42" t="str">
        <f>C172&amp;IF(ISBLANK(U172),"","=")&amp;U172</f>
        <v>;-----------------</v>
      </c>
    </row>
    <row r="173" spans="1:25" x14ac:dyDescent="0.25">
      <c r="A173" s="106">
        <v>172</v>
      </c>
      <c r="B173" s="106" t="s">
        <v>0</v>
      </c>
      <c r="C173" s="107" t="s">
        <v>260</v>
      </c>
      <c r="D173" s="107">
        <v>0</v>
      </c>
      <c r="E173" s="26">
        <v>104</v>
      </c>
      <c r="F173" s="26">
        <v>107</v>
      </c>
      <c r="G173" s="26">
        <v>8</v>
      </c>
      <c r="H173" s="49" t="str">
        <f>DEC2HEX(I173)</f>
        <v>42</v>
      </c>
      <c r="I173" s="27">
        <v>66</v>
      </c>
      <c r="J173" s="27" t="str">
        <f>CHAR(I173)</f>
        <v>B</v>
      </c>
      <c r="L173">
        <f>IF(ISBLANK(D173),IF(E173&gt;0,F173-E173+1,0),0)</f>
        <v>0</v>
      </c>
      <c r="M173" s="45">
        <f>IF(ISBLANK(D173),0,IF(G173=0,F173-E173+1,0))</f>
        <v>0</v>
      </c>
      <c r="Q173" s="42" t="str">
        <f>C173&amp;IF(ISBLANK(D173),"","=")&amp;D173</f>
        <v>AxisId=0</v>
      </c>
      <c r="S173" s="39">
        <v>0</v>
      </c>
      <c r="T173" s="42" t="str">
        <f>C173&amp;IF(ISBLANK(S173),"","=")&amp;S173</f>
        <v>AxisId=0</v>
      </c>
      <c r="U173" s="39">
        <v>3</v>
      </c>
      <c r="V173" s="42" t="str">
        <f>C173&amp;IF(ISBLANK(U173),"","=")&amp;U173</f>
        <v>AxisId=3</v>
      </c>
    </row>
    <row r="174" spans="1:25" x14ac:dyDescent="0.25">
      <c r="A174" s="106">
        <v>173</v>
      </c>
      <c r="B174" s="106" t="s">
        <v>0</v>
      </c>
      <c r="C174" s="107" t="s">
        <v>34</v>
      </c>
      <c r="D174" s="107">
        <v>1</v>
      </c>
      <c r="E174" s="26">
        <v>104</v>
      </c>
      <c r="F174" s="26">
        <v>107</v>
      </c>
      <c r="G174" s="26">
        <v>16</v>
      </c>
      <c r="H174" s="49" t="str">
        <f>DEC2HEX(I174)</f>
        <v>F6</v>
      </c>
      <c r="I174" s="27">
        <v>246</v>
      </c>
      <c r="J174" s="27" t="str">
        <f>CHAR(I174)</f>
        <v>ö</v>
      </c>
      <c r="L174">
        <f>IF(ISBLANK(D174),IF(E174&gt;0,F174-E174+1,0),0)</f>
        <v>0</v>
      </c>
      <c r="M174" s="45">
        <f>IF(ISBLANK(D174),0,IF(G174=0,F174-E174+1,0))</f>
        <v>0</v>
      </c>
      <c r="Q174" s="42" t="str">
        <f>C174&amp;IF(ISBLANK(D174),"","=")&amp;D174</f>
        <v>IndexId=1</v>
      </c>
      <c r="S174" s="39">
        <v>1</v>
      </c>
      <c r="T174" s="42" t="str">
        <f>C174&amp;IF(ISBLANK(S174),"","=")&amp;S174</f>
        <v>IndexId=1</v>
      </c>
      <c r="U174" s="39">
        <v>3</v>
      </c>
      <c r="V174" s="42" t="str">
        <f>C174&amp;IF(ISBLANK(U174),"","=")&amp;U174</f>
        <v>IndexId=3</v>
      </c>
    </row>
    <row r="175" spans="1:25" x14ac:dyDescent="0.25">
      <c r="A175">
        <v>174</v>
      </c>
      <c r="C175" s="39" t="s">
        <v>277</v>
      </c>
      <c r="Q175" s="42" t="str">
        <f>C175&amp;IF(ISBLANK(D175),"","=")&amp;D175</f>
        <v>; Spindle</v>
      </c>
      <c r="T175" s="42" t="str">
        <f>C175&amp;IF(ISBLANK(S175),"","=")&amp;S175</f>
        <v>; Spindle</v>
      </c>
      <c r="V175" s="42" t="str">
        <f>C175&amp;IF(ISBLANK(U175),"","=")&amp;U175</f>
        <v>; Spindle</v>
      </c>
    </row>
    <row r="176" spans="1:25" x14ac:dyDescent="0.25">
      <c r="A176">
        <v>175</v>
      </c>
      <c r="B176" t="s">
        <v>0</v>
      </c>
      <c r="C176" s="39" t="s">
        <v>352</v>
      </c>
      <c r="D176" s="39">
        <v>5070</v>
      </c>
      <c r="E176" s="26">
        <v>904</v>
      </c>
      <c r="F176" s="26">
        <v>907</v>
      </c>
      <c r="G176" s="26"/>
      <c r="H176" s="49" t="str">
        <f>DEC2HEX(I176)</f>
        <v>3A</v>
      </c>
      <c r="I176" s="27">
        <v>58</v>
      </c>
      <c r="J176" s="27" t="str">
        <f>CHAR(I176)</f>
        <v>:</v>
      </c>
      <c r="L176">
        <f>IF(ISBLANK(D176),IF(E176&gt;0,F176-E176+1,0),0)</f>
        <v>0</v>
      </c>
      <c r="M176" s="45">
        <f>IF(ISBLANK(D176),0,IF(G176=0,F176-E176+1,0))</f>
        <v>4</v>
      </c>
      <c r="Q176" s="42" t="str">
        <f>C176&amp;IF(ISBLANK(D176),"","=")&amp;D176</f>
        <v>MaxSpeed_Spindle=5070</v>
      </c>
      <c r="S176" s="39">
        <v>30000</v>
      </c>
      <c r="T176" s="42" t="str">
        <f>C176&amp;IF(ISBLANK(S176),"","=")&amp;S176</f>
        <v>MaxSpeed_Spindle=30000</v>
      </c>
      <c r="U176" s="39">
        <v>1000</v>
      </c>
      <c r="V176" s="42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39" t="s">
        <v>353</v>
      </c>
      <c r="D177" s="39">
        <v>20000</v>
      </c>
      <c r="E177" s="26">
        <v>944</v>
      </c>
      <c r="F177" s="26">
        <v>947</v>
      </c>
      <c r="G177" s="26"/>
      <c r="H177" s="49" t="str">
        <f>DEC2HEX(I177)</f>
        <v>3B</v>
      </c>
      <c r="I177" s="27">
        <v>59</v>
      </c>
      <c r="J177" s="27" t="str">
        <f>CHAR(I177)</f>
        <v>;</v>
      </c>
      <c r="L177">
        <f>IF(ISBLANK(D177),IF(E177&gt;0,F177-E177+1,0),0)</f>
        <v>0</v>
      </c>
      <c r="M177" s="45">
        <f>IF(ISBLANK(D177),0,IF(G177=0,F177-E177+1,0))</f>
        <v>4</v>
      </c>
      <c r="Q177" s="42" t="str">
        <f>C177&amp;IF(ISBLANK(D177),"","=")&amp;D177</f>
        <v>Accel_Spindle=20000</v>
      </c>
      <c r="S177" s="39">
        <v>20000</v>
      </c>
      <c r="T177" s="42" t="str">
        <f>C177&amp;IF(ISBLANK(S177),"","=")&amp;S177</f>
        <v>Accel_Spindle=20000</v>
      </c>
      <c r="U177" s="39">
        <v>1000</v>
      </c>
      <c r="V177" s="42" t="str">
        <f>C177&amp;IF(ISBLANK(U177),"","=")&amp;U177</f>
        <v>Accel_Spindle=1000</v>
      </c>
    </row>
    <row r="178" spans="1:22" x14ac:dyDescent="0.25">
      <c r="A178" s="106">
        <v>177</v>
      </c>
      <c r="B178" s="106" t="s">
        <v>0</v>
      </c>
      <c r="C178" s="107" t="s">
        <v>362</v>
      </c>
      <c r="D178" s="107">
        <v>72</v>
      </c>
      <c r="E178" s="26">
        <v>104</v>
      </c>
      <c r="F178" s="26">
        <v>107</v>
      </c>
      <c r="G178" s="26">
        <v>0</v>
      </c>
      <c r="H178" s="49" t="str">
        <f>DEC2HEX(I178)</f>
        <v>6E</v>
      </c>
      <c r="I178" s="27">
        <v>110</v>
      </c>
      <c r="J178" s="27" t="str">
        <f>CHAR(I178)</f>
        <v>n</v>
      </c>
      <c r="L178">
        <f>IF(ISBLANK(D178),IF(E178&gt;0,F178-E178+1,0),0)</f>
        <v>0</v>
      </c>
      <c r="M178" s="45">
        <f>IF(ISBLANK(D178),0,IF(G178=0,F178-E178+1,0))</f>
        <v>4</v>
      </c>
      <c r="Q178" s="42" t="str">
        <f>C178&amp;IF(ISBLANK(D178),"","=")&amp;D178</f>
        <v>SpeedPercentage_Spindle=72</v>
      </c>
      <c r="S178" s="39">
        <v>100</v>
      </c>
      <c r="T178" s="42" t="str">
        <f>C178&amp;IF(ISBLANK(S178),"","=")&amp;S178</f>
        <v>SpeedPercentage_Spindle=100</v>
      </c>
      <c r="U178" s="39">
        <v>11</v>
      </c>
      <c r="V178" s="42" t="str">
        <f>C178&amp;IF(ISBLANK(U178),"","=")&amp;U178</f>
        <v>SpeedPercentage_Spindle=11</v>
      </c>
    </row>
    <row r="179" spans="1:22" x14ac:dyDescent="0.25">
      <c r="A179">
        <v>178</v>
      </c>
      <c r="C179" s="39" t="s">
        <v>293</v>
      </c>
      <c r="Q179" s="42" t="str">
        <f>C179&amp;IF(ISBLANK(D179),"","=")&amp;D179</f>
        <v>; M3</v>
      </c>
      <c r="T179" s="42" t="str">
        <f>C179&amp;IF(ISBLANK(S179),"","=")&amp;S179</f>
        <v>; M3</v>
      </c>
      <c r="V179" s="42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39" t="s">
        <v>375</v>
      </c>
      <c r="D180" s="39">
        <v>5072</v>
      </c>
      <c r="E180" s="26">
        <v>804</v>
      </c>
      <c r="F180" s="26">
        <v>807</v>
      </c>
      <c r="G180" s="26"/>
      <c r="H180" s="49" t="str">
        <f>DEC2HEX(I180)</f>
        <v>B9</v>
      </c>
      <c r="I180" s="27">
        <v>185</v>
      </c>
      <c r="J180" s="27" t="str">
        <f>CHAR(I180)</f>
        <v>¹</v>
      </c>
      <c r="L180">
        <f>IF(ISBLANK(#REF!),IF(E180&gt;0,F180-E180+1,0),0)</f>
        <v>0</v>
      </c>
      <c r="M180" s="45">
        <f>IF(ISBLANK(#REF!),0,IF(G180=0,F180-E180+1,0))</f>
        <v>4</v>
      </c>
      <c r="Q180" s="42" t="str">
        <f>C180&amp;IF(ISBLANK(D180),"","=")&amp;D180</f>
        <v>MaxSpeed_M3=5072</v>
      </c>
      <c r="S180" s="39">
        <v>2</v>
      </c>
      <c r="T180" s="42" t="str">
        <f>C180&amp;IF(ISBLANK(S180),"","=")&amp;S180</f>
        <v>MaxSpeed_M3=2</v>
      </c>
      <c r="U180" s="39">
        <v>3</v>
      </c>
      <c r="V180" s="42" t="str">
        <f>C180&amp;IF(ISBLANK(U180),"","=")&amp;U180</f>
        <v>MaxSpeed_M3=3</v>
      </c>
    </row>
    <row r="181" spans="1:22" x14ac:dyDescent="0.25">
      <c r="A181">
        <v>180</v>
      </c>
      <c r="B181" t="s">
        <v>0</v>
      </c>
      <c r="C181" s="39" t="s">
        <v>376</v>
      </c>
      <c r="D181" s="39">
        <v>20000</v>
      </c>
      <c r="E181" s="26">
        <v>956</v>
      </c>
      <c r="F181" s="26">
        <v>959</v>
      </c>
      <c r="G181" s="26"/>
      <c r="H181" s="49" t="str">
        <f>DEC2HEX(I181)</f>
        <v>BA</v>
      </c>
      <c r="I181" s="27">
        <v>186</v>
      </c>
      <c r="J181" s="27" t="str">
        <f>CHAR(I181)</f>
        <v>º</v>
      </c>
      <c r="L181">
        <f>IF(ISBLANK(D181),IF(E181&gt;0,F181-E181+1,0),0)</f>
        <v>0</v>
      </c>
      <c r="M181" s="45">
        <f>IF(ISBLANK(D181),0,IF(G181=0,F181-E181+1,0))</f>
        <v>4</v>
      </c>
      <c r="Q181" s="42" t="str">
        <f>C181&amp;IF(ISBLANK(D181),"","=")&amp;D181</f>
        <v>Accel_M3=20000</v>
      </c>
      <c r="S181" s="39">
        <v>20001</v>
      </c>
      <c r="T181" s="42" t="str">
        <f>C181&amp;IF(ISBLANK(S181),"","=")&amp;S181</f>
        <v>Accel_M3=20001</v>
      </c>
      <c r="U181" s="39">
        <v>1001</v>
      </c>
      <c r="V181" s="42" t="str">
        <f>C181&amp;IF(ISBLANK(U181),"","=")&amp;U181</f>
        <v>Accel_M3=1001</v>
      </c>
    </row>
    <row r="182" spans="1:22" x14ac:dyDescent="0.25">
      <c r="A182">
        <v>181</v>
      </c>
      <c r="B182" t="s">
        <v>0</v>
      </c>
      <c r="C182" s="39" t="s">
        <v>377</v>
      </c>
      <c r="D182" s="39">
        <v>73</v>
      </c>
      <c r="E182" s="26">
        <v>368</v>
      </c>
      <c r="F182" s="26">
        <v>371</v>
      </c>
      <c r="G182" s="26">
        <v>16</v>
      </c>
      <c r="H182" s="49" t="str">
        <f>DEC2HEX(I182)</f>
        <v>6F</v>
      </c>
      <c r="I182" s="26">
        <v>111</v>
      </c>
      <c r="J182" s="27" t="str">
        <f>CHAR(I182)</f>
        <v>o</v>
      </c>
      <c r="L182">
        <f>IF(ISBLANK(D182),IF(E182&gt;0,F182-E182+1,0),0)</f>
        <v>0</v>
      </c>
      <c r="M182" s="45">
        <f>IF(ISBLANK(D182),0,IF(G182=0,F182-E182+1,0))</f>
        <v>0</v>
      </c>
      <c r="Q182" s="42" t="str">
        <f>C182&amp;IF(ISBLANK(D182),"","=")&amp;D182</f>
        <v>SpeedPercentage_M3=73</v>
      </c>
      <c r="S182" s="39">
        <v>100</v>
      </c>
      <c r="T182" s="42" t="str">
        <f>C182&amp;IF(ISBLANK(S182),"","=")&amp;S182</f>
        <v>SpeedPercentage_M3=100</v>
      </c>
      <c r="U182" s="39">
        <v>11</v>
      </c>
      <c r="V182" s="42" t="str">
        <f>C182&amp;IF(ISBLANK(U182),"","=")&amp;U182</f>
        <v>SpeedPercentage_M3=11</v>
      </c>
    </row>
    <row r="183" spans="1:22" x14ac:dyDescent="0.25">
      <c r="A183">
        <v>182</v>
      </c>
      <c r="C183" s="39" t="s">
        <v>294</v>
      </c>
      <c r="Q183" s="42" t="str">
        <f>C183&amp;IF(ISBLANK(D183),"","=")&amp;D183</f>
        <v>; M4</v>
      </c>
      <c r="T183" s="42" t="str">
        <f>C183&amp;IF(ISBLANK(S183),"","=")&amp;S183</f>
        <v>; M4</v>
      </c>
      <c r="V183" s="42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39" t="s">
        <v>378</v>
      </c>
      <c r="D184" s="39">
        <v>5072</v>
      </c>
      <c r="E184" s="26">
        <v>792</v>
      </c>
      <c r="F184" s="26">
        <v>795</v>
      </c>
      <c r="G184" s="26"/>
      <c r="H184" s="49" t="str">
        <f>DEC2HEX(I184)</f>
        <v>B9</v>
      </c>
      <c r="I184" s="27">
        <v>185</v>
      </c>
      <c r="J184" s="27" t="str">
        <f>CHAR(I184)</f>
        <v>¹</v>
      </c>
      <c r="L184">
        <f>IF(ISBLANK(#REF!),IF(E184&gt;0,F184-E184+1,0),0)</f>
        <v>0</v>
      </c>
      <c r="M184" s="45">
        <f>IF(ISBLANK(#REF!),0,IF(G184=0,F184-E184+1,0))</f>
        <v>4</v>
      </c>
      <c r="Q184" s="42" t="str">
        <f>C184&amp;IF(ISBLANK(D184),"","=")&amp;D184</f>
        <v>MaxSpeed_M4=5072</v>
      </c>
      <c r="S184" s="39">
        <v>1</v>
      </c>
      <c r="T184" s="42" t="str">
        <f>C184&amp;IF(ISBLANK(S184),"","=")&amp;S184</f>
        <v>MaxSpeed_M4=1</v>
      </c>
      <c r="U184" s="39">
        <v>2</v>
      </c>
      <c r="V184" s="42" t="str">
        <f>C184&amp;IF(ISBLANK(U184),"","=")&amp;U184</f>
        <v>MaxSpeed_M4=2</v>
      </c>
    </row>
    <row r="185" spans="1:22" x14ac:dyDescent="0.25">
      <c r="A185">
        <v>184</v>
      </c>
      <c r="B185" t="s">
        <v>0</v>
      </c>
      <c r="C185" s="39" t="s">
        <v>379</v>
      </c>
      <c r="D185" s="39">
        <v>20000</v>
      </c>
      <c r="E185" s="26">
        <v>984</v>
      </c>
      <c r="F185" s="26">
        <v>987</v>
      </c>
      <c r="G185" s="26"/>
      <c r="H185" s="49" t="str">
        <f>DEC2HEX(I185)</f>
        <v>BA</v>
      </c>
      <c r="I185" s="27">
        <v>186</v>
      </c>
      <c r="J185" s="27" t="str">
        <f>CHAR(I185)</f>
        <v>º</v>
      </c>
      <c r="L185">
        <f>IF(ISBLANK(D185),IF(E185&gt;0,F185-E185+1,0),0)</f>
        <v>0</v>
      </c>
      <c r="M185" s="45">
        <f>IF(ISBLANK(D185),0,IF(G185=0,F185-E185+1,0))</f>
        <v>4</v>
      </c>
      <c r="Q185" s="42" t="str">
        <f>C185&amp;IF(ISBLANK(D185),"","=")&amp;D185</f>
        <v>Accel_M4=20000</v>
      </c>
      <c r="S185" s="39">
        <v>20002</v>
      </c>
      <c r="T185" s="42" t="str">
        <f>C185&amp;IF(ISBLANK(S185),"","=")&amp;S185</f>
        <v>Accel_M4=20002</v>
      </c>
      <c r="U185" s="39">
        <v>1002</v>
      </c>
      <c r="V185" s="42" t="str">
        <f>C185&amp;IF(ISBLANK(U185),"","=")&amp;U185</f>
        <v>Accel_M4=1002</v>
      </c>
    </row>
    <row r="186" spans="1:22" x14ac:dyDescent="0.25">
      <c r="A186">
        <v>185</v>
      </c>
      <c r="B186" t="s">
        <v>0</v>
      </c>
      <c r="C186" s="39" t="s">
        <v>380</v>
      </c>
      <c r="D186" s="39">
        <v>85</v>
      </c>
      <c r="E186" s="26">
        <v>368</v>
      </c>
      <c r="F186" s="26">
        <v>371</v>
      </c>
      <c r="G186" s="26">
        <v>24</v>
      </c>
      <c r="H186" s="49" t="str">
        <f>DEC2HEX(I186)</f>
        <v>6F</v>
      </c>
      <c r="I186" s="26">
        <v>111</v>
      </c>
      <c r="J186" s="27" t="str">
        <f>CHAR(I186)</f>
        <v>o</v>
      </c>
      <c r="L186">
        <f>IF(ISBLANK(D186),IF(E186&gt;0,F186-E186+1,0),0)</f>
        <v>0</v>
      </c>
      <c r="M186" s="45">
        <f>IF(ISBLANK(D186),0,IF(G186=0,F186-E186+1,0))</f>
        <v>0</v>
      </c>
      <c r="Q186" s="42" t="str">
        <f>C186&amp;IF(ISBLANK(D186),"","=")&amp;D186</f>
        <v>SpeedPercentage_M4=85</v>
      </c>
      <c r="S186" s="39">
        <v>100</v>
      </c>
      <c r="T186" s="42" t="str">
        <f>C186&amp;IF(ISBLANK(S186),"","=")&amp;S186</f>
        <v>SpeedPercentage_M4=100</v>
      </c>
      <c r="U186" s="39">
        <v>11</v>
      </c>
      <c r="V186" s="42" t="str">
        <f>C186&amp;IF(ISBLANK(U186),"","=")&amp;U186</f>
        <v>SpeedPercentage_M4=11</v>
      </c>
    </row>
    <row r="187" spans="1:22" x14ac:dyDescent="0.25">
      <c r="A187">
        <v>186</v>
      </c>
      <c r="C187" s="39" t="s">
        <v>290</v>
      </c>
      <c r="Q187" s="42" t="str">
        <f>C187&amp;IF(ISBLANK(D187),"","=")&amp;D187</f>
        <v>;-----------------</v>
      </c>
      <c r="T187" s="42" t="str">
        <f>C187&amp;IF(ISBLANK(S187),"","=")&amp;S187</f>
        <v>;-----------------</v>
      </c>
      <c r="V187" s="42" t="str">
        <f>C187&amp;IF(ISBLANK(U187),"","=")&amp;U187</f>
        <v>;-----------------</v>
      </c>
    </row>
    <row r="188" spans="1:22" x14ac:dyDescent="0.25">
      <c r="A188">
        <v>187</v>
      </c>
      <c r="C188" s="39" t="s">
        <v>576</v>
      </c>
      <c r="Q188" s="42" t="str">
        <f>C188&amp;IF(ISBLANK(D188),"","=")&amp;D188</f>
        <v>;Division:0  Degrees:1</v>
      </c>
      <c r="T188" s="42" t="str">
        <f>C188&amp;IF(ISBLANK(S188),"","=")&amp;S188</f>
        <v>;Division:0  Degrees:1</v>
      </c>
      <c r="V188" s="42" t="str">
        <f>C188&amp;IF(ISBLANK(U188),"","=")&amp;U188</f>
        <v>;Division:0  Degrees:1</v>
      </c>
    </row>
    <row r="189" spans="1:22" x14ac:dyDescent="0.25">
      <c r="A189">
        <v>188</v>
      </c>
      <c r="C189" s="39" t="s">
        <v>295</v>
      </c>
      <c r="Q189" s="42" t="str">
        <f>C189&amp;IF(ISBLANK(D189),"","=")&amp;D189</f>
        <v>;Fixed:0  File:1</v>
      </c>
      <c r="T189" s="42" t="str">
        <f>C189&amp;IF(ISBLANK(S189),"","=")&amp;S189</f>
        <v>;Fixed:0  File:1</v>
      </c>
      <c r="V189" s="42" t="str">
        <f>C189&amp;IF(ISBLANK(U189),"","=")&amp;U189</f>
        <v>;Fixed:0  File:1</v>
      </c>
    </row>
    <row r="190" spans="1:22" x14ac:dyDescent="0.25">
      <c r="A190">
        <v>189</v>
      </c>
      <c r="C190" s="39" t="s">
        <v>290</v>
      </c>
      <c r="Q190" s="42" t="str">
        <f>C190&amp;IF(ISBLANK(D190),"","=")&amp;D190</f>
        <v>;-----------------</v>
      </c>
      <c r="T190" s="42" t="str">
        <f>C190&amp;IF(ISBLANK(S190),"","=")&amp;S190</f>
        <v>;-----------------</v>
      </c>
      <c r="V190" s="42" t="str">
        <f>C190&amp;IF(ISBLANK(U190),"","=")&amp;U190</f>
        <v>;-----------------</v>
      </c>
    </row>
    <row r="191" spans="1:22" x14ac:dyDescent="0.25">
      <c r="A191">
        <v>190</v>
      </c>
      <c r="C191" s="39" t="s">
        <v>296</v>
      </c>
      <c r="Q191" s="42" t="str">
        <f>C191&amp;IF(ISBLANK(D191),"","=")&amp;D191</f>
        <v>;Index 1</v>
      </c>
      <c r="T191" s="42" t="str">
        <f>C191&amp;IF(ISBLANK(S191),"","=")&amp;S191</f>
        <v>;Index 1</v>
      </c>
      <c r="V191" s="42" t="str">
        <f>C191&amp;IF(ISBLANK(U191),"","=")&amp;U191</f>
        <v>;Index 1</v>
      </c>
    </row>
    <row r="192" spans="1:22" x14ac:dyDescent="0.25">
      <c r="A192" s="106">
        <v>191</v>
      </c>
      <c r="B192" s="106" t="s">
        <v>0</v>
      </c>
      <c r="C192" s="107" t="s">
        <v>381</v>
      </c>
      <c r="D192" s="107">
        <v>1</v>
      </c>
      <c r="E192" s="27">
        <v>192</v>
      </c>
      <c r="F192" s="27">
        <v>195</v>
      </c>
      <c r="G192" s="26"/>
      <c r="H192" s="49" t="str">
        <f>DEC2HEX(I192)</f>
        <v>45</v>
      </c>
      <c r="I192" s="27">
        <v>69</v>
      </c>
      <c r="J192" s="27" t="str">
        <f>CHAR(I192)</f>
        <v>E</v>
      </c>
      <c r="L192">
        <f>IF(ISBLANK(D192),IF(E192&gt;0,F192-E192+1,0),0)</f>
        <v>0</v>
      </c>
      <c r="M192" s="45">
        <f>IF(ISBLANK(D192),0,IF(G192=0,F192-E192+1,0))</f>
        <v>4</v>
      </c>
      <c r="Q192" s="42" t="str">
        <f>C192&amp;IF(ISBLANK(D192),"","=")&amp;D192</f>
        <v>DivisionsOrDegrees_1=1</v>
      </c>
      <c r="S192" s="39">
        <v>1</v>
      </c>
      <c r="T192" s="42" t="str">
        <f>C192&amp;IF(ISBLANK(S192),"","=")&amp;S192</f>
        <v>DivisionsOrDegrees_1=1</v>
      </c>
      <c r="U192" s="39">
        <v>0</v>
      </c>
      <c r="V192" s="42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107" t="s">
        <v>382</v>
      </c>
      <c r="D193" s="107">
        <v>0</v>
      </c>
      <c r="E193" s="26">
        <v>572</v>
      </c>
      <c r="F193" s="26">
        <v>575</v>
      </c>
      <c r="G193" s="26"/>
      <c r="H193" s="49" t="str">
        <f>DEC2HEX(I193)</f>
        <v>C4</v>
      </c>
      <c r="I193" s="27">
        <v>196</v>
      </c>
      <c r="J193" s="27" t="str">
        <f>CHAR(I193)</f>
        <v>Ä</v>
      </c>
      <c r="L193">
        <f>IF(ISBLANK(D193),IF(E193&gt;0,F193-E193+1,0),0)</f>
        <v>0</v>
      </c>
      <c r="M193" s="45">
        <f>IF(ISBLANK(D193),0,IF(G193=0,F193-E193+1,0))</f>
        <v>4</v>
      </c>
      <c r="Q193" s="42" t="str">
        <f>C193&amp;IF(ISBLANK(D193),"","=")&amp;D193</f>
        <v>FixedOrFile_1=0</v>
      </c>
      <c r="S193" s="39">
        <v>0</v>
      </c>
      <c r="T193" s="42" t="str">
        <f>C193&amp;IF(ISBLANK(S193),"","=")&amp;S193</f>
        <v>FixedOrFile_1=0</v>
      </c>
      <c r="U193" s="39">
        <v>1</v>
      </c>
      <c r="V193" s="42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39" t="s">
        <v>383</v>
      </c>
      <c r="D194" s="39">
        <v>60.35</v>
      </c>
      <c r="E194" s="26">
        <v>352</v>
      </c>
      <c r="F194" s="26">
        <v>359</v>
      </c>
      <c r="G194" s="26"/>
      <c r="H194" s="49" t="str">
        <f>DEC2HEX(I194)</f>
        <v>BF</v>
      </c>
      <c r="I194" s="27">
        <v>191</v>
      </c>
      <c r="J194" s="27" t="str">
        <f>CHAR(I194)</f>
        <v>¿</v>
      </c>
      <c r="L194">
        <f>IF(ISBLANK(D194),IF(E194&gt;0,F194-E194+1,0),0)</f>
        <v>0</v>
      </c>
      <c r="M194" s="45">
        <f>IF(ISBLANK(D194),0,IF(G194=0,F194-E194+1,0))</f>
        <v>8</v>
      </c>
      <c r="Q194" s="42" t="str">
        <f>C194&amp;IF(ISBLANK(D194),"","=")&amp;D194</f>
        <v>Size_1=60.35</v>
      </c>
      <c r="S194" s="39">
        <v>60</v>
      </c>
      <c r="T194" s="42" t="str">
        <f>C194&amp;IF(ISBLANK(S194),"","=")&amp;S194</f>
        <v>Size_1=60</v>
      </c>
      <c r="U194" s="39">
        <v>11</v>
      </c>
      <c r="V194" s="42" t="str">
        <f>C194&amp;IF(ISBLANK(U194),"","=")&amp;U194</f>
        <v>Size_1=11</v>
      </c>
    </row>
    <row r="195" spans="1:25" x14ac:dyDescent="0.25">
      <c r="A195">
        <v>194</v>
      </c>
      <c r="C195" s="39" t="s">
        <v>297</v>
      </c>
      <c r="Q195" s="42" t="str">
        <f>C195&amp;IF(ISBLANK(D195),"","=")&amp;D195</f>
        <v>;Index 2</v>
      </c>
      <c r="T195" s="42" t="str">
        <f>C195&amp;IF(ISBLANK(S195),"","=")&amp;S195</f>
        <v>;Index 2</v>
      </c>
      <c r="V195" s="42" t="str">
        <f>C195&amp;IF(ISBLANK(U195),"","=")&amp;U195</f>
        <v>;Index 2</v>
      </c>
    </row>
    <row r="196" spans="1:25" x14ac:dyDescent="0.25">
      <c r="A196" s="106">
        <v>195</v>
      </c>
      <c r="B196" s="106" t="s">
        <v>0</v>
      </c>
      <c r="C196" s="107" t="s">
        <v>384</v>
      </c>
      <c r="D196" s="107">
        <v>1</v>
      </c>
      <c r="E196" s="26">
        <v>160</v>
      </c>
      <c r="F196" s="26">
        <v>163</v>
      </c>
      <c r="G196" s="26"/>
      <c r="H196" s="49" t="str">
        <f>DEC2HEX(I196)</f>
        <v>45</v>
      </c>
      <c r="I196" s="27">
        <v>69</v>
      </c>
      <c r="J196" s="27" t="str">
        <f>CHAR(I196)</f>
        <v>E</v>
      </c>
      <c r="L196">
        <f>IF(ISBLANK(D196),IF(E196&gt;0,F196-E196+1,0),0)</f>
        <v>0</v>
      </c>
      <c r="M196" s="45">
        <f>IF(ISBLANK(D196),0,IF(G196=0,F196-E196+1,0))</f>
        <v>4</v>
      </c>
      <c r="Q196" s="42" t="str">
        <f>C196&amp;IF(ISBLANK(D196),"","=")&amp;D196</f>
        <v>DivisionsOrDegrees_2=1</v>
      </c>
      <c r="S196" s="39">
        <v>1</v>
      </c>
      <c r="T196" s="42" t="str">
        <f>C196&amp;IF(ISBLANK(S196),"","=")&amp;S196</f>
        <v>DivisionsOrDegrees_2=1</v>
      </c>
      <c r="U196" s="39">
        <v>0</v>
      </c>
      <c r="V196" s="42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107" t="s">
        <v>385</v>
      </c>
      <c r="D197" s="107">
        <v>0</v>
      </c>
      <c r="E197" s="26">
        <v>708</v>
      </c>
      <c r="F197" s="26">
        <v>711</v>
      </c>
      <c r="G197" s="26"/>
      <c r="H197" s="49" t="str">
        <f>DEC2HEX(I197)</f>
        <v>C4</v>
      </c>
      <c r="I197" s="27">
        <v>196</v>
      </c>
      <c r="J197" s="27" t="str">
        <f>CHAR(I197)</f>
        <v>Ä</v>
      </c>
      <c r="L197">
        <f>IF(ISBLANK(D197),IF(E197&gt;0,F197-E197+1,0),0)</f>
        <v>0</v>
      </c>
      <c r="M197" s="45">
        <f>IF(ISBLANK(D197),0,IF(G197=0,F197-E197+1,0))</f>
        <v>4</v>
      </c>
      <c r="Q197" s="42" t="str">
        <f>C197&amp;IF(ISBLANK(D197),"","=")&amp;D197</f>
        <v>FixedOrFile_2=0</v>
      </c>
      <c r="S197" s="39">
        <v>0</v>
      </c>
      <c r="T197" s="42" t="str">
        <f>C197&amp;IF(ISBLANK(S197),"","=")&amp;S197</f>
        <v>FixedOrFile_2=0</v>
      </c>
      <c r="U197" s="39">
        <v>1</v>
      </c>
      <c r="V197" s="42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39" t="s">
        <v>386</v>
      </c>
      <c r="D198" s="39">
        <v>22.5</v>
      </c>
      <c r="E198" s="26">
        <v>360</v>
      </c>
      <c r="F198" s="26">
        <v>367</v>
      </c>
      <c r="G198" s="26"/>
      <c r="H198" s="49" t="str">
        <f>DEC2HEX(I198)</f>
        <v>BF</v>
      </c>
      <c r="I198" s="27">
        <v>191</v>
      </c>
      <c r="J198" s="27" t="str">
        <f>CHAR(I198)</f>
        <v>¿</v>
      </c>
      <c r="L198">
        <f>IF(ISBLANK(D198),IF(E198&gt;0,F198-E198+1,0),0)</f>
        <v>0</v>
      </c>
      <c r="M198" s="45">
        <f>IF(ISBLANK(D198),0,IF(G198=0,F198-E198+1,0))</f>
        <v>8</v>
      </c>
      <c r="Q198" s="42" t="str">
        <f>C198&amp;IF(ISBLANK(D198),"","=")&amp;D198</f>
        <v>Size_2=22.5</v>
      </c>
      <c r="S198" s="39">
        <v>180</v>
      </c>
      <c r="T198" s="42" t="str">
        <f>C198&amp;IF(ISBLANK(S198),"","=")&amp;S198</f>
        <v>Size_2=180</v>
      </c>
      <c r="U198" s="39">
        <v>180</v>
      </c>
      <c r="V198" s="42" t="str">
        <f>C198&amp;IF(ISBLANK(U198),"","=")&amp;U198</f>
        <v>Size_2=180</v>
      </c>
    </row>
    <row r="199" spans="1:25" x14ac:dyDescent="0.25">
      <c r="A199">
        <v>198</v>
      </c>
      <c r="C199" s="39" t="s">
        <v>298</v>
      </c>
      <c r="Q199" s="42" t="str">
        <f>C199&amp;IF(ISBLANK(D199),"","=")&amp;D199</f>
        <v>;Index 3</v>
      </c>
      <c r="T199" s="42" t="str">
        <f>C199&amp;IF(ISBLANK(S199),"","=")&amp;S199</f>
        <v>;Index 3</v>
      </c>
      <c r="V199" s="42" t="str">
        <f>C199&amp;IF(ISBLANK(U199),"","=")&amp;U199</f>
        <v>;Index 3</v>
      </c>
    </row>
    <row r="200" spans="1:25" x14ac:dyDescent="0.25">
      <c r="A200" s="106">
        <v>199</v>
      </c>
      <c r="B200" s="106" t="s">
        <v>0</v>
      </c>
      <c r="C200" s="107" t="s">
        <v>387</v>
      </c>
      <c r="D200" s="107">
        <v>1</v>
      </c>
      <c r="E200" s="27">
        <v>152</v>
      </c>
      <c r="F200" s="27">
        <v>155</v>
      </c>
      <c r="G200" s="26"/>
      <c r="H200" s="49" t="str">
        <f>DEC2HEX(I200)</f>
        <v>45</v>
      </c>
      <c r="I200" s="27">
        <v>69</v>
      </c>
      <c r="J200" s="27" t="str">
        <f>CHAR(I200)</f>
        <v>E</v>
      </c>
      <c r="L200">
        <f>IF(ISBLANK(D200),IF(E200&gt;0,F200-E200+1,0),0)</f>
        <v>0</v>
      </c>
      <c r="M200" s="45">
        <f>IF(ISBLANK(D200),0,IF(G200=0,F200-E200+1,0))</f>
        <v>4</v>
      </c>
      <c r="Q200" s="42" t="str">
        <f>C200&amp;IF(ISBLANK(D200),"","=")&amp;D200</f>
        <v>DivisionsOrDegrees_3=1</v>
      </c>
      <c r="S200" s="39">
        <v>1</v>
      </c>
      <c r="T200" s="42" t="str">
        <f>C200&amp;IF(ISBLANK(S200),"","=")&amp;S200</f>
        <v>DivisionsOrDegrees_3=1</v>
      </c>
      <c r="U200" s="39">
        <v>0</v>
      </c>
      <c r="V200" s="42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107" t="s">
        <v>388</v>
      </c>
      <c r="D201" s="107">
        <v>0</v>
      </c>
      <c r="E201" s="26">
        <v>592</v>
      </c>
      <c r="F201" s="26">
        <v>595</v>
      </c>
      <c r="G201" s="26"/>
      <c r="H201" s="49" t="str">
        <f>DEC2HEX(I201)</f>
        <v>C4</v>
      </c>
      <c r="I201" s="27">
        <v>196</v>
      </c>
      <c r="J201" s="27" t="str">
        <f>CHAR(I201)</f>
        <v>Ä</v>
      </c>
      <c r="L201">
        <f>IF(ISBLANK(D201),IF(E201&gt;0,F201-E201+1,0),0)</f>
        <v>0</v>
      </c>
      <c r="M201" s="45">
        <f>IF(ISBLANK(D201),0,IF(G201=0,F201-E201+1,0))</f>
        <v>4</v>
      </c>
      <c r="Q201" s="42" t="str">
        <f>C201&amp;IF(ISBLANK(D201),"","=")&amp;D201</f>
        <v>FixedOrFile_3=0</v>
      </c>
      <c r="S201" s="39">
        <v>0</v>
      </c>
      <c r="T201" s="42" t="str">
        <f>C201&amp;IF(ISBLANK(S201),"","=")&amp;S201</f>
        <v>FixedOrFile_3=0</v>
      </c>
      <c r="U201" s="39">
        <v>1</v>
      </c>
      <c r="V201" s="42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107" t="s">
        <v>389</v>
      </c>
      <c r="D202" s="107">
        <v>11.24</v>
      </c>
      <c r="E202" s="26">
        <v>580</v>
      </c>
      <c r="F202" s="26">
        <v>587</v>
      </c>
      <c r="G202" s="26"/>
      <c r="H202" s="49" t="str">
        <f>DEC2HEX(I202)</f>
        <v>BF</v>
      </c>
      <c r="I202" s="27">
        <v>191</v>
      </c>
      <c r="J202" s="27" t="str">
        <f>CHAR(I202)</f>
        <v>¿</v>
      </c>
      <c r="L202">
        <f>IF(ISBLANK(D202),IF(E202&gt;0,F202-E202+1,0),0)</f>
        <v>0</v>
      </c>
      <c r="M202" s="45">
        <f>IF(ISBLANK(D202),0,IF(G202=0,F202-E202+1,0))</f>
        <v>8</v>
      </c>
      <c r="Q202" s="42" t="str">
        <f>C202&amp;IF(ISBLANK(D202),"","=")&amp;D202</f>
        <v>Size_3=11.24</v>
      </c>
      <c r="S202" s="39">
        <v>45</v>
      </c>
      <c r="T202" s="42" t="str">
        <f>C202&amp;IF(ISBLANK(S202),"","=")&amp;S202</f>
        <v>Size_3=45</v>
      </c>
      <c r="U202" s="39">
        <v>11</v>
      </c>
      <c r="V202" s="42" t="str">
        <f>C202&amp;IF(ISBLANK(U202),"","=")&amp;U202</f>
        <v>Size_3=11</v>
      </c>
    </row>
    <row r="203" spans="1:25" x14ac:dyDescent="0.25">
      <c r="A203">
        <v>202</v>
      </c>
      <c r="C203" s="39" t="s">
        <v>299</v>
      </c>
      <c r="Q203" s="42" t="str">
        <f>C203&amp;IF(ISBLANK(D203),"","=")&amp;D203</f>
        <v>;Index 4</v>
      </c>
      <c r="T203" s="42" t="str">
        <f>C203&amp;IF(ISBLANK(S203),"","=")&amp;S203</f>
        <v>;Index 4</v>
      </c>
      <c r="V203" s="42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107" t="s">
        <v>390</v>
      </c>
      <c r="D204" s="107">
        <v>0</v>
      </c>
      <c r="E204" s="26">
        <v>428</v>
      </c>
      <c r="F204" s="27">
        <v>431</v>
      </c>
      <c r="G204" s="26"/>
      <c r="H204" s="49" t="str">
        <f>DEC2HEX(I204)</f>
        <v>45</v>
      </c>
      <c r="I204" s="27">
        <v>69</v>
      </c>
      <c r="J204" s="27" t="str">
        <f>CHAR(I204)</f>
        <v>E</v>
      </c>
      <c r="L204">
        <f>IF(ISBLANK(D204),IF(E204&gt;0,F204-E204+1,0),0)</f>
        <v>0</v>
      </c>
      <c r="M204" s="45">
        <f>IF(ISBLANK(D204),0,IF(G204=0,F204-E204+1,0))</f>
        <v>4</v>
      </c>
      <c r="Q204" s="42" t="str">
        <f>C204&amp;IF(ISBLANK(D204),"","=")&amp;D204</f>
        <v>DivisionsOrDegrees_4=0</v>
      </c>
      <c r="S204" s="39">
        <v>0</v>
      </c>
      <c r="T204" s="42" t="str">
        <f>C204&amp;IF(ISBLANK(S204),"","=")&amp;S204</f>
        <v>DivisionsOrDegrees_4=0</v>
      </c>
      <c r="U204" s="39">
        <v>1</v>
      </c>
      <c r="V204" s="42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107" t="s">
        <v>391</v>
      </c>
      <c r="D205" s="107">
        <v>0</v>
      </c>
      <c r="E205" s="27">
        <v>588</v>
      </c>
      <c r="F205" s="27">
        <v>591</v>
      </c>
      <c r="G205" s="26"/>
      <c r="H205" s="49" t="str">
        <f>DEC2HEX(I205)</f>
        <v>C4</v>
      </c>
      <c r="I205" s="27">
        <v>196</v>
      </c>
      <c r="J205" s="27" t="str">
        <f>CHAR(I205)</f>
        <v>Ä</v>
      </c>
      <c r="L205">
        <f>IF(ISBLANK(D205),IF(E205&gt;0,F205-E205+1,0),0)</f>
        <v>0</v>
      </c>
      <c r="M205" s="45">
        <f>IF(ISBLANK(D205),0,IF(G205=0,F205-E205+1,0))</f>
        <v>4</v>
      </c>
      <c r="Q205" s="42" t="str">
        <f>C205&amp;IF(ISBLANK(D205),"","=")&amp;D205</f>
        <v>FixedOrFile_4=0</v>
      </c>
      <c r="S205" s="39">
        <v>0</v>
      </c>
      <c r="T205" s="42" t="str">
        <f>C205&amp;IF(ISBLANK(S205),"","=")&amp;S205</f>
        <v>FixedOrFile_4=0</v>
      </c>
      <c r="U205" s="39">
        <v>1</v>
      </c>
      <c r="V205" s="42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107" t="s">
        <v>392</v>
      </c>
      <c r="D206" s="107">
        <v>180</v>
      </c>
      <c r="E206" s="26">
        <v>672</v>
      </c>
      <c r="F206" s="26">
        <v>679</v>
      </c>
      <c r="G206" s="26"/>
      <c r="H206" s="49" t="str">
        <f>DEC2HEX(I206)</f>
        <v>BF</v>
      </c>
      <c r="I206" s="27">
        <v>191</v>
      </c>
      <c r="J206" s="27" t="str">
        <f>CHAR(I206)</f>
        <v>¿</v>
      </c>
      <c r="L206">
        <f>IF(ISBLANK(D206),IF(E206&gt;0,F206-E206+1,0),0)</f>
        <v>0</v>
      </c>
      <c r="M206" s="45">
        <f>IF(ISBLANK(D206),0,IF(G206=0,F206-E206+1,0))</f>
        <v>8</v>
      </c>
      <c r="Q206" s="42" t="str">
        <f>C206&amp;IF(ISBLANK(D206),"","=")&amp;D206</f>
        <v>Size_4=180</v>
      </c>
      <c r="S206" s="39">
        <v>4</v>
      </c>
      <c r="T206" s="42" t="str">
        <f>C206&amp;IF(ISBLANK(S206),"","=")&amp;S206</f>
        <v>Size_4=4</v>
      </c>
      <c r="U206" s="39">
        <v>11</v>
      </c>
      <c r="V206" s="42" t="str">
        <f>C206&amp;IF(ISBLANK(U206),"","=")&amp;U206</f>
        <v>Size_4=11</v>
      </c>
    </row>
    <row r="207" spans="1:25" x14ac:dyDescent="0.25">
      <c r="A207">
        <v>206</v>
      </c>
      <c r="C207" s="39" t="s">
        <v>300</v>
      </c>
      <c r="Q207" s="42" t="str">
        <f>C207&amp;IF(ISBLANK(D207),"","=")&amp;D207</f>
        <v>;Index 5</v>
      </c>
      <c r="T207" s="42" t="str">
        <f>C207&amp;IF(ISBLANK(S207),"","=")&amp;S207</f>
        <v>;Index 5</v>
      </c>
      <c r="V207" s="42" t="str">
        <f>C207&amp;IF(ISBLANK(U207),"","=")&amp;U207</f>
        <v>;Index 5</v>
      </c>
    </row>
    <row r="208" spans="1:25" s="1" customFormat="1" x14ac:dyDescent="0.25">
      <c r="A208">
        <v>207</v>
      </c>
      <c r="B208" t="s">
        <v>0</v>
      </c>
      <c r="C208" s="107" t="s">
        <v>393</v>
      </c>
      <c r="D208" s="107">
        <v>0</v>
      </c>
      <c r="E208" s="26">
        <v>440</v>
      </c>
      <c r="F208" s="26">
        <v>443</v>
      </c>
      <c r="G208" s="26"/>
      <c r="H208" s="49" t="str">
        <f>DEC2HEX(I208)</f>
        <v>45</v>
      </c>
      <c r="I208" s="27">
        <v>69</v>
      </c>
      <c r="J208" s="27" t="str">
        <f>CHAR(I208)</f>
        <v>E</v>
      </c>
      <c r="K208" s="39"/>
      <c r="L208">
        <f>IF(ISBLANK(D208),IF(E208&gt;0,F208-E208+1,0),0)</f>
        <v>0</v>
      </c>
      <c r="M208" s="45">
        <f>IF(ISBLANK(D208),0,IF(G208=0,F208-E208+1,0))</f>
        <v>4</v>
      </c>
      <c r="N208" s="54"/>
      <c r="O208" s="54"/>
      <c r="P208" s="54"/>
      <c r="Q208" s="42" t="str">
        <f>C208&amp;IF(ISBLANK(D208),"","=")&amp;D208</f>
        <v>DivisionsOrDegrees_5=0</v>
      </c>
      <c r="R208"/>
      <c r="S208" s="39">
        <v>0</v>
      </c>
      <c r="T208" s="42" t="str">
        <f>C208&amp;IF(ISBLANK(S208),"","=")&amp;S208</f>
        <v>DivisionsOrDegrees_5=0</v>
      </c>
      <c r="U208" s="39">
        <v>1</v>
      </c>
      <c r="V208" s="42" t="str">
        <f>C208&amp;IF(ISBLANK(U208),"","=")&amp;U208</f>
        <v>DivisionsOrDegrees_5=1</v>
      </c>
      <c r="W208"/>
      <c r="X208"/>
      <c r="Y208"/>
    </row>
    <row r="209" spans="1:25" s="1" customFormat="1" x14ac:dyDescent="0.25">
      <c r="A209">
        <v>208</v>
      </c>
      <c r="B209" t="s">
        <v>0</v>
      </c>
      <c r="C209" s="107" t="s">
        <v>394</v>
      </c>
      <c r="D209" s="107">
        <v>0</v>
      </c>
      <c r="E209" s="26">
        <v>536</v>
      </c>
      <c r="F209" s="26">
        <v>539</v>
      </c>
      <c r="G209" s="26"/>
      <c r="H209" s="49" t="str">
        <f>DEC2HEX(I209)</f>
        <v>C4</v>
      </c>
      <c r="I209" s="27">
        <v>196</v>
      </c>
      <c r="J209" s="27" t="str">
        <f>CHAR(I209)</f>
        <v>Ä</v>
      </c>
      <c r="K209" s="39"/>
      <c r="L209">
        <f>IF(ISBLANK(D209),IF(E209&gt;0,F209-E209+1,0),0)</f>
        <v>0</v>
      </c>
      <c r="M209" s="45">
        <f>IF(ISBLANK(D209),0,IF(G209=0,F209-E209+1,0))</f>
        <v>4</v>
      </c>
      <c r="N209" s="54"/>
      <c r="O209" s="54"/>
      <c r="P209" s="54"/>
      <c r="Q209" s="42" t="str">
        <f>C209&amp;IF(ISBLANK(D209),"","=")&amp;D209</f>
        <v>FixedOrFile_5=0</v>
      </c>
      <c r="R209"/>
      <c r="S209" s="39">
        <v>0</v>
      </c>
      <c r="T209" s="42" t="str">
        <f>C209&amp;IF(ISBLANK(S209),"","=")&amp;S209</f>
        <v>FixedOrFile_5=0</v>
      </c>
      <c r="U209" s="39">
        <v>1</v>
      </c>
      <c r="V209" s="42" t="str">
        <f>C209&amp;IF(ISBLANK(U209),"","=")&amp;U209</f>
        <v>FixedOrFile_5=1</v>
      </c>
      <c r="W209"/>
      <c r="X209"/>
      <c r="Y209"/>
    </row>
    <row r="210" spans="1:25" s="1" customFormat="1" x14ac:dyDescent="0.25">
      <c r="A210">
        <v>209</v>
      </c>
      <c r="B210" t="s">
        <v>0</v>
      </c>
      <c r="C210" s="107" t="s">
        <v>395</v>
      </c>
      <c r="D210" s="107">
        <v>45</v>
      </c>
      <c r="E210" s="27">
        <v>680</v>
      </c>
      <c r="F210" s="27">
        <v>687</v>
      </c>
      <c r="G210" s="26"/>
      <c r="H210" s="49" t="str">
        <f>DEC2HEX(I210)</f>
        <v>BF</v>
      </c>
      <c r="I210" s="27">
        <v>191</v>
      </c>
      <c r="J210" s="27" t="str">
        <f>CHAR(I210)</f>
        <v>¿</v>
      </c>
      <c r="K210" s="39"/>
      <c r="L210">
        <f>IF(ISBLANK(D210),IF(E210&gt;0,F210-E210+1,0),0)</f>
        <v>0</v>
      </c>
      <c r="M210" s="45">
        <f>IF(ISBLANK(D210),0,IF(G210=0,F210-E210+1,0))</f>
        <v>8</v>
      </c>
      <c r="N210" s="54"/>
      <c r="O210" s="54"/>
      <c r="P210" s="54"/>
      <c r="Q210" s="42" t="str">
        <f>C210&amp;IF(ISBLANK(D210),"","=")&amp;D210</f>
        <v>Size_5=45</v>
      </c>
      <c r="R210"/>
      <c r="S210" s="39">
        <v>5</v>
      </c>
      <c r="T210" s="42" t="str">
        <f>C210&amp;IF(ISBLANK(S210),"","=")&amp;S210</f>
        <v>Size_5=5</v>
      </c>
      <c r="U210" s="39">
        <v>111</v>
      </c>
      <c r="V210" s="42" t="str">
        <f>C210&amp;IF(ISBLANK(U210),"","=")&amp;U210</f>
        <v>Size_5=111</v>
      </c>
      <c r="W210"/>
      <c r="X210"/>
      <c r="Y210"/>
    </row>
    <row r="211" spans="1:25" s="1" customFormat="1" x14ac:dyDescent="0.25">
      <c r="A211">
        <v>210</v>
      </c>
      <c r="B211"/>
      <c r="C211" s="39" t="s">
        <v>505</v>
      </c>
      <c r="D211" s="39"/>
      <c r="E211" s="4"/>
      <c r="F211" s="4"/>
      <c r="G211"/>
      <c r="H211" s="47"/>
      <c r="I211" s="4"/>
      <c r="J211" s="4"/>
      <c r="K211" s="39"/>
      <c r="L211"/>
      <c r="M211" s="45"/>
      <c r="N211" s="54"/>
      <c r="O211" s="54"/>
      <c r="P211" s="54"/>
      <c r="Q211" s="42" t="str">
        <f>C211&amp;IF(ISBLANK(D211),"","=")&amp;D211</f>
        <v>;Synchronize M3 and Spindle</v>
      </c>
      <c r="R211"/>
      <c r="S211" s="39"/>
      <c r="T211" s="42" t="str">
        <f>C211&amp;IF(ISBLANK(S211),"","=")&amp;S211</f>
        <v>;Synchronize M3 and Spindle</v>
      </c>
      <c r="U211" s="39"/>
      <c r="V211" s="42" t="str">
        <f>C211&amp;IF(ISBLANK(U211),"","=")&amp;U211</f>
        <v>;Synchronize M3 and Spindle</v>
      </c>
      <c r="W211"/>
      <c r="X211"/>
      <c r="Y211"/>
    </row>
    <row r="212" spans="1:25" x14ac:dyDescent="0.25">
      <c r="A212" s="106">
        <v>211</v>
      </c>
      <c r="B212" s="106" t="s">
        <v>0</v>
      </c>
      <c r="C212" s="107" t="s">
        <v>515</v>
      </c>
      <c r="D212" s="107">
        <v>0</v>
      </c>
      <c r="E212" s="26">
        <v>156</v>
      </c>
      <c r="F212" s="26">
        <v>159</v>
      </c>
      <c r="G212" s="26"/>
      <c r="H212" s="49" t="str">
        <f>DEC2HEX(I212)</f>
        <v>CF</v>
      </c>
      <c r="I212" s="27">
        <v>207</v>
      </c>
      <c r="J212" s="27" t="str">
        <f>CHAR(I212)</f>
        <v>Ï</v>
      </c>
      <c r="L212">
        <f>IF(ISBLANK(D212),IF(E212&gt;0,F212-E212+1,0),0)</f>
        <v>0</v>
      </c>
      <c r="M212" s="45">
        <f>IF(ISBLANK(D212),0,IF(G212=0,F212-E212+1,0))</f>
        <v>4</v>
      </c>
      <c r="Q212" s="42" t="str">
        <f>C212&amp;IF(ISBLANK(D212),"","=")&amp;D212</f>
        <v>Synchro_M3_and_Spindle=0</v>
      </c>
      <c r="S212" s="39">
        <v>0</v>
      </c>
      <c r="T212" s="42" t="str">
        <f>C212&amp;IF(ISBLANK(S212),"","=")&amp;S212</f>
        <v>Synchro_M3_and_Spindle=0</v>
      </c>
      <c r="U212" s="39">
        <v>1</v>
      </c>
      <c r="V212" s="42" t="str">
        <f>C212&amp;IF(ISBLANK(U212),"","=")&amp;U212</f>
        <v>Synchro_M3_and_Spindle=1</v>
      </c>
    </row>
    <row r="213" spans="1:25" x14ac:dyDescent="0.25">
      <c r="A213" s="106">
        <v>212</v>
      </c>
      <c r="B213" s="106" t="s">
        <v>0</v>
      </c>
      <c r="C213" s="107" t="s">
        <v>516</v>
      </c>
      <c r="D213" s="107">
        <v>100</v>
      </c>
      <c r="E213" s="27">
        <v>180</v>
      </c>
      <c r="F213" s="27">
        <v>187</v>
      </c>
      <c r="G213" s="26"/>
      <c r="H213" s="49" t="str">
        <f>DEC2HEX(I213)</f>
        <v>D0</v>
      </c>
      <c r="I213" s="27">
        <v>208</v>
      </c>
      <c r="J213" s="27" t="str">
        <f>CHAR(I213)</f>
        <v>Ð</v>
      </c>
      <c r="L213">
        <f>IF(ISBLANK(D213),IF(E213&gt;0,F213-E213+1,0),0)</f>
        <v>0</v>
      </c>
      <c r="M213" s="45">
        <f>IF(ISBLANK(D213),0,IF(G213=0,F213-E213+1,0))</f>
        <v>8</v>
      </c>
      <c r="Q213" s="42" t="str">
        <f>C213&amp;IF(ISBLANK(D213),"","=")&amp;D213</f>
        <v>Synchro_Percentage=100</v>
      </c>
      <c r="S213" s="39">
        <v>100</v>
      </c>
      <c r="T213" s="42" t="str">
        <f>C213&amp;IF(ISBLANK(S213),"","=")&amp;S213</f>
        <v>Synchro_Percentage=100</v>
      </c>
      <c r="U213" s="39">
        <v>111</v>
      </c>
      <c r="V213" s="42" t="str">
        <f>C213&amp;IF(ISBLANK(U213),"","=")&amp;U213</f>
        <v>Synchro_Percentage=111</v>
      </c>
    </row>
    <row r="214" spans="1:25" x14ac:dyDescent="0.25">
      <c r="A214">
        <v>213</v>
      </c>
      <c r="C214" s="39" t="s">
        <v>229</v>
      </c>
      <c r="Q214" s="42" t="str">
        <f>C214&amp;IF(ISBLANK(D214),"","=")&amp;D214</f>
        <v>;</v>
      </c>
      <c r="T214" s="42" t="str">
        <f>C214&amp;IF(ISBLANK(S214),"","=")&amp;S214</f>
        <v>;</v>
      </c>
      <c r="V214" s="42" t="str">
        <f>C214&amp;IF(ISBLANK(U214),"","=")&amp;U214</f>
        <v>;</v>
      </c>
    </row>
    <row r="215" spans="1:25" s="29" customFormat="1" x14ac:dyDescent="0.25">
      <c r="A215">
        <v>214</v>
      </c>
      <c r="B215" s="80"/>
      <c r="C215" s="81" t="s">
        <v>301</v>
      </c>
      <c r="D215" s="81"/>
      <c r="E215" s="80"/>
      <c r="F215" s="80"/>
      <c r="G215" s="80"/>
      <c r="H215" s="82"/>
      <c r="I215" s="80"/>
      <c r="J215" s="80"/>
      <c r="K215" s="81"/>
      <c r="L215" s="80"/>
      <c r="M215" s="83"/>
      <c r="N215" s="80"/>
      <c r="O215" s="80"/>
      <c r="P215" s="80"/>
      <c r="Q215" s="80" t="str">
        <f>C215&amp;IF(ISBLANK(D215),"","=")&amp;D215</f>
        <v>[Move]</v>
      </c>
      <c r="R215" s="80"/>
      <c r="S215" s="81"/>
      <c r="T215" s="80" t="str">
        <f>C215&amp;IF(ISBLANK(S215),"","=")&amp;S215</f>
        <v>[Move]</v>
      </c>
      <c r="U215" s="81"/>
      <c r="V215" s="42" t="str">
        <f>C215&amp;IF(ISBLANK(U215),"","=")&amp;U215</f>
        <v>[Move]</v>
      </c>
      <c r="W215" s="80"/>
      <c r="X215" s="80"/>
      <c r="Y215" s="80"/>
    </row>
    <row r="216" spans="1:25" x14ac:dyDescent="0.25">
      <c r="A216">
        <v>215</v>
      </c>
      <c r="C216" s="39" t="s">
        <v>229</v>
      </c>
      <c r="Q216" s="42" t="str">
        <f>C216&amp;IF(ISBLANK(D216),"","=")&amp;D216</f>
        <v>;</v>
      </c>
      <c r="T216" s="42" t="str">
        <f>C216&amp;IF(ISBLANK(S216),"","=")&amp;S216</f>
        <v>;</v>
      </c>
      <c r="V216" s="42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107" t="s">
        <v>260</v>
      </c>
      <c r="D217" s="107">
        <v>1</v>
      </c>
      <c r="E217" s="26">
        <v>436</v>
      </c>
      <c r="F217" s="26">
        <v>439</v>
      </c>
      <c r="G217" s="26">
        <v>24</v>
      </c>
      <c r="H217" s="49" t="str">
        <f>DEC2HEX(I217)</f>
        <v>42</v>
      </c>
      <c r="I217" s="27">
        <v>66</v>
      </c>
      <c r="J217" s="27" t="str">
        <f>CHAR(I217)</f>
        <v>B</v>
      </c>
      <c r="L217">
        <f>IF(ISBLANK(D217),IF(E217&gt;0,F217-E217+1,0),0)</f>
        <v>0</v>
      </c>
      <c r="M217" s="45">
        <f>IF(ISBLANK(D217),0,IF(G217=0,F217-E217+1,0))</f>
        <v>0</v>
      </c>
      <c r="Q217" s="42" t="str">
        <f>C217&amp;IF(ISBLANK(D217),"","=")&amp;D217</f>
        <v>AxisId=1</v>
      </c>
      <c r="S217" s="39">
        <v>1</v>
      </c>
      <c r="T217" s="42" t="str">
        <f>C217&amp;IF(ISBLANK(S217),"","=")&amp;S217</f>
        <v>AxisId=1</v>
      </c>
      <c r="U217" s="39">
        <v>3</v>
      </c>
      <c r="V217" s="42" t="str">
        <f>C217&amp;IF(ISBLANK(U217),"","=")&amp;U217</f>
        <v>AxisId=3</v>
      </c>
    </row>
    <row r="218" spans="1:25" s="80" customFormat="1" x14ac:dyDescent="0.25">
      <c r="A218">
        <v>217</v>
      </c>
      <c r="B218"/>
      <c r="C218" s="39" t="s">
        <v>278</v>
      </c>
      <c r="D218" s="39"/>
      <c r="E218"/>
      <c r="F218"/>
      <c r="G218"/>
      <c r="H218" s="38"/>
      <c r="I218"/>
      <c r="J218"/>
      <c r="K218" s="39"/>
      <c r="L218"/>
      <c r="M218" s="45"/>
      <c r="N218" s="54"/>
      <c r="O218" s="54"/>
      <c r="P218" s="54"/>
      <c r="Q218" s="42" t="str">
        <f>C218&amp;IF(ISBLANK(D218),"","=")&amp;D218</f>
        <v>;Z Axis</v>
      </c>
      <c r="R218"/>
      <c r="S218" s="39"/>
      <c r="T218" s="42" t="str">
        <f>C218&amp;IF(ISBLANK(S218),"","=")&amp;S218</f>
        <v>;Z Axis</v>
      </c>
      <c r="U218" s="39"/>
      <c r="V218" s="42" t="str">
        <f>C218&amp;IF(ISBLANK(U218),"","=")&amp;U218</f>
        <v>;Z Axis</v>
      </c>
      <c r="W218"/>
      <c r="X218"/>
      <c r="Y218"/>
    </row>
    <row r="219" spans="1:25" x14ac:dyDescent="0.25">
      <c r="A219">
        <v>218</v>
      </c>
      <c r="B219" t="s">
        <v>42</v>
      </c>
      <c r="C219" s="39" t="s">
        <v>363</v>
      </c>
      <c r="D219" s="39">
        <v>5080</v>
      </c>
      <c r="E219" s="26">
        <v>968</v>
      </c>
      <c r="F219" s="26">
        <v>971</v>
      </c>
      <c r="G219" s="26"/>
      <c r="H219" s="49" t="str">
        <f>DEC2HEX(I219)</f>
        <v>B9</v>
      </c>
      <c r="I219" s="27">
        <v>185</v>
      </c>
      <c r="J219" s="27" t="str">
        <f>CHAR(I219)</f>
        <v>¹</v>
      </c>
      <c r="L219">
        <f>IF(ISBLANK(D219),IF(E219&gt;0,F219-E219+1,0),0)</f>
        <v>0</v>
      </c>
      <c r="M219" s="45">
        <f>IF(ISBLANK(D219),0,IF(G219=0,F219-E219+1,0))</f>
        <v>4</v>
      </c>
      <c r="Q219" s="42" t="str">
        <f>C219&amp;IF(ISBLANK(D219),"","=")&amp;D219</f>
        <v>MaxSpeed_Z=5080</v>
      </c>
      <c r="S219" s="39">
        <v>30000</v>
      </c>
      <c r="T219" s="42" t="str">
        <f>C219&amp;IF(ISBLANK(S219),"","=")&amp;S219</f>
        <v>MaxSpeed_Z=30000</v>
      </c>
      <c r="U219" s="39">
        <v>1000</v>
      </c>
      <c r="V219" s="42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102" t="s">
        <v>364</v>
      </c>
      <c r="D220" s="102">
        <v>20000</v>
      </c>
      <c r="E220" s="26">
        <v>988</v>
      </c>
      <c r="F220" s="26">
        <v>991</v>
      </c>
      <c r="G220" s="26"/>
      <c r="H220" s="49" t="str">
        <f>DEC2HEX(I220)</f>
        <v>BA</v>
      </c>
      <c r="I220" s="27">
        <v>186</v>
      </c>
      <c r="J220" s="27" t="str">
        <f>CHAR(I220)</f>
        <v>º</v>
      </c>
      <c r="L220">
        <f>IF(ISBLANK(D220),IF(E220&gt;0,F220-E220+1,0),0)</f>
        <v>0</v>
      </c>
      <c r="M220" s="45">
        <f>IF(ISBLANK(D220),0,IF(G220=0,F220-E220+1,0))</f>
        <v>4</v>
      </c>
      <c r="Q220" s="42" t="str">
        <f>C220&amp;IF(ISBLANK(D220),"","=")&amp;D220</f>
        <v>Accel_Z=20000</v>
      </c>
      <c r="S220" s="39">
        <v>20000</v>
      </c>
      <c r="T220" s="42" t="str">
        <f>C220&amp;IF(ISBLANK(S220),"","=")&amp;S220</f>
        <v>Accel_Z=20000</v>
      </c>
      <c r="U220" s="39">
        <v>1000</v>
      </c>
      <c r="V220" s="42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39" t="s">
        <v>365</v>
      </c>
      <c r="D221" s="39">
        <v>82</v>
      </c>
      <c r="E221" s="26">
        <v>348</v>
      </c>
      <c r="F221" s="26">
        <v>351</v>
      </c>
      <c r="G221" s="26">
        <v>0</v>
      </c>
      <c r="H221" s="49" t="str">
        <f>DEC2HEX(I221)</f>
        <v>6F</v>
      </c>
      <c r="I221" s="26">
        <v>111</v>
      </c>
      <c r="J221" s="27" t="str">
        <f>CHAR(I221)</f>
        <v>o</v>
      </c>
      <c r="L221">
        <f>IF(ISBLANK(D221),IF(E221&gt;0,F221-E221+1,0),0)</f>
        <v>0</v>
      </c>
      <c r="M221" s="45">
        <f>IF(ISBLANK(D221),0,IF(G221=0,F221-E221+1,0))</f>
        <v>4</v>
      </c>
      <c r="Q221" s="42" t="str">
        <f>C221&amp;IF(ISBLANK(D221),"","=")&amp;D221</f>
        <v>SpeedPercentage_Z=82</v>
      </c>
      <c r="S221" s="39">
        <v>100</v>
      </c>
      <c r="T221" s="42" t="str">
        <f>C221&amp;IF(ISBLANK(S221),"","=")&amp;S221</f>
        <v>SpeedPercentage_Z=100</v>
      </c>
      <c r="U221" s="39">
        <v>11</v>
      </c>
      <c r="V221" s="42" t="str">
        <f>C221&amp;IF(ISBLANK(U221),"","=")&amp;U221</f>
        <v>SpeedPercentage_Z=11</v>
      </c>
    </row>
    <row r="222" spans="1:25" x14ac:dyDescent="0.25">
      <c r="A222" s="106">
        <v>221</v>
      </c>
      <c r="B222" s="106" t="s">
        <v>42</v>
      </c>
      <c r="C222" s="107" t="s">
        <v>396</v>
      </c>
      <c r="D222" s="107">
        <v>4.125</v>
      </c>
      <c r="E222" s="26">
        <v>168</v>
      </c>
      <c r="F222" s="26">
        <v>175</v>
      </c>
      <c r="G222" s="26"/>
      <c r="H222" s="49" t="str">
        <f>DEC2HEX(I222)</f>
        <v>B5</v>
      </c>
      <c r="I222" s="27">
        <v>181</v>
      </c>
      <c r="J222" s="27" t="str">
        <f>CHAR(I222)</f>
        <v>µ</v>
      </c>
      <c r="L222">
        <f>IF(ISBLANK(D222),IF(E222&gt;0,F222-E222+1,0),0)</f>
        <v>0</v>
      </c>
      <c r="M222" s="45">
        <f>IF(ISBLANK(D222),0,IF(G222=0,F222-E222+1,0))</f>
        <v>8</v>
      </c>
      <c r="Q222" s="42" t="str">
        <f>C222&amp;IF(ISBLANK(D222),"","=")&amp;D222</f>
        <v>Distance_Z1=4.125</v>
      </c>
      <c r="S222" s="39">
        <v>0.2</v>
      </c>
      <c r="T222" s="42" t="str">
        <f>C222&amp;IF(ISBLANK(S222),"","=")&amp;S222</f>
        <v>Distance_Z1=0.2</v>
      </c>
      <c r="U222" s="39">
        <v>11</v>
      </c>
      <c r="V222" s="42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39" t="s">
        <v>397</v>
      </c>
      <c r="D223" s="39">
        <v>3.1</v>
      </c>
      <c r="E223" s="27">
        <v>396</v>
      </c>
      <c r="F223" s="27">
        <v>403</v>
      </c>
      <c r="G223" s="27"/>
      <c r="H223" s="49" t="str">
        <f>DEC2HEX(I223)</f>
        <v>B5</v>
      </c>
      <c r="I223" s="27">
        <v>181</v>
      </c>
      <c r="J223" s="27" t="str">
        <f>CHAR(I223)</f>
        <v>µ</v>
      </c>
      <c r="L223">
        <f>IF(ISBLANK(D223),IF(E223&gt;0,F223-E223+1,0),0)</f>
        <v>0</v>
      </c>
      <c r="M223" s="45">
        <f>IF(ISBLANK(D223),0,IF(G223=0,F223-E223+1,0))</f>
        <v>8</v>
      </c>
      <c r="Q223" s="42" t="str">
        <f>C223&amp;IF(ISBLANK(D223),"","=")&amp;D223</f>
        <v>Distance_Z2=3.1</v>
      </c>
      <c r="S223" s="39">
        <v>0.1</v>
      </c>
      <c r="T223" s="42" t="str">
        <f>C223&amp;IF(ISBLANK(S223),"","=")&amp;S223</f>
        <v>Distance_Z2=0.1</v>
      </c>
      <c r="U223" s="39">
        <v>11</v>
      </c>
      <c r="V223" s="42" t="str">
        <f>C223&amp;IF(ISBLANK(U223),"","=")&amp;U223</f>
        <v>Distance_Z2=11</v>
      </c>
    </row>
    <row r="224" spans="1:25" x14ac:dyDescent="0.25">
      <c r="A224">
        <v>223</v>
      </c>
      <c r="C224" s="39" t="s">
        <v>279</v>
      </c>
      <c r="Q224" s="42" t="str">
        <f>C224&amp;IF(ISBLANK(D224),"","=")&amp;D224</f>
        <v>;X Axis</v>
      </c>
      <c r="T224" s="42" t="str">
        <f>C224&amp;IF(ISBLANK(S224),"","=")&amp;S224</f>
        <v>;X Axis</v>
      </c>
      <c r="V224" s="42" t="str">
        <f>C224&amp;IF(ISBLANK(U224),"","=")&amp;U224</f>
        <v>;X Axis</v>
      </c>
    </row>
    <row r="225" spans="1:22" x14ac:dyDescent="0.25">
      <c r="A225">
        <v>224</v>
      </c>
      <c r="B225" t="s">
        <v>42</v>
      </c>
      <c r="C225" s="39" t="s">
        <v>366</v>
      </c>
      <c r="D225" s="39">
        <v>5083</v>
      </c>
      <c r="E225" s="26">
        <v>1000</v>
      </c>
      <c r="F225" s="26">
        <v>1003</v>
      </c>
      <c r="G225" s="26"/>
      <c r="H225" s="49" t="str">
        <f>DEC2HEX(I225)</f>
        <v>B9</v>
      </c>
      <c r="I225" s="27">
        <v>185</v>
      </c>
      <c r="J225" s="27" t="str">
        <f>CHAR(I225)</f>
        <v>¹</v>
      </c>
      <c r="L225">
        <f>IF(ISBLANK(D225),IF(E225&gt;0,F225-E225+1,0),0)</f>
        <v>0</v>
      </c>
      <c r="M225" s="45">
        <f>IF(ISBLANK(D225),0,IF(G225=0,F225-E225+1,0))</f>
        <v>4</v>
      </c>
      <c r="Q225" s="42" t="str">
        <f>C225&amp;IF(ISBLANK(D225),"","=")&amp;D225</f>
        <v>MaxSpeed_X=5083</v>
      </c>
      <c r="S225" s="39">
        <v>30000</v>
      </c>
      <c r="T225" s="42" t="str">
        <f>C225&amp;IF(ISBLANK(S225),"","=")&amp;S225</f>
        <v>MaxSpeed_X=30000</v>
      </c>
      <c r="U225" s="39">
        <v>1000</v>
      </c>
      <c r="V225" s="42" t="str">
        <f>C225&amp;IF(ISBLANK(U225),"","=")&amp;U225</f>
        <v>MaxSpeed_X=1000</v>
      </c>
    </row>
    <row r="226" spans="1:22" x14ac:dyDescent="0.25">
      <c r="A226">
        <v>225</v>
      </c>
      <c r="B226" t="s">
        <v>42</v>
      </c>
      <c r="C226" s="39" t="s">
        <v>367</v>
      </c>
      <c r="D226" s="39">
        <v>20000</v>
      </c>
      <c r="E226" s="26">
        <v>1012</v>
      </c>
      <c r="F226" s="26">
        <v>1015</v>
      </c>
      <c r="G226" s="26"/>
      <c r="H226" s="49" t="str">
        <f>DEC2HEX(I226)</f>
        <v>BA</v>
      </c>
      <c r="I226" s="27">
        <v>186</v>
      </c>
      <c r="J226" s="27" t="str">
        <f>CHAR(I226)</f>
        <v>º</v>
      </c>
      <c r="L226">
        <f>IF(ISBLANK(D226),IF(E226&gt;0,F226-E226+1,0),0)</f>
        <v>0</v>
      </c>
      <c r="M226" s="45">
        <f>IF(ISBLANK(D226),0,IF(G226=0,F226-E226+1,0))</f>
        <v>4</v>
      </c>
      <c r="Q226" s="42" t="str">
        <f>C226&amp;IF(ISBLANK(D226),"","=")&amp;D226</f>
        <v>Accel_X=20000</v>
      </c>
      <c r="S226" s="39">
        <v>20000</v>
      </c>
      <c r="T226" s="42" t="str">
        <f>C226&amp;IF(ISBLANK(S226),"","=")&amp;S226</f>
        <v>Accel_X=20000</v>
      </c>
      <c r="U226" s="39">
        <v>1000</v>
      </c>
      <c r="V226" s="42" t="str">
        <f>C226&amp;IF(ISBLANK(U226),"","=")&amp;U226</f>
        <v>Accel_X=1000</v>
      </c>
    </row>
    <row r="227" spans="1:22" x14ac:dyDescent="0.25">
      <c r="A227">
        <v>226</v>
      </c>
      <c r="B227" t="s">
        <v>42</v>
      </c>
      <c r="C227" s="39" t="s">
        <v>368</v>
      </c>
      <c r="D227" s="39">
        <v>85</v>
      </c>
      <c r="E227" s="26">
        <v>348</v>
      </c>
      <c r="F227" s="26">
        <v>351</v>
      </c>
      <c r="G227" s="26">
        <v>8</v>
      </c>
      <c r="H227" s="49" t="str">
        <f>DEC2HEX(I227)</f>
        <v>6F</v>
      </c>
      <c r="I227" s="26">
        <v>111</v>
      </c>
      <c r="J227" s="27" t="str">
        <f>CHAR(I227)</f>
        <v>o</v>
      </c>
      <c r="L227">
        <f>IF(ISBLANK(D227),IF(E227&gt;0,F227-E227+1,0),0)</f>
        <v>0</v>
      </c>
      <c r="M227" s="45">
        <f>IF(ISBLANK(D227),0,IF(G227=0,F227-E227+1,0))</f>
        <v>0</v>
      </c>
      <c r="Q227" s="42" t="str">
        <f>C227&amp;IF(ISBLANK(D227),"","=")&amp;D227</f>
        <v>SpeedPercentage_X=85</v>
      </c>
      <c r="S227" s="39">
        <v>100</v>
      </c>
      <c r="T227" s="42" t="str">
        <f>C227&amp;IF(ISBLANK(S227),"","=")&amp;S227</f>
        <v>SpeedPercentage_X=100</v>
      </c>
      <c r="U227" s="39">
        <v>11</v>
      </c>
      <c r="V227" s="42" t="str">
        <f>C227&amp;IF(ISBLANK(U227),"","=")&amp;U227</f>
        <v>SpeedPercentage_X=11</v>
      </c>
    </row>
    <row r="228" spans="1:22" x14ac:dyDescent="0.25">
      <c r="A228">
        <v>227</v>
      </c>
      <c r="B228" t="s">
        <v>42</v>
      </c>
      <c r="C228" s="39" t="s">
        <v>398</v>
      </c>
      <c r="D228" s="39">
        <v>5.75</v>
      </c>
      <c r="E228" s="26">
        <v>340</v>
      </c>
      <c r="F228" s="26">
        <v>347</v>
      </c>
      <c r="G228" s="26"/>
      <c r="H228" s="49" t="str">
        <f>DEC2HEX(I228)</f>
        <v>B5</v>
      </c>
      <c r="I228" s="27">
        <v>181</v>
      </c>
      <c r="J228" s="27" t="str">
        <f>CHAR(I228)</f>
        <v>µ</v>
      </c>
      <c r="L228">
        <f>IF(ISBLANK(D228),IF(E228&gt;0,F228-E228+1,0),0)</f>
        <v>0</v>
      </c>
      <c r="M228" s="45">
        <f>IF(ISBLANK(D228),0,IF(G228=0,F228-E228+1,0))</f>
        <v>8</v>
      </c>
      <c r="Q228" s="42" t="str">
        <f>C228&amp;IF(ISBLANK(D228),"","=")&amp;D228</f>
        <v>Distance_X1=5.75</v>
      </c>
      <c r="S228" s="39">
        <v>0.2</v>
      </c>
      <c r="T228" s="42" t="str">
        <f>C228&amp;IF(ISBLANK(S228),"","=")&amp;S228</f>
        <v>Distance_X1=0.2</v>
      </c>
      <c r="U228" s="39">
        <v>11</v>
      </c>
      <c r="V228" s="42" t="str">
        <f>C228&amp;IF(ISBLANK(U228),"","=")&amp;U228</f>
        <v>Distance_X1=11</v>
      </c>
    </row>
    <row r="229" spans="1:22" x14ac:dyDescent="0.25">
      <c r="A229">
        <v>228</v>
      </c>
      <c r="B229" t="s">
        <v>42</v>
      </c>
      <c r="C229" s="39" t="s">
        <v>399</v>
      </c>
      <c r="D229" s="39">
        <v>5.76</v>
      </c>
      <c r="E229" s="27">
        <v>316</v>
      </c>
      <c r="F229" s="27">
        <v>323</v>
      </c>
      <c r="G229" s="26"/>
      <c r="H229" s="49" t="str">
        <f>DEC2HEX(I229)</f>
        <v>B5</v>
      </c>
      <c r="I229" s="27">
        <v>181</v>
      </c>
      <c r="J229" s="27" t="str">
        <f>CHAR(I229)</f>
        <v>µ</v>
      </c>
      <c r="L229">
        <f>IF(ISBLANK(D229),IF(E229&gt;0,F229-E229+1,0),0)</f>
        <v>0</v>
      </c>
      <c r="M229" s="45">
        <f>IF(ISBLANK(D229),0,IF(G229=0,F229-E229+1,0))</f>
        <v>8</v>
      </c>
      <c r="Q229" s="42" t="str">
        <f>C229&amp;IF(ISBLANK(D229),"","=")&amp;D229</f>
        <v>Distance_X2=5.76</v>
      </c>
      <c r="S229" s="39">
        <v>0.1</v>
      </c>
      <c r="T229" s="42" t="str">
        <f>C229&amp;IF(ISBLANK(S229),"","=")&amp;S229</f>
        <v>Distance_X2=0.1</v>
      </c>
      <c r="U229" s="39">
        <v>11</v>
      </c>
      <c r="V229" s="42" t="str">
        <f>C229&amp;IF(ISBLANK(U229),"","=")&amp;U229</f>
        <v>Distance_X2=11</v>
      </c>
    </row>
    <row r="230" spans="1:22" x14ac:dyDescent="0.25">
      <c r="A230">
        <v>229</v>
      </c>
      <c r="C230" s="39" t="s">
        <v>281</v>
      </c>
      <c r="Q230" s="42" t="str">
        <f>C230&amp;IF(ISBLANK(D230),"","=")&amp;D230</f>
        <v>;M3 Axis</v>
      </c>
      <c r="T230" s="42" t="str">
        <f>C230&amp;IF(ISBLANK(S230),"","=")&amp;S230</f>
        <v>;M3 Axis</v>
      </c>
      <c r="V230" s="42" t="str">
        <f>C230&amp;IF(ISBLANK(U230),"","=")&amp;U230</f>
        <v>;M3 Axis</v>
      </c>
    </row>
    <row r="231" spans="1:22" x14ac:dyDescent="0.25">
      <c r="A231">
        <v>230</v>
      </c>
      <c r="B231" t="s">
        <v>42</v>
      </c>
      <c r="C231" s="39" t="s">
        <v>375</v>
      </c>
      <c r="D231" s="39">
        <v>5086</v>
      </c>
      <c r="E231" s="26">
        <v>888</v>
      </c>
      <c r="F231" s="26">
        <v>891</v>
      </c>
      <c r="G231" s="26"/>
      <c r="H231" s="49" t="str">
        <f>DEC2HEX(I231)</f>
        <v>B9</v>
      </c>
      <c r="I231" s="27">
        <v>185</v>
      </c>
      <c r="J231" s="27" t="str">
        <f>CHAR(I231)</f>
        <v>¹</v>
      </c>
      <c r="L231">
        <f>IF(ISBLANK(D231),IF(E231&gt;0,F231-E231+1,0),0)</f>
        <v>0</v>
      </c>
      <c r="M231" s="45">
        <f>IF(ISBLANK(D231),0,IF(G231=0,F231-E231+1,0))</f>
        <v>4</v>
      </c>
      <c r="Q231" s="42" t="str">
        <f>C231&amp;IF(ISBLANK(D231),"","=")&amp;D231</f>
        <v>MaxSpeed_M3=5086</v>
      </c>
      <c r="S231" s="39">
        <v>30000</v>
      </c>
      <c r="T231" s="42" t="str">
        <f>C231&amp;IF(ISBLANK(S231),"","=")&amp;S231</f>
        <v>MaxSpeed_M3=30000</v>
      </c>
      <c r="U231" s="39">
        <v>1000</v>
      </c>
      <c r="V231" s="42" t="str">
        <f>C231&amp;IF(ISBLANK(U231),"","=")&amp;U231</f>
        <v>MaxSpeed_M3=1000</v>
      </c>
    </row>
    <row r="232" spans="1:22" x14ac:dyDescent="0.25">
      <c r="A232">
        <v>231</v>
      </c>
      <c r="B232" t="s">
        <v>42</v>
      </c>
      <c r="C232" s="39" t="s">
        <v>376</v>
      </c>
      <c r="D232" s="39">
        <v>20000</v>
      </c>
      <c r="E232" s="26">
        <v>892</v>
      </c>
      <c r="F232" s="26">
        <v>895</v>
      </c>
      <c r="G232" s="26"/>
      <c r="H232" s="49" t="str">
        <f>DEC2HEX(I232)</f>
        <v>BA</v>
      </c>
      <c r="I232" s="27">
        <v>186</v>
      </c>
      <c r="J232" s="27" t="str">
        <f>CHAR(I232)</f>
        <v>º</v>
      </c>
      <c r="L232">
        <f>IF(ISBLANK(D232),IF(E232&gt;0,F232-E232+1,0),0)</f>
        <v>0</v>
      </c>
      <c r="M232" s="45">
        <f>IF(ISBLANK(D232),0,IF(G232=0,F232-E232+1,0))</f>
        <v>4</v>
      </c>
      <c r="Q232" s="42" t="str">
        <f>C232&amp;IF(ISBLANK(D232),"","=")&amp;D232</f>
        <v>Accel_M3=20000</v>
      </c>
      <c r="S232" s="39">
        <v>20000</v>
      </c>
      <c r="T232" s="42" t="str">
        <f>C232&amp;IF(ISBLANK(S232),"","=")&amp;S232</f>
        <v>Accel_M3=20000</v>
      </c>
      <c r="U232" s="39">
        <v>1000</v>
      </c>
      <c r="V232" s="42" t="str">
        <f>C232&amp;IF(ISBLANK(U232),"","=")&amp;U232</f>
        <v>Accel_M3=1000</v>
      </c>
    </row>
    <row r="233" spans="1:22" x14ac:dyDescent="0.25">
      <c r="A233">
        <v>232</v>
      </c>
      <c r="B233" t="s">
        <v>42</v>
      </c>
      <c r="C233" s="39" t="s">
        <v>377</v>
      </c>
      <c r="D233" s="39">
        <v>88</v>
      </c>
      <c r="E233" s="26">
        <v>348</v>
      </c>
      <c r="F233" s="26">
        <v>351</v>
      </c>
      <c r="G233" s="26">
        <v>16</v>
      </c>
      <c r="H233" s="49" t="str">
        <f>DEC2HEX(I233)</f>
        <v>6F</v>
      </c>
      <c r="I233" s="26">
        <v>111</v>
      </c>
      <c r="J233" s="27" t="str">
        <f>CHAR(I233)</f>
        <v>o</v>
      </c>
      <c r="L233">
        <f>IF(ISBLANK(D233),IF(E233&gt;0,F233-E233+1,0),0)</f>
        <v>0</v>
      </c>
      <c r="M233" s="45">
        <f>IF(ISBLANK(D233),0,IF(G233=0,F233-E233+1,0))</f>
        <v>0</v>
      </c>
      <c r="Q233" s="42" t="str">
        <f>C233&amp;IF(ISBLANK(D233),"","=")&amp;D233</f>
        <v>SpeedPercentage_M3=88</v>
      </c>
      <c r="S233" s="39">
        <v>100</v>
      </c>
      <c r="T233" s="42" t="str">
        <f>C233&amp;IF(ISBLANK(S233),"","=")&amp;S233</f>
        <v>SpeedPercentage_M3=100</v>
      </c>
      <c r="U233" s="39">
        <v>11</v>
      </c>
      <c r="V233" s="42" t="str">
        <f>C233&amp;IF(ISBLANK(U233),"","=")&amp;U233</f>
        <v>SpeedPercentage_M3=11</v>
      </c>
    </row>
    <row r="234" spans="1:22" x14ac:dyDescent="0.25">
      <c r="A234">
        <v>233</v>
      </c>
      <c r="B234" t="s">
        <v>42</v>
      </c>
      <c r="C234" s="39" t="s">
        <v>400</v>
      </c>
      <c r="D234" s="39">
        <v>5.78</v>
      </c>
      <c r="E234" s="27">
        <v>332</v>
      </c>
      <c r="F234" s="27">
        <v>339</v>
      </c>
      <c r="G234" s="26"/>
      <c r="H234" s="49" t="str">
        <f>DEC2HEX(I234)</f>
        <v>B5</v>
      </c>
      <c r="I234" s="27">
        <v>181</v>
      </c>
      <c r="J234" s="27" t="str">
        <f>CHAR(I234)</f>
        <v>µ</v>
      </c>
      <c r="L234">
        <f>IF(ISBLANK(D234),IF(E234&gt;0,F234-E234+1,0),0)</f>
        <v>0</v>
      </c>
      <c r="M234" s="45">
        <f>IF(ISBLANK(D234),0,IF(G234=0,F234-E234+1,0))</f>
        <v>8</v>
      </c>
      <c r="Q234" s="42" t="str">
        <f>C234&amp;IF(ISBLANK(D234),"","=")&amp;D234</f>
        <v>Distance_M3-1=5.78</v>
      </c>
      <c r="S234" s="39">
        <v>0.2</v>
      </c>
      <c r="T234" s="42" t="str">
        <f>C234&amp;IF(ISBLANK(S234),"","=")&amp;S234</f>
        <v>Distance_M3-1=0.2</v>
      </c>
      <c r="U234" s="39">
        <v>11</v>
      </c>
      <c r="V234" s="42" t="str">
        <f>C234&amp;IF(ISBLANK(U234),"","=")&amp;U234</f>
        <v>Distance_M3-1=11</v>
      </c>
    </row>
    <row r="235" spans="1:22" x14ac:dyDescent="0.25">
      <c r="A235">
        <v>234</v>
      </c>
      <c r="B235" t="s">
        <v>42</v>
      </c>
      <c r="C235" s="39" t="s">
        <v>401</v>
      </c>
      <c r="D235" s="39">
        <v>5.79</v>
      </c>
      <c r="E235" s="26">
        <v>500</v>
      </c>
      <c r="F235" s="26">
        <v>507</v>
      </c>
      <c r="G235" s="26"/>
      <c r="H235" s="49" t="str">
        <f>DEC2HEX(I235)</f>
        <v>B5</v>
      </c>
      <c r="I235" s="27">
        <v>181</v>
      </c>
      <c r="J235" s="27" t="str">
        <f>CHAR(I235)</f>
        <v>µ</v>
      </c>
      <c r="L235">
        <f>IF(ISBLANK(D235),IF(E235&gt;0,F235-E235+1,0),0)</f>
        <v>0</v>
      </c>
      <c r="M235" s="45">
        <f>IF(ISBLANK(D235),0,IF(G235=0,F235-E235+1,0))</f>
        <v>8</v>
      </c>
      <c r="Q235" s="42" t="str">
        <f>C235&amp;IF(ISBLANK(D235),"","=")&amp;D235</f>
        <v>Distance_M3-2=5.79</v>
      </c>
      <c r="S235" s="39">
        <v>0.1</v>
      </c>
      <c r="T235" s="42" t="str">
        <f>C235&amp;IF(ISBLANK(S235),"","=")&amp;S235</f>
        <v>Distance_M3-2=0.1</v>
      </c>
      <c r="U235" s="39">
        <v>11</v>
      </c>
      <c r="V235" s="42" t="str">
        <f>C235&amp;IF(ISBLANK(U235),"","=")&amp;U235</f>
        <v>Distance_M3-2=11</v>
      </c>
    </row>
    <row r="236" spans="1:22" x14ac:dyDescent="0.25">
      <c r="A236">
        <v>235</v>
      </c>
      <c r="C236" s="39" t="s">
        <v>282</v>
      </c>
      <c r="Q236" s="42" t="str">
        <f>C236&amp;IF(ISBLANK(D236),"","=")&amp;D236</f>
        <v>;M4 Axis</v>
      </c>
      <c r="T236" s="42" t="str">
        <f>C236&amp;IF(ISBLANK(S236),"","=")&amp;S236</f>
        <v>;M4 Axis</v>
      </c>
      <c r="V236" s="42" t="str">
        <f>C236&amp;IF(ISBLANK(U236),"","=")&amp;U236</f>
        <v>;M4 Axis</v>
      </c>
    </row>
    <row r="237" spans="1:22" x14ac:dyDescent="0.25">
      <c r="A237">
        <v>236</v>
      </c>
      <c r="B237" t="s">
        <v>42</v>
      </c>
      <c r="C237" s="39" t="s">
        <v>378</v>
      </c>
      <c r="D237" s="39">
        <v>5088</v>
      </c>
      <c r="E237" s="26">
        <v>840</v>
      </c>
      <c r="F237" s="26">
        <v>843</v>
      </c>
      <c r="G237" s="26"/>
      <c r="H237" s="49" t="str">
        <f>DEC2HEX(I237)</f>
        <v>B9</v>
      </c>
      <c r="I237" s="27">
        <v>185</v>
      </c>
      <c r="J237" s="27" t="str">
        <f>CHAR(I237)</f>
        <v>¹</v>
      </c>
      <c r="L237">
        <f>IF(ISBLANK(D237),IF(E237&gt;0,F237-E237+1,0),0)</f>
        <v>0</v>
      </c>
      <c r="M237" s="45">
        <f>IF(ISBLANK(D237),0,IF(G237=0,F237-E237+1,0))</f>
        <v>4</v>
      </c>
      <c r="Q237" s="42" t="str">
        <f>C237&amp;IF(ISBLANK(D237),"","=")&amp;D237</f>
        <v>MaxSpeed_M4=5088</v>
      </c>
      <c r="T237" s="42" t="str">
        <f>C237&amp;IF(ISBLANK(S237),"","=")&amp;S237</f>
        <v>MaxSpeed_M4</v>
      </c>
      <c r="V237" s="42" t="str">
        <f>C237&amp;IF(ISBLANK(U237),"","=")&amp;U237</f>
        <v>MaxSpeed_M4</v>
      </c>
    </row>
    <row r="238" spans="1:22" x14ac:dyDescent="0.25">
      <c r="A238">
        <v>237</v>
      </c>
      <c r="B238" t="s">
        <v>42</v>
      </c>
      <c r="C238" s="39" t="s">
        <v>379</v>
      </c>
      <c r="D238" s="39">
        <v>20000</v>
      </c>
      <c r="E238" s="27">
        <v>884</v>
      </c>
      <c r="F238" s="27">
        <v>887</v>
      </c>
      <c r="G238" s="26"/>
      <c r="H238" s="49" t="str">
        <f>DEC2HEX(I238)</f>
        <v>BA</v>
      </c>
      <c r="I238" s="27">
        <v>186</v>
      </c>
      <c r="J238" s="27" t="str">
        <f>CHAR(I238)</f>
        <v>º</v>
      </c>
      <c r="L238">
        <f>IF(ISBLANK(D238),IF(E238&gt;0,F238-E238+1,0),0)</f>
        <v>0</v>
      </c>
      <c r="M238" s="45">
        <f>IF(ISBLANK(D238),0,IF(G238=0,F238-E238+1,0))</f>
        <v>4</v>
      </c>
      <c r="Q238" s="42" t="str">
        <f>C238&amp;IF(ISBLANK(D238),"","=")&amp;D238</f>
        <v>Accel_M4=20000</v>
      </c>
      <c r="T238" s="42" t="str">
        <f>C238&amp;IF(ISBLANK(S238),"","=")&amp;S238</f>
        <v>Accel_M4</v>
      </c>
      <c r="V238" s="42" t="str">
        <f>C238&amp;IF(ISBLANK(U238),"","=")&amp;U238</f>
        <v>Accel_M4</v>
      </c>
    </row>
    <row r="239" spans="1:22" x14ac:dyDescent="0.25">
      <c r="A239">
        <v>238</v>
      </c>
      <c r="B239" t="s">
        <v>42</v>
      </c>
      <c r="C239" s="39" t="s">
        <v>380</v>
      </c>
      <c r="D239" s="39">
        <v>89</v>
      </c>
      <c r="E239" s="26">
        <v>348</v>
      </c>
      <c r="F239" s="26">
        <v>351</v>
      </c>
      <c r="G239" s="26">
        <v>24</v>
      </c>
      <c r="H239" s="49" t="str">
        <f>DEC2HEX(I239)</f>
        <v>6F</v>
      </c>
      <c r="I239" s="26">
        <v>111</v>
      </c>
      <c r="J239" s="27" t="str">
        <f>CHAR(I239)</f>
        <v>o</v>
      </c>
      <c r="L239">
        <f>IF(ISBLANK(D239),IF(E239&gt;0,F239-E239+1,0),0)</f>
        <v>0</v>
      </c>
      <c r="M239" s="45">
        <f>IF(ISBLANK(D239),0,IF(G239=0,F239-E239+1,0))</f>
        <v>0</v>
      </c>
      <c r="Q239" s="42" t="str">
        <f>C239&amp;IF(ISBLANK(D239),"","=")&amp;D239</f>
        <v>SpeedPercentage_M4=89</v>
      </c>
      <c r="S239" s="39">
        <v>100</v>
      </c>
      <c r="T239" s="42" t="str">
        <f>C239&amp;IF(ISBLANK(S239),"","=")&amp;S239</f>
        <v>SpeedPercentage_M4=100</v>
      </c>
      <c r="U239" s="39">
        <v>11</v>
      </c>
      <c r="V239" s="42" t="str">
        <f>C239&amp;IF(ISBLANK(U239),"","=")&amp;U239</f>
        <v>SpeedPercentage_M4=11</v>
      </c>
    </row>
    <row r="240" spans="1:22" x14ac:dyDescent="0.25">
      <c r="A240">
        <v>239</v>
      </c>
      <c r="B240" t="s">
        <v>42</v>
      </c>
      <c r="C240" s="39" t="s">
        <v>402</v>
      </c>
      <c r="D240" s="39">
        <v>4.78</v>
      </c>
      <c r="E240" s="26">
        <v>12</v>
      </c>
      <c r="F240" s="26">
        <v>19</v>
      </c>
      <c r="G240" s="26"/>
      <c r="H240" s="49" t="str">
        <f>DEC2HEX(I240)</f>
        <v>B5</v>
      </c>
      <c r="I240" s="27">
        <v>181</v>
      </c>
      <c r="J240" s="27" t="str">
        <f>CHAR(I240)</f>
        <v>µ</v>
      </c>
      <c r="L240">
        <f>IF(ISBLANK(D240),IF(E240&gt;0,F240-E240+1,0),0)</f>
        <v>0</v>
      </c>
      <c r="M240" s="45">
        <f>IF(ISBLANK(D240),0,IF(G240=0,F240-E240+1,0))</f>
        <v>8</v>
      </c>
      <c r="Q240" s="42" t="str">
        <f>C240&amp;IF(ISBLANK(D240),"","=")&amp;D240</f>
        <v>Distance_M4-1=4.78</v>
      </c>
      <c r="S240" s="39">
        <v>0.2</v>
      </c>
      <c r="T240" s="42" t="str">
        <f>C240&amp;IF(ISBLANK(S240),"","=")&amp;S240</f>
        <v>Distance_M4-1=0.2</v>
      </c>
      <c r="U240" s="39">
        <v>11</v>
      </c>
      <c r="V240" s="42" t="str">
        <f>C240&amp;IF(ISBLANK(U240),"","=")&amp;U240</f>
        <v>Distance_M4-1=11</v>
      </c>
    </row>
    <row r="241" spans="1:25" x14ac:dyDescent="0.25">
      <c r="A241">
        <v>240</v>
      </c>
      <c r="B241" t="s">
        <v>42</v>
      </c>
      <c r="C241" s="39" t="s">
        <v>403</v>
      </c>
      <c r="D241" s="39">
        <v>4.79</v>
      </c>
      <c r="E241" s="26">
        <v>36</v>
      </c>
      <c r="F241" s="26">
        <v>43</v>
      </c>
      <c r="G241" s="26"/>
      <c r="H241" s="49" t="str">
        <f>DEC2HEX(I241)</f>
        <v>B5</v>
      </c>
      <c r="I241" s="27">
        <v>181</v>
      </c>
      <c r="J241" s="27" t="str">
        <f>CHAR(I241)</f>
        <v>µ</v>
      </c>
      <c r="L241">
        <f>IF(ISBLANK(D423),IF(E241&gt;0,F241-E241+1,0),0)</f>
        <v>8</v>
      </c>
      <c r="M241" s="45">
        <f>IF(ISBLANK(D423),0,IF(G241=0,F241-E241+1,0))</f>
        <v>0</v>
      </c>
      <c r="Q241" s="42" t="str">
        <f>C241&amp;IF(ISBLANK(D241),"","=")&amp;D241</f>
        <v>Distance_M4-2=4.79</v>
      </c>
      <c r="S241" s="39">
        <v>1.2</v>
      </c>
      <c r="T241" s="42" t="str">
        <f>C241&amp;IF(ISBLANK(S241),"","=")&amp;S241</f>
        <v>Distance_M4-2=1.2</v>
      </c>
      <c r="U241" s="39">
        <v>12</v>
      </c>
      <c r="V241" s="42" t="str">
        <f>C241&amp;IF(ISBLANK(U241),"","=")&amp;U241</f>
        <v>Distance_M4-2=12</v>
      </c>
    </row>
    <row r="242" spans="1:25" x14ac:dyDescent="0.25">
      <c r="A242">
        <v>241</v>
      </c>
      <c r="C242" s="39" t="s">
        <v>229</v>
      </c>
      <c r="Q242" s="42" t="str">
        <f>C242&amp;IF(ISBLANK(D242),"","=")&amp;D242</f>
        <v>;</v>
      </c>
      <c r="T242" s="42" t="str">
        <f>C242&amp;IF(ISBLANK(S242),"","=")&amp;S242</f>
        <v>;</v>
      </c>
      <c r="V242" s="42" t="str">
        <f>C242&amp;IF(ISBLANK(U242),"","=")&amp;U242</f>
        <v>;</v>
      </c>
    </row>
    <row r="243" spans="1:25" x14ac:dyDescent="0.25">
      <c r="A243">
        <v>242</v>
      </c>
      <c r="B243" s="80"/>
      <c r="C243" s="81" t="s">
        <v>440</v>
      </c>
      <c r="D243" s="81"/>
      <c r="E243" s="80"/>
      <c r="F243" s="80"/>
      <c r="G243" s="80"/>
      <c r="H243" s="82"/>
      <c r="I243" s="80"/>
      <c r="J243" s="80"/>
      <c r="K243" s="81"/>
      <c r="L243" s="80"/>
      <c r="M243" s="83"/>
      <c r="N243" s="80"/>
      <c r="O243" s="80"/>
      <c r="P243" s="80"/>
      <c r="Q243" s="80" t="str">
        <f>C243&amp;IF(ISBLANK(D243),"","=")&amp;D243</f>
        <v>[Shared]</v>
      </c>
      <c r="R243" s="80"/>
      <c r="S243" s="81"/>
      <c r="T243" s="80" t="str">
        <f>C243&amp;IF(ISBLANK(S243),"","=")&amp;S243</f>
        <v>[Shared]</v>
      </c>
      <c r="U243" s="81"/>
      <c r="V243" s="42" t="str">
        <f>C243&amp;IF(ISBLANK(U243),"","=")&amp;U243</f>
        <v>[Shared]</v>
      </c>
      <c r="W243" s="80"/>
      <c r="X243" s="80"/>
      <c r="Y243" s="80"/>
    </row>
    <row r="244" spans="1:25" x14ac:dyDescent="0.25">
      <c r="A244">
        <v>243</v>
      </c>
      <c r="C244" s="39" t="s">
        <v>229</v>
      </c>
      <c r="Q244" s="42" t="str">
        <f>C244&amp;IF(ISBLANK(D244),"","=")&amp;D244</f>
        <v>;</v>
      </c>
      <c r="T244" s="42" t="str">
        <f>C244&amp;IF(ISBLANK(S244),"","=")&amp;S244</f>
        <v>;</v>
      </c>
      <c r="V244" s="42" t="str">
        <f>C244&amp;IF(ISBLANK(U244),"","=")&amp;U244</f>
        <v>;</v>
      </c>
    </row>
    <row r="245" spans="1:25" s="29" customFormat="1" x14ac:dyDescent="0.25">
      <c r="A245">
        <v>244</v>
      </c>
      <c r="B245"/>
      <c r="C245" s="39" t="s">
        <v>509</v>
      </c>
      <c r="D245" s="39"/>
      <c r="E245"/>
      <c r="F245"/>
      <c r="G245"/>
      <c r="H245" s="38"/>
      <c r="I245"/>
      <c r="J245"/>
      <c r="K245" s="39"/>
      <c r="L245"/>
      <c r="M245" s="45"/>
      <c r="N245"/>
      <c r="O245"/>
      <c r="P245"/>
      <c r="Q245" s="42" t="str">
        <f>C245&amp;IF(ISBLANK(D245),"","=")&amp;D245</f>
        <v>; Settings shared between Main,Sync, Recip, Rose, Greek Key, and Program pages</v>
      </c>
      <c r="R245"/>
      <c r="S245" s="39"/>
      <c r="T245" s="42" t="str">
        <f>C245&amp;IF(ISBLANK(S245),"","=")&amp;S245</f>
        <v>; Settings shared between Main,Sync, Recip, Rose, Greek Key, and Program pages</v>
      </c>
      <c r="U245" s="39"/>
      <c r="V245" s="42" t="str">
        <f>C245&amp;IF(ISBLANK(U245),"","=")&amp;U245</f>
        <v>; Settings shared between Main,Sync, Recip, Rose, Greek Key, and Program pages</v>
      </c>
      <c r="W245"/>
      <c r="X245"/>
      <c r="Y245"/>
    </row>
    <row r="246" spans="1:25" x14ac:dyDescent="0.25">
      <c r="A246">
        <v>245</v>
      </c>
      <c r="C246" s="39" t="s">
        <v>505</v>
      </c>
      <c r="H246" s="47"/>
      <c r="J246" s="4"/>
      <c r="Q246" s="42" t="str">
        <f>C246&amp;IF(ISBLANK(D246),"","=")&amp;D246</f>
        <v>;Synchronize M3 and Spindle</v>
      </c>
      <c r="T246" s="42" t="str">
        <f>C246&amp;IF(ISBLANK(S246),"","=")&amp;S246</f>
        <v>;Synchronize M3 and Spindle</v>
      </c>
      <c r="V246" s="42" t="str">
        <f>C246&amp;IF(ISBLANK(U246),"","=")&amp;U246</f>
        <v>;Synchronize M3 and Spindle</v>
      </c>
    </row>
    <row r="247" spans="1:25" x14ac:dyDescent="0.25">
      <c r="A247">
        <v>246</v>
      </c>
      <c r="B247" t="s">
        <v>441</v>
      </c>
      <c r="C247" s="39" t="s">
        <v>515</v>
      </c>
      <c r="D247" s="39">
        <v>0</v>
      </c>
      <c r="E247" s="27">
        <v>4</v>
      </c>
      <c r="F247" s="27">
        <v>7</v>
      </c>
      <c r="G247" s="26"/>
      <c r="H247" s="49" t="str">
        <f>DEC2HEX(I247)</f>
        <v>B2</v>
      </c>
      <c r="I247" s="27">
        <v>178</v>
      </c>
      <c r="J247" s="27" t="str">
        <f>CHAR(I247)</f>
        <v>²</v>
      </c>
      <c r="L247">
        <f>IF(ISBLANK(D247),IF(E247&gt;0,F247-E247+1,0),0)</f>
        <v>0</v>
      </c>
      <c r="M247" s="45">
        <f>IF(ISBLANK(D247),0,IF(G247=0,F247-E247+1,0))</f>
        <v>4</v>
      </c>
      <c r="Q247" s="42" t="str">
        <f>C247&amp;IF(ISBLANK(D247),"","=")&amp;D247</f>
        <v>Synchro_M3_and_Spindle=0</v>
      </c>
      <c r="S247" s="39">
        <v>0</v>
      </c>
      <c r="T247" s="42" t="str">
        <f>C247&amp;IF(ISBLANK(S247),"","=")&amp;S247</f>
        <v>Synchro_M3_and_Spindle=0</v>
      </c>
      <c r="U247" s="39">
        <v>1</v>
      </c>
      <c r="V247" s="42" t="str">
        <f>C247&amp;IF(ISBLANK(U247),"","=")&amp;U247</f>
        <v>Synchro_M3_and_Spindle=1</v>
      </c>
    </row>
    <row r="248" spans="1:25" s="80" customFormat="1" x14ac:dyDescent="0.25">
      <c r="A248">
        <v>247</v>
      </c>
      <c r="B248" t="s">
        <v>441</v>
      </c>
      <c r="C248" s="39" t="s">
        <v>516</v>
      </c>
      <c r="D248" s="39">
        <v>100</v>
      </c>
      <c r="E248" s="26">
        <v>24</v>
      </c>
      <c r="F248" s="26">
        <v>31</v>
      </c>
      <c r="G248" s="26"/>
      <c r="H248" s="49" t="str">
        <f>DEC2HEX(I248)</f>
        <v>B3</v>
      </c>
      <c r="I248" s="27">
        <v>179</v>
      </c>
      <c r="J248" s="27" t="str">
        <f>CHAR(I248)</f>
        <v>³</v>
      </c>
      <c r="K248" s="39"/>
      <c r="L248">
        <f>IF(ISBLANK(D248),IF(E248&gt;0,F248-E248+1,0),0)</f>
        <v>0</v>
      </c>
      <c r="M248" s="45">
        <f>IF(ISBLANK(D248),0,IF(G248=0,F248-E248+1,0))</f>
        <v>8</v>
      </c>
      <c r="N248" s="54"/>
      <c r="O248" s="54"/>
      <c r="P248" s="54"/>
      <c r="Q248" s="42" t="str">
        <f>C248&amp;IF(ISBLANK(D248),"","=")&amp;D248</f>
        <v>Synchro_Percentage=100</v>
      </c>
      <c r="R248"/>
      <c r="S248" s="39">
        <v>100</v>
      </c>
      <c r="T248" s="42" t="str">
        <f>C248&amp;IF(ISBLANK(S248),"","=")&amp;S248</f>
        <v>Synchro_Percentage=100</v>
      </c>
      <c r="U248" s="39">
        <v>11</v>
      </c>
      <c r="V248" s="42" t="str">
        <f>C248&amp;IF(ISBLANK(U248),"","=")&amp;U248</f>
        <v>Synchro_Percentage=11</v>
      </c>
      <c r="W248"/>
      <c r="X248"/>
      <c r="Y248"/>
    </row>
    <row r="249" spans="1:25" x14ac:dyDescent="0.25">
      <c r="A249">
        <v>248</v>
      </c>
      <c r="C249" s="39" t="s">
        <v>442</v>
      </c>
      <c r="Q249" s="42" t="str">
        <f>C249&amp;IF(ISBLANK(D249),"","=")&amp;D249</f>
        <v>; Settings shared between Sync, Recip, Greek Key, and Program pages</v>
      </c>
      <c r="T249" s="42" t="str">
        <f>C249&amp;IF(ISBLANK(S249),"","=")&amp;S249</f>
        <v>; Settings shared between Sync, Recip, Greek Key, and Program pages</v>
      </c>
      <c r="V249" s="42" t="str">
        <f>C249&amp;IF(ISBLANK(U249),"","=")&amp;U249</f>
        <v>; Settings shared between Sync, Recip, Greek Key, and Program pages</v>
      </c>
    </row>
    <row r="250" spans="1:25" x14ac:dyDescent="0.25">
      <c r="A250">
        <v>249</v>
      </c>
      <c r="B250" t="s">
        <v>441</v>
      </c>
      <c r="C250" s="39" t="s">
        <v>260</v>
      </c>
      <c r="D250" s="39">
        <v>1</v>
      </c>
      <c r="E250" s="26">
        <v>20</v>
      </c>
      <c r="F250" s="26">
        <v>23</v>
      </c>
      <c r="G250" s="26">
        <v>8</v>
      </c>
      <c r="H250" s="49" t="str">
        <f>DEC2HEX(I250)</f>
        <v>42</v>
      </c>
      <c r="I250" s="27">
        <v>66</v>
      </c>
      <c r="J250" s="27" t="str">
        <f>CHAR(I250)</f>
        <v>B</v>
      </c>
      <c r="L250">
        <f>IF(ISBLANK(D250),IF(E250&gt;0,F250-E250+1,0),0)</f>
        <v>0</v>
      </c>
      <c r="M250" s="45">
        <f>IF(ISBLANK(D250),0,IF(G250=0,F250-E250+1,0))</f>
        <v>0</v>
      </c>
      <c r="Q250" s="42" t="str">
        <f>C250&amp;IF(ISBLANK(D250),"","=")&amp;D250</f>
        <v>AxisId=1</v>
      </c>
      <c r="S250" s="39">
        <v>1</v>
      </c>
      <c r="T250" s="42" t="str">
        <f>C250&amp;IF(ISBLANK(S250),"","=")&amp;S250</f>
        <v>AxisId=1</v>
      </c>
      <c r="U250" s="39">
        <v>2</v>
      </c>
      <c r="V250" s="42" t="str">
        <f>C250&amp;IF(ISBLANK(U250),"","=")&amp;U250</f>
        <v>AxisId=2</v>
      </c>
    </row>
    <row r="251" spans="1:25" x14ac:dyDescent="0.25">
      <c r="A251">
        <v>250</v>
      </c>
      <c r="B251" t="s">
        <v>441</v>
      </c>
      <c r="C251" s="39" t="s">
        <v>408</v>
      </c>
      <c r="D251" s="39">
        <v>0</v>
      </c>
      <c r="E251" s="26">
        <v>20</v>
      </c>
      <c r="F251" s="26">
        <v>23</v>
      </c>
      <c r="G251" s="26">
        <v>16</v>
      </c>
      <c r="H251" s="49" t="str">
        <f>DEC2HEX(I251)</f>
        <v>57</v>
      </c>
      <c r="I251" s="27">
        <v>87</v>
      </c>
      <c r="J251" s="27" t="str">
        <f>CHAR(I251)</f>
        <v>W</v>
      </c>
      <c r="L251">
        <f>IF(ISBLANK(D251),IF(E251&gt;0,F251-E251+1,0),0)</f>
        <v>0</v>
      </c>
      <c r="M251" s="45">
        <f>IF(ISBLANK(D251),0,IF(G251=0,F251-E251+1,0))</f>
        <v>0</v>
      </c>
      <c r="Q251" s="42" t="str">
        <f>C251&amp;IF(ISBLANK(D251),"","=")&amp;D251</f>
        <v>RadialOrAxial=0</v>
      </c>
      <c r="S251" s="39">
        <v>0</v>
      </c>
      <c r="T251" s="42" t="str">
        <f>C251&amp;IF(ISBLANK(S251),"","=")&amp;S251</f>
        <v>RadialOrAxial=0</v>
      </c>
      <c r="U251" s="39">
        <v>1</v>
      </c>
      <c r="V251" s="42" t="str">
        <f>C251&amp;IF(ISBLANK(U251),"","=")&amp;U251</f>
        <v>RadialOrAxial=1</v>
      </c>
    </row>
    <row r="252" spans="1:25" x14ac:dyDescent="0.25">
      <c r="A252">
        <v>251</v>
      </c>
      <c r="C252" s="39" t="s">
        <v>291</v>
      </c>
      <c r="Q252" s="42" t="str">
        <f>C252&amp;IF(ISBLANK(D252),"","=")&amp;D252</f>
        <v>;Spindle</v>
      </c>
      <c r="T252" s="42" t="str">
        <f>C252&amp;IF(ISBLANK(S252),"","=")&amp;S252</f>
        <v>;Spindle</v>
      </c>
      <c r="V252" s="42" t="str">
        <f>C252&amp;IF(ISBLANK(U252),"","=")&amp;U252</f>
        <v>;Spindle</v>
      </c>
    </row>
    <row r="253" spans="1:25" x14ac:dyDescent="0.25">
      <c r="A253">
        <v>252</v>
      </c>
      <c r="B253" t="s">
        <v>441</v>
      </c>
      <c r="C253" s="39" t="s">
        <v>352</v>
      </c>
      <c r="D253" s="39">
        <v>5040</v>
      </c>
      <c r="E253" s="26">
        <v>896</v>
      </c>
      <c r="F253" s="26">
        <v>899</v>
      </c>
      <c r="G253" s="26"/>
      <c r="H253" s="49" t="str">
        <f>DEC2HEX(I253)</f>
        <v>3A</v>
      </c>
      <c r="I253" s="27">
        <v>58</v>
      </c>
      <c r="J253" s="27" t="str">
        <f>CHAR(I253)</f>
        <v>:</v>
      </c>
      <c r="L253">
        <f>IF(ISBLANK(D253),IF(E253&gt;0,F253-E253+1,0),0)</f>
        <v>0</v>
      </c>
      <c r="M253" s="45">
        <f>IF(ISBLANK(D253),0,IF(G253=0,F253-E253+1,0))</f>
        <v>4</v>
      </c>
      <c r="Q253" s="42" t="str">
        <f>C253&amp;IF(ISBLANK(D253),"","=")&amp;D253</f>
        <v>MaxSpeed_Spindle=5040</v>
      </c>
      <c r="S253" s="39">
        <v>30000</v>
      </c>
      <c r="T253" s="42" t="str">
        <f>C253&amp;IF(ISBLANK(S253),"","=")&amp;S253</f>
        <v>MaxSpeed_Spindle=30000</v>
      </c>
      <c r="U253" s="39">
        <v>1000</v>
      </c>
      <c r="V253" s="42" t="str">
        <f>C253&amp;IF(ISBLANK(U253),"","=")&amp;U253</f>
        <v>MaxSpeed_Spindle=1000</v>
      </c>
    </row>
    <row r="254" spans="1:25" x14ac:dyDescent="0.25">
      <c r="A254">
        <v>253</v>
      </c>
      <c r="B254" t="s">
        <v>441</v>
      </c>
      <c r="C254" s="39" t="s">
        <v>353</v>
      </c>
      <c r="D254" s="39">
        <v>20000</v>
      </c>
      <c r="E254" s="26">
        <v>936</v>
      </c>
      <c r="F254" s="26">
        <v>939</v>
      </c>
      <c r="G254" s="26"/>
      <c r="H254" s="49" t="str">
        <f>DEC2HEX(I254)</f>
        <v>3B</v>
      </c>
      <c r="I254" s="27">
        <v>59</v>
      </c>
      <c r="J254" s="27" t="str">
        <f>CHAR(I254)</f>
        <v>;</v>
      </c>
      <c r="L254">
        <f>IF(ISBLANK(D254),IF(E254&gt;0,F254-E254+1,0),0)</f>
        <v>0</v>
      </c>
      <c r="M254" s="45">
        <f>IF(ISBLANK(D254),0,IF(G254=0,F254-E254+1,0))</f>
        <v>4</v>
      </c>
      <c r="Q254" s="42" t="str">
        <f>C254&amp;IF(ISBLANK(D254),"","=")&amp;D254</f>
        <v>Accel_Spindle=20000</v>
      </c>
      <c r="S254" s="39">
        <v>20000</v>
      </c>
      <c r="T254" s="42" t="str">
        <f>C254&amp;IF(ISBLANK(S254),"","=")&amp;S254</f>
        <v>Accel_Spindle=20000</v>
      </c>
      <c r="U254" s="39">
        <v>1000</v>
      </c>
      <c r="V254" s="42" t="str">
        <f>C254&amp;IF(ISBLANK(U254),"","=")&amp;U254</f>
        <v>Accel_Spindle=1000</v>
      </c>
    </row>
    <row r="255" spans="1:25" x14ac:dyDescent="0.25">
      <c r="A255">
        <v>254</v>
      </c>
      <c r="B255" t="s">
        <v>441</v>
      </c>
      <c r="C255" s="39" t="s">
        <v>362</v>
      </c>
      <c r="D255" s="39">
        <v>42</v>
      </c>
      <c r="E255" s="26">
        <v>20</v>
      </c>
      <c r="F255" s="26">
        <v>23</v>
      </c>
      <c r="G255" s="26">
        <v>0</v>
      </c>
      <c r="H255" s="49" t="str">
        <f>DEC2HEX(I255)</f>
        <v>6E</v>
      </c>
      <c r="I255" s="27">
        <v>110</v>
      </c>
      <c r="J255" s="27" t="str">
        <f>CHAR(I255)</f>
        <v>n</v>
      </c>
      <c r="L255">
        <f>IF(ISBLANK(D255),IF(E255&gt;0,F255-E255+1,0),0)</f>
        <v>0</v>
      </c>
      <c r="M255" s="45">
        <f>IF(ISBLANK(D255),0,IF(G255=0,F255-E255+1,0))</f>
        <v>4</v>
      </c>
      <c r="Q255" s="42" t="str">
        <f>C255&amp;IF(ISBLANK(D255),"","=")&amp;D255</f>
        <v>SpeedPercentage_Spindle=42</v>
      </c>
      <c r="S255" s="39">
        <v>100</v>
      </c>
      <c r="T255" s="42" t="str">
        <f>C255&amp;IF(ISBLANK(S255),"","=")&amp;S255</f>
        <v>SpeedPercentage_Spindle=100</v>
      </c>
      <c r="U255" s="39">
        <v>11</v>
      </c>
      <c r="V255" s="42" t="str">
        <f>C255&amp;IF(ISBLANK(U255),"","=")&amp;U255</f>
        <v>SpeedPercentage_Spindle=11</v>
      </c>
    </row>
    <row r="256" spans="1:25" x14ac:dyDescent="0.25">
      <c r="A256">
        <v>255</v>
      </c>
      <c r="C256" s="39" t="s">
        <v>278</v>
      </c>
      <c r="Q256" s="42" t="str">
        <f>C256&amp;IF(ISBLANK(D256),"","=")&amp;D256</f>
        <v>;Z Axis</v>
      </c>
      <c r="T256" s="42" t="str">
        <f>C256&amp;IF(ISBLANK(S256),"","=")&amp;S256</f>
        <v>;Z Axis</v>
      </c>
      <c r="V256" s="42" t="str">
        <f>C256&amp;IF(ISBLANK(U256),"","=")&amp;U256</f>
        <v>;Z Axis</v>
      </c>
    </row>
    <row r="257" spans="1:22" x14ac:dyDescent="0.25">
      <c r="A257">
        <v>256</v>
      </c>
      <c r="B257" t="s">
        <v>441</v>
      </c>
      <c r="C257" s="39" t="s">
        <v>363</v>
      </c>
      <c r="D257" s="39">
        <v>5043</v>
      </c>
      <c r="E257" s="26">
        <v>996</v>
      </c>
      <c r="F257" s="26">
        <v>999</v>
      </c>
      <c r="G257" s="26"/>
      <c r="H257" s="49" t="str">
        <f>DEC2HEX(I257)</f>
        <v>B9</v>
      </c>
      <c r="I257" s="27">
        <v>185</v>
      </c>
      <c r="J257" s="27" t="str">
        <f>CHAR(I257)</f>
        <v>¹</v>
      </c>
      <c r="L257">
        <f>IF(ISBLANK(D257),IF(E257&gt;0,F257-E257+1,0),0)</f>
        <v>0</v>
      </c>
      <c r="M257" s="45">
        <f>IF(ISBLANK(D257),0,IF(G257=0,F257-E257+1,0))</f>
        <v>4</v>
      </c>
      <c r="Q257" s="42" t="str">
        <f>C257&amp;IF(ISBLANK(D257),"","=")&amp;D257</f>
        <v>MaxSpeed_Z=5043</v>
      </c>
      <c r="S257" s="39">
        <v>30000</v>
      </c>
      <c r="T257" s="42" t="str">
        <f>C257&amp;IF(ISBLANK(S257),"","=")&amp;S257</f>
        <v>MaxSpeed_Z=30000</v>
      </c>
      <c r="U257" s="39">
        <v>1000</v>
      </c>
      <c r="V257" s="42" t="str">
        <f>C257&amp;IF(ISBLANK(U257),"","=")&amp;U257</f>
        <v>MaxSpeed_Z=1000</v>
      </c>
    </row>
    <row r="258" spans="1:22" x14ac:dyDescent="0.25">
      <c r="A258">
        <v>257</v>
      </c>
      <c r="B258" t="s">
        <v>441</v>
      </c>
      <c r="C258" s="39" t="s">
        <v>364</v>
      </c>
      <c r="D258" s="39">
        <v>20000</v>
      </c>
      <c r="E258" s="26">
        <v>1008</v>
      </c>
      <c r="F258" s="26">
        <v>1011</v>
      </c>
      <c r="G258" s="26"/>
      <c r="H258" s="49" t="str">
        <f>DEC2HEX(I258)</f>
        <v>BA</v>
      </c>
      <c r="I258" s="27">
        <v>186</v>
      </c>
      <c r="J258" s="27" t="str">
        <f>CHAR(I258)</f>
        <v>º</v>
      </c>
      <c r="L258">
        <f>IF(ISBLANK(D258),IF(E258&gt;0,F258-E258+1,0),0)</f>
        <v>0</v>
      </c>
      <c r="M258" s="45">
        <f>IF(ISBLANK(D258),0,IF(G258=0,F258-E258+1,0))</f>
        <v>4</v>
      </c>
      <c r="Q258" s="42" t="str">
        <f>C258&amp;IF(ISBLANK(D258),"","=")&amp;D258</f>
        <v>Accel_Z=20000</v>
      </c>
      <c r="S258" s="39">
        <v>20000</v>
      </c>
      <c r="T258" s="42" t="str">
        <f>C258&amp;IF(ISBLANK(S258),"","=")&amp;S258</f>
        <v>Accel_Z=20000</v>
      </c>
      <c r="U258" s="39">
        <v>1000</v>
      </c>
      <c r="V258" s="42" t="str">
        <f>C258&amp;IF(ISBLANK(U258),"","=")&amp;U258</f>
        <v>Accel_Z=1000</v>
      </c>
    </row>
    <row r="259" spans="1:22" x14ac:dyDescent="0.25">
      <c r="A259">
        <v>258</v>
      </c>
      <c r="B259" t="s">
        <v>441</v>
      </c>
      <c r="C259" s="39" t="s">
        <v>365</v>
      </c>
      <c r="D259" s="39">
        <v>45</v>
      </c>
      <c r="E259" s="26">
        <v>48</v>
      </c>
      <c r="F259" s="26">
        <v>51</v>
      </c>
      <c r="G259" s="26">
        <v>0</v>
      </c>
      <c r="H259" s="49" t="str">
        <f>DEC2HEX(I259)</f>
        <v>6F</v>
      </c>
      <c r="I259" s="26">
        <v>111</v>
      </c>
      <c r="J259" s="27" t="str">
        <f>CHAR(I259)</f>
        <v>o</v>
      </c>
      <c r="L259">
        <f>IF(ISBLANK(D259),IF(E259&gt;0,F259-E259+1,0),0)</f>
        <v>0</v>
      </c>
      <c r="M259" s="45">
        <f>IF(ISBLANK(D259),0,IF(G259=0,F259-E259+1,0))</f>
        <v>4</v>
      </c>
      <c r="Q259" s="42" t="str">
        <f>C259&amp;IF(ISBLANK(D259),"","=")&amp;D259</f>
        <v>SpeedPercentage_Z=45</v>
      </c>
      <c r="S259" s="39">
        <v>100</v>
      </c>
      <c r="T259" s="42" t="str">
        <f>C259&amp;IF(ISBLANK(S259),"","=")&amp;S259</f>
        <v>SpeedPercentage_Z=100</v>
      </c>
      <c r="U259" s="39">
        <v>11</v>
      </c>
      <c r="V259" s="42" t="str">
        <f>C259&amp;IF(ISBLANK(U259),"","=")&amp;U259</f>
        <v>SpeedPercentage_Z=11</v>
      </c>
    </row>
    <row r="260" spans="1:22" x14ac:dyDescent="0.25">
      <c r="A260">
        <v>259</v>
      </c>
      <c r="C260" s="39" t="s">
        <v>279</v>
      </c>
      <c r="Q260" s="42" t="str">
        <f>C260&amp;IF(ISBLANK(D260),"","=")&amp;D260</f>
        <v>;X Axis</v>
      </c>
      <c r="T260" s="42" t="str">
        <f>C260&amp;IF(ISBLANK(S260),"","=")&amp;S260</f>
        <v>;X Axis</v>
      </c>
      <c r="V260" s="42" t="str">
        <f>C260&amp;IF(ISBLANK(U260),"","=")&amp;U260</f>
        <v>;X Axis</v>
      </c>
    </row>
    <row r="261" spans="1:22" x14ac:dyDescent="0.25">
      <c r="A261">
        <v>260</v>
      </c>
      <c r="B261" t="s">
        <v>441</v>
      </c>
      <c r="C261" s="39" t="s">
        <v>366</v>
      </c>
      <c r="D261" s="39">
        <v>5046</v>
      </c>
      <c r="E261" s="26">
        <v>960</v>
      </c>
      <c r="F261" s="26">
        <v>963</v>
      </c>
      <c r="G261" s="26"/>
      <c r="H261" s="49" t="str">
        <f>DEC2HEX(I261)</f>
        <v>B9</v>
      </c>
      <c r="I261" s="27">
        <v>185</v>
      </c>
      <c r="J261" s="27" t="str">
        <f>CHAR(I261)</f>
        <v>¹</v>
      </c>
      <c r="L261">
        <f>IF(ISBLANK(D261),IF(E261&gt;0,F261-E261+1,0),0)</f>
        <v>0</v>
      </c>
      <c r="M261" s="45">
        <f>IF(ISBLANK(D261),0,IF(G261=0,F261-E261+1,0))</f>
        <v>4</v>
      </c>
      <c r="Q261" s="42" t="str">
        <f>C261&amp;IF(ISBLANK(D261),"","=")&amp;D261</f>
        <v>MaxSpeed_X=5046</v>
      </c>
      <c r="S261" s="39">
        <v>30000</v>
      </c>
      <c r="T261" s="42" t="str">
        <f>C261&amp;IF(ISBLANK(S261),"","=")&amp;S261</f>
        <v>MaxSpeed_X=30000</v>
      </c>
      <c r="U261" s="39">
        <v>1000</v>
      </c>
      <c r="V261" s="42" t="str">
        <f>C261&amp;IF(ISBLANK(U261),"","=")&amp;U261</f>
        <v>MaxSpeed_X=1000</v>
      </c>
    </row>
    <row r="262" spans="1:22" x14ac:dyDescent="0.25">
      <c r="A262">
        <v>261</v>
      </c>
      <c r="B262" t="s">
        <v>441</v>
      </c>
      <c r="C262" s="39" t="s">
        <v>367</v>
      </c>
      <c r="D262" s="39">
        <v>20000</v>
      </c>
      <c r="E262" s="26">
        <v>980</v>
      </c>
      <c r="F262" s="26">
        <v>983</v>
      </c>
      <c r="G262" s="26"/>
      <c r="H262" s="49" t="str">
        <f>DEC2HEX(I262)</f>
        <v>BA</v>
      </c>
      <c r="I262" s="27">
        <v>186</v>
      </c>
      <c r="J262" s="27" t="str">
        <f>CHAR(I262)</f>
        <v>º</v>
      </c>
      <c r="L262">
        <f>IF(ISBLANK(D262),IF(E262&gt;0,F262-E262+1,0),0)</f>
        <v>0</v>
      </c>
      <c r="M262" s="45">
        <f>IF(ISBLANK(D262),0,IF(G262=0,F262-E262+1,0))</f>
        <v>4</v>
      </c>
      <c r="Q262" s="42" t="str">
        <f>C262&amp;IF(ISBLANK(D262),"","=")&amp;D262</f>
        <v>Accel_X=20000</v>
      </c>
      <c r="S262" s="39">
        <v>20000</v>
      </c>
      <c r="T262" s="42" t="str">
        <f>C262&amp;IF(ISBLANK(S262),"","=")&amp;S262</f>
        <v>Accel_X=20000</v>
      </c>
      <c r="U262" s="39">
        <v>1000</v>
      </c>
      <c r="V262" s="42" t="str">
        <f>C262&amp;IF(ISBLANK(U262),"","=")&amp;U262</f>
        <v>Accel_X=1000</v>
      </c>
    </row>
    <row r="263" spans="1:22" x14ac:dyDescent="0.25">
      <c r="A263">
        <v>262</v>
      </c>
      <c r="B263" t="s">
        <v>441</v>
      </c>
      <c r="C263" s="39" t="s">
        <v>368</v>
      </c>
      <c r="D263" s="39">
        <v>48</v>
      </c>
      <c r="E263" s="26">
        <v>48</v>
      </c>
      <c r="F263" s="26">
        <v>51</v>
      </c>
      <c r="G263" s="26">
        <v>8</v>
      </c>
      <c r="H263" s="49" t="str">
        <f>DEC2HEX(I263)</f>
        <v>6F</v>
      </c>
      <c r="I263" s="26">
        <v>111</v>
      </c>
      <c r="J263" s="27" t="str">
        <f>CHAR(I263)</f>
        <v>o</v>
      </c>
      <c r="L263">
        <f>IF(ISBLANK(D263),IF(E263&gt;0,F263-E263+1,0),0)</f>
        <v>0</v>
      </c>
      <c r="M263" s="45">
        <f>IF(ISBLANK(D263),0,IF(G263=0,F263-E263+1,0))</f>
        <v>0</v>
      </c>
      <c r="Q263" s="42" t="str">
        <f>C263&amp;IF(ISBLANK(D263),"","=")&amp;D263</f>
        <v>SpeedPercentage_X=48</v>
      </c>
      <c r="S263" s="39">
        <v>100</v>
      </c>
      <c r="T263" s="42" t="str">
        <f>C263&amp;IF(ISBLANK(S263),"","=")&amp;S263</f>
        <v>SpeedPercentage_X=100</v>
      </c>
      <c r="U263" s="39">
        <v>11</v>
      </c>
      <c r="V263" s="42" t="str">
        <f>C263&amp;IF(ISBLANK(U263),"","=")&amp;U263</f>
        <v>SpeedPercentage_X=11</v>
      </c>
    </row>
    <row r="264" spans="1:22" x14ac:dyDescent="0.25">
      <c r="A264">
        <v>263</v>
      </c>
      <c r="C264" s="39" t="s">
        <v>281</v>
      </c>
      <c r="Q264" s="42" t="str">
        <f>C264&amp;IF(ISBLANK(D264),"","=")&amp;D264</f>
        <v>;M3 Axis</v>
      </c>
      <c r="T264" s="42" t="str">
        <f>C264&amp;IF(ISBLANK(S264),"","=")&amp;S264</f>
        <v>;M3 Axis</v>
      </c>
      <c r="V264" s="42" t="str">
        <f>C264&amp;IF(ISBLANK(U264),"","=")&amp;U264</f>
        <v>;M3 Axis</v>
      </c>
    </row>
    <row r="265" spans="1:22" x14ac:dyDescent="0.25">
      <c r="A265">
        <v>264</v>
      </c>
      <c r="B265" t="s">
        <v>441</v>
      </c>
      <c r="C265" s="39" t="s">
        <v>375</v>
      </c>
      <c r="D265" s="39">
        <v>5048</v>
      </c>
      <c r="E265" s="26">
        <v>796</v>
      </c>
      <c r="F265" s="26">
        <v>799</v>
      </c>
      <c r="G265" s="26"/>
      <c r="H265" s="49" t="str">
        <f>DEC2HEX(I265)</f>
        <v>B9</v>
      </c>
      <c r="I265" s="27">
        <v>185</v>
      </c>
      <c r="J265" s="27" t="str">
        <f>CHAR(I265)</f>
        <v>¹</v>
      </c>
      <c r="L265">
        <f>IF(ISBLANK(D265),IF(E265&gt;0,F265-E265+1,0),0)</f>
        <v>0</v>
      </c>
      <c r="M265" s="45">
        <f>IF(ISBLANK(D265),0,IF(G265=0,F265-E265+1,0))</f>
        <v>4</v>
      </c>
      <c r="Q265" s="42" t="str">
        <f>C265&amp;IF(ISBLANK(D265),"","=")&amp;D265</f>
        <v>MaxSpeed_M3=5048</v>
      </c>
      <c r="S265" s="39">
        <v>30000</v>
      </c>
      <c r="T265" s="42" t="str">
        <f>C265&amp;IF(ISBLANK(S265),"","=")&amp;S265</f>
        <v>MaxSpeed_M3=30000</v>
      </c>
      <c r="U265" s="39">
        <v>1000</v>
      </c>
      <c r="V265" s="42" t="str">
        <f>C265&amp;IF(ISBLANK(U265),"","=")&amp;U265</f>
        <v>MaxSpeed_M3=1000</v>
      </c>
    </row>
    <row r="266" spans="1:22" x14ac:dyDescent="0.25">
      <c r="A266">
        <v>265</v>
      </c>
      <c r="B266" t="s">
        <v>441</v>
      </c>
      <c r="C266" s="39" t="s">
        <v>376</v>
      </c>
      <c r="D266" s="39">
        <v>20000</v>
      </c>
      <c r="E266" s="26">
        <v>800</v>
      </c>
      <c r="F266" s="26">
        <v>803</v>
      </c>
      <c r="G266" s="26"/>
      <c r="H266" s="49" t="str">
        <f>DEC2HEX(I266)</f>
        <v>BA</v>
      </c>
      <c r="I266" s="27">
        <v>186</v>
      </c>
      <c r="J266" s="27" t="str">
        <f>CHAR(I266)</f>
        <v>º</v>
      </c>
      <c r="L266">
        <f>IF(ISBLANK(D266),IF(E266&gt;0,F266-E266+1,0),0)</f>
        <v>0</v>
      </c>
      <c r="M266" s="45">
        <f>IF(ISBLANK(D266),0,IF(G266=0,F266-E266+1,0))</f>
        <v>4</v>
      </c>
      <c r="Q266" s="42" t="str">
        <f>C266&amp;IF(ISBLANK(D266),"","=")&amp;D266</f>
        <v>Accel_M3=20000</v>
      </c>
      <c r="S266" s="39">
        <v>20000</v>
      </c>
      <c r="T266" s="42" t="str">
        <f>C266&amp;IF(ISBLANK(S266),"","=")&amp;S266</f>
        <v>Accel_M3=20000</v>
      </c>
      <c r="U266" s="39">
        <v>1000</v>
      </c>
      <c r="V266" s="42" t="str">
        <f>C266&amp;IF(ISBLANK(U266),"","=")&amp;U266</f>
        <v>Accel_M3=1000</v>
      </c>
    </row>
    <row r="267" spans="1:22" x14ac:dyDescent="0.25">
      <c r="A267">
        <v>266</v>
      </c>
      <c r="B267" t="s">
        <v>441</v>
      </c>
      <c r="C267" s="39" t="s">
        <v>377</v>
      </c>
      <c r="D267" s="39">
        <v>49</v>
      </c>
      <c r="E267" s="26">
        <v>48</v>
      </c>
      <c r="F267" s="26">
        <v>51</v>
      </c>
      <c r="G267" s="26">
        <v>16</v>
      </c>
      <c r="H267" s="49" t="str">
        <f>DEC2HEX(I267)</f>
        <v>6F</v>
      </c>
      <c r="I267" s="26">
        <v>111</v>
      </c>
      <c r="J267" s="27" t="str">
        <f>CHAR(I267)</f>
        <v>o</v>
      </c>
      <c r="L267">
        <f>IF(ISBLANK(D267),IF(E267&gt;0,F267-E267+1,0),0)</f>
        <v>0</v>
      </c>
      <c r="M267" s="45">
        <f>IF(ISBLANK(D267),0,IF(G267=0,F267-E267+1,0))</f>
        <v>0</v>
      </c>
      <c r="Q267" s="42" t="str">
        <f>C267&amp;IF(ISBLANK(D267),"","=")&amp;D267</f>
        <v>SpeedPercentage_M3=49</v>
      </c>
      <c r="S267" s="39">
        <v>100</v>
      </c>
      <c r="T267" s="42" t="str">
        <f>C267&amp;IF(ISBLANK(S267),"","=")&amp;S267</f>
        <v>SpeedPercentage_M3=100</v>
      </c>
      <c r="U267" s="39">
        <v>11</v>
      </c>
      <c r="V267" s="42" t="str">
        <f>C267&amp;IF(ISBLANK(U267),"","=")&amp;U267</f>
        <v>SpeedPercentage_M3=11</v>
      </c>
    </row>
    <row r="268" spans="1:22" x14ac:dyDescent="0.25">
      <c r="A268">
        <v>267</v>
      </c>
      <c r="C268" s="39" t="s">
        <v>282</v>
      </c>
      <c r="Q268" s="42" t="str">
        <f>C268&amp;IF(ISBLANK(D268),"","=")&amp;D268</f>
        <v>;M4 Axis</v>
      </c>
      <c r="T268" s="42" t="str">
        <f>C268&amp;IF(ISBLANK(S268),"","=")&amp;S268</f>
        <v>;M4 Axis</v>
      </c>
      <c r="V268" s="42" t="str">
        <f>C268&amp;IF(ISBLANK(U268),"","=")&amp;U268</f>
        <v>;M4 Axis</v>
      </c>
    </row>
    <row r="269" spans="1:22" x14ac:dyDescent="0.25">
      <c r="A269">
        <v>268</v>
      </c>
      <c r="B269" t="s">
        <v>441</v>
      </c>
      <c r="C269" s="39" t="s">
        <v>378</v>
      </c>
      <c r="D269" s="39">
        <v>5048</v>
      </c>
      <c r="E269" s="26">
        <v>964</v>
      </c>
      <c r="F269" s="26">
        <v>967</v>
      </c>
      <c r="G269" s="26"/>
      <c r="H269" s="49" t="str">
        <f>DEC2HEX(I269)</f>
        <v>B9</v>
      </c>
      <c r="I269" s="27">
        <v>185</v>
      </c>
      <c r="J269" s="27" t="str">
        <f>CHAR(I269)</f>
        <v>¹</v>
      </c>
      <c r="L269">
        <f>IF(ISBLANK(D269),IF(E269&gt;0,F269-E269+1,0),0)</f>
        <v>0</v>
      </c>
      <c r="M269" s="45">
        <f>IF(ISBLANK(D269),0,IF(G269=0,F269-E269+1,0))</f>
        <v>4</v>
      </c>
      <c r="Q269" s="42" t="str">
        <f>C269&amp;IF(ISBLANK(D269),"","=")&amp;D269</f>
        <v>MaxSpeed_M4=5048</v>
      </c>
      <c r="S269" s="39">
        <v>30000</v>
      </c>
      <c r="T269" s="42" t="str">
        <f>C269&amp;IF(ISBLANK(S269),"","=")&amp;S269</f>
        <v>MaxSpeed_M4=30000</v>
      </c>
      <c r="U269" s="39">
        <v>1000</v>
      </c>
      <c r="V269" s="42" t="str">
        <f>C269&amp;IF(ISBLANK(U269),"","=")&amp;U269</f>
        <v>MaxSpeed_M4=1000</v>
      </c>
    </row>
    <row r="270" spans="1:22" x14ac:dyDescent="0.25">
      <c r="A270">
        <v>269</v>
      </c>
      <c r="B270" t="s">
        <v>441</v>
      </c>
      <c r="C270" s="39" t="s">
        <v>379</v>
      </c>
      <c r="D270" s="39">
        <v>20000</v>
      </c>
      <c r="E270" s="26">
        <v>976</v>
      </c>
      <c r="F270" s="26">
        <v>979</v>
      </c>
      <c r="G270" s="26"/>
      <c r="H270" s="49" t="str">
        <f>DEC2HEX(I270)</f>
        <v>BA</v>
      </c>
      <c r="I270" s="27">
        <v>186</v>
      </c>
      <c r="J270" s="27" t="str">
        <f>CHAR(I270)</f>
        <v>º</v>
      </c>
      <c r="L270">
        <f>IF(ISBLANK(D270),IF(E270&gt;0,F270-E270+1,0),0)</f>
        <v>0</v>
      </c>
      <c r="M270" s="45">
        <f>IF(ISBLANK(D270),0,IF(G270=0,F270-E270+1,0))</f>
        <v>4</v>
      </c>
      <c r="Q270" s="42" t="str">
        <f>C270&amp;IF(ISBLANK(D270),"","=")&amp;D270</f>
        <v>Accel_M4=20000</v>
      </c>
      <c r="S270" s="39">
        <v>20000</v>
      </c>
      <c r="T270" s="42" t="str">
        <f>C270&amp;IF(ISBLANK(S270),"","=")&amp;S270</f>
        <v>Accel_M4=20000</v>
      </c>
      <c r="U270" s="39">
        <v>1000</v>
      </c>
      <c r="V270" s="42" t="str">
        <f>C270&amp;IF(ISBLANK(U270),"","=")&amp;U270</f>
        <v>Accel_M4=1000</v>
      </c>
    </row>
    <row r="271" spans="1:22" x14ac:dyDescent="0.25">
      <c r="A271">
        <v>270</v>
      </c>
      <c r="B271" t="s">
        <v>441</v>
      </c>
      <c r="C271" s="39" t="s">
        <v>380</v>
      </c>
      <c r="D271" s="39">
        <v>49</v>
      </c>
      <c r="E271" s="26">
        <v>48</v>
      </c>
      <c r="F271" s="26">
        <v>51</v>
      </c>
      <c r="G271" s="26">
        <v>24</v>
      </c>
      <c r="H271" s="49" t="str">
        <f>DEC2HEX(I271)</f>
        <v>6F</v>
      </c>
      <c r="I271" s="26">
        <v>111</v>
      </c>
      <c r="J271" s="27" t="str">
        <f>CHAR(I271)</f>
        <v>o</v>
      </c>
      <c r="L271">
        <f>IF(ISBLANK(D271),IF(E271&gt;0,F271-E271+1,0),0)</f>
        <v>0</v>
      </c>
      <c r="M271" s="45">
        <f>IF(ISBLANK(D271),0,IF(G271=0,F271-E271+1,0))</f>
        <v>0</v>
      </c>
      <c r="Q271" s="42" t="str">
        <f>C271&amp;IF(ISBLANK(D271),"","=")&amp;D271</f>
        <v>SpeedPercentage_M4=49</v>
      </c>
      <c r="S271" s="39">
        <v>100</v>
      </c>
      <c r="T271" s="42" t="str">
        <f>C271&amp;IF(ISBLANK(S271),"","=")&amp;S271</f>
        <v>SpeedPercentage_M4=100</v>
      </c>
      <c r="U271" s="39">
        <v>11</v>
      </c>
      <c r="V271" s="42" t="str">
        <f>C271&amp;IF(ISBLANK(U271),"","=")&amp;U271</f>
        <v>SpeedPercentage_M4=11</v>
      </c>
    </row>
    <row r="272" spans="1:22" x14ac:dyDescent="0.25">
      <c r="A272">
        <v>271</v>
      </c>
      <c r="C272" s="39" t="s">
        <v>229</v>
      </c>
      <c r="Q272" s="42" t="str">
        <f>C272&amp;IF(ISBLANK(D272),"","=")&amp;D272</f>
        <v>;</v>
      </c>
      <c r="T272" s="42" t="str">
        <f>C272&amp;IF(ISBLANK(S272),"","=")&amp;S272</f>
        <v>;</v>
      </c>
      <c r="V272" s="42" t="str">
        <f>C272&amp;IF(ISBLANK(U272),"","=")&amp;U272</f>
        <v>;</v>
      </c>
    </row>
    <row r="273" spans="1:25" x14ac:dyDescent="0.25">
      <c r="A273">
        <v>272</v>
      </c>
      <c r="B273" s="80"/>
      <c r="C273" s="81" t="s">
        <v>302</v>
      </c>
      <c r="D273" s="81"/>
      <c r="E273" s="80"/>
      <c r="F273" s="80"/>
      <c r="G273" s="80"/>
      <c r="H273" s="82"/>
      <c r="I273" s="80"/>
      <c r="J273" s="80"/>
      <c r="K273" s="81"/>
      <c r="L273" s="80"/>
      <c r="M273" s="83"/>
      <c r="N273" s="80"/>
      <c r="O273" s="80"/>
      <c r="P273" s="80"/>
      <c r="Q273" s="80" t="str">
        <f>C273&amp;IF(ISBLANK(D273),"","=")&amp;D273</f>
        <v>[Sync]</v>
      </c>
      <c r="R273" s="80"/>
      <c r="S273" s="81"/>
      <c r="T273" s="80" t="str">
        <f>C273&amp;IF(ISBLANK(S273),"","=")&amp;S273</f>
        <v>[Sync]</v>
      </c>
      <c r="U273" s="81"/>
      <c r="V273" s="42" t="str">
        <f>C273&amp;IF(ISBLANK(U273),"","=")&amp;U273</f>
        <v>[Sync]</v>
      </c>
      <c r="W273" s="80"/>
      <c r="X273" s="80"/>
      <c r="Y273" s="80"/>
    </row>
    <row r="274" spans="1:25" x14ac:dyDescent="0.25">
      <c r="A274">
        <v>273</v>
      </c>
      <c r="C274" s="39" t="s">
        <v>229</v>
      </c>
      <c r="Q274" s="42" t="str">
        <f>C274&amp;IF(ISBLANK(D274),"","=")&amp;D274</f>
        <v>;</v>
      </c>
      <c r="T274" s="42" t="str">
        <f>C274&amp;IF(ISBLANK(S274),"","=")&amp;S274</f>
        <v>;</v>
      </c>
      <c r="V274" s="42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39" t="s">
        <v>404</v>
      </c>
      <c r="D275" s="39">
        <v>0</v>
      </c>
      <c r="E275" s="26">
        <v>20</v>
      </c>
      <c r="F275" s="26">
        <v>23</v>
      </c>
      <c r="G275" s="26">
        <v>24</v>
      </c>
      <c r="H275" s="49" t="str">
        <f>DEC2HEX(I275)</f>
        <v>49</v>
      </c>
      <c r="I275" s="27">
        <v>73</v>
      </c>
      <c r="J275" s="27" t="str">
        <f>CHAR(I275)</f>
        <v>I</v>
      </c>
      <c r="L275">
        <f>IF(ISBLANK(D275),IF(E275&gt;0,F275-E275+1,0),0)</f>
        <v>0</v>
      </c>
      <c r="M275" s="45">
        <f>IF(ISBLANK(D275),0,IF(G275=0,F275-E275+1,0))</f>
        <v>0</v>
      </c>
      <c r="Q275" s="42" t="str">
        <f>C275&amp;IF(ISBLANK(D275),"","=")&amp;D275</f>
        <v>HelixType=0</v>
      </c>
      <c r="S275" s="39">
        <v>0</v>
      </c>
      <c r="T275" s="42" t="str">
        <f>C275&amp;IF(ISBLANK(S275),"","=")&amp;S275</f>
        <v>HelixType=0</v>
      </c>
      <c r="U275" s="39">
        <v>1</v>
      </c>
      <c r="V275" s="42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107" t="s">
        <v>405</v>
      </c>
      <c r="D276" s="107">
        <v>0.3</v>
      </c>
      <c r="E276" s="26">
        <v>612</v>
      </c>
      <c r="F276" s="26">
        <v>619</v>
      </c>
      <c r="G276" s="26"/>
      <c r="H276" s="49" t="str">
        <f>DEC2HEX(I276)</f>
        <v>C0</v>
      </c>
      <c r="I276" s="27">
        <v>192</v>
      </c>
      <c r="J276" s="27" t="str">
        <f>CHAR(I276)</f>
        <v>À</v>
      </c>
      <c r="L276">
        <f>IF(ISBLANK(D276),IF(E276&gt;0,F276-E276+1,0),0)</f>
        <v>0</v>
      </c>
      <c r="M276" s="45">
        <f>IF(ISBLANK(D276),0,IF(G276=0,F276-E276+1,0))</f>
        <v>8</v>
      </c>
      <c r="Q276" s="42" t="str">
        <f>C276&amp;IF(ISBLANK(D276),"","=")&amp;D276</f>
        <v>Revolutions=0.3</v>
      </c>
      <c r="S276" s="39">
        <v>0.5</v>
      </c>
      <c r="T276" s="42" t="str">
        <f>C276&amp;IF(ISBLANK(S276),"","=")&amp;S276</f>
        <v>Revolutions=0.5</v>
      </c>
      <c r="U276" s="39">
        <v>11</v>
      </c>
      <c r="V276" s="42" t="str">
        <f>C276&amp;IF(ISBLANK(U276),"","=")&amp;U276</f>
        <v>Revolutions=11</v>
      </c>
    </row>
    <row r="277" spans="1:25" s="29" customFormat="1" x14ac:dyDescent="0.25">
      <c r="A277">
        <v>276</v>
      </c>
      <c r="B277" t="s">
        <v>35</v>
      </c>
      <c r="C277" s="107" t="s">
        <v>406</v>
      </c>
      <c r="D277" s="107">
        <v>1.258</v>
      </c>
      <c r="E277" s="26">
        <v>628</v>
      </c>
      <c r="F277" s="26">
        <v>635</v>
      </c>
      <c r="G277" s="26"/>
      <c r="H277" s="49" t="str">
        <f>DEC2HEX(I277)</f>
        <v>C1</v>
      </c>
      <c r="I277" s="27">
        <v>193</v>
      </c>
      <c r="J277" s="27" t="str">
        <f>CHAR(I277)</f>
        <v>Á</v>
      </c>
      <c r="K277" s="39"/>
      <c r="L277">
        <f>IF(ISBLANK(D277),IF(E277&gt;0,F277-E277+1,0),0)</f>
        <v>0</v>
      </c>
      <c r="M277" s="45">
        <f>IF(ISBLANK(D277),0,IF(G277=0,F277-E277+1,0))</f>
        <v>8</v>
      </c>
      <c r="N277" s="54"/>
      <c r="O277" s="54"/>
      <c r="P277" s="54"/>
      <c r="Q277" s="42" t="str">
        <f>C277&amp;IF(ISBLANK(D277),"","=")&amp;D277</f>
        <v>Distance=1.258</v>
      </c>
      <c r="R277"/>
      <c r="S277" s="39">
        <v>0.02</v>
      </c>
      <c r="T277" s="42" t="str">
        <f>C277&amp;IF(ISBLANK(S277),"","=")&amp;S277</f>
        <v>Distance=0.02</v>
      </c>
      <c r="U277" s="39">
        <v>11</v>
      </c>
      <c r="V277" s="42" t="str">
        <f>C277&amp;IF(ISBLANK(U277),"","=")&amp;U277</f>
        <v>Distance=11</v>
      </c>
      <c r="W277"/>
      <c r="X277"/>
      <c r="Y277"/>
    </row>
    <row r="278" spans="1:25" s="80" customFormat="1" x14ac:dyDescent="0.25">
      <c r="A278">
        <v>277</v>
      </c>
      <c r="B278"/>
      <c r="C278" s="39" t="s">
        <v>229</v>
      </c>
      <c r="D278" s="39"/>
      <c r="E278"/>
      <c r="F278"/>
      <c r="G278"/>
      <c r="H278" s="38"/>
      <c r="I278"/>
      <c r="J278"/>
      <c r="K278" s="39"/>
      <c r="L278"/>
      <c r="M278" s="45"/>
      <c r="N278" s="54"/>
      <c r="O278" s="54"/>
      <c r="P278" s="54"/>
      <c r="Q278" s="42" t="str">
        <f>C278&amp;IF(ISBLANK(D278),"","=")&amp;D278</f>
        <v>;</v>
      </c>
      <c r="R278"/>
      <c r="S278" s="39"/>
      <c r="T278" s="42" t="str">
        <f>C278&amp;IF(ISBLANK(S278),"","=")&amp;S278</f>
        <v>;</v>
      </c>
      <c r="U278" s="39"/>
      <c r="V278" s="42" t="str">
        <f>C278&amp;IF(ISBLANK(U278),"","=")&amp;U278</f>
        <v>;</v>
      </c>
      <c r="W278"/>
      <c r="X278"/>
      <c r="Y278"/>
    </row>
    <row r="279" spans="1:25" x14ac:dyDescent="0.25">
      <c r="A279">
        <v>278</v>
      </c>
      <c r="B279" s="80"/>
      <c r="C279" s="81" t="s">
        <v>303</v>
      </c>
      <c r="D279" s="81"/>
      <c r="E279" s="80"/>
      <c r="F279" s="80"/>
      <c r="G279" s="80"/>
      <c r="H279" s="82"/>
      <c r="I279" s="80"/>
      <c r="J279" s="80"/>
      <c r="K279" s="81"/>
      <c r="L279" s="80"/>
      <c r="M279" s="83"/>
      <c r="N279" s="80"/>
      <c r="O279" s="80"/>
      <c r="P279" s="80"/>
      <c r="Q279" s="80" t="str">
        <f>C279&amp;IF(ISBLANK(D279),"","=")&amp;D279</f>
        <v>[Recip]</v>
      </c>
      <c r="R279" s="80"/>
      <c r="S279" s="81"/>
      <c r="T279" s="80" t="str">
        <f>C279&amp;IF(ISBLANK(S279),"","=")&amp;S279</f>
        <v>[Recip]</v>
      </c>
      <c r="U279" s="81"/>
      <c r="V279" s="42" t="str">
        <f>C279&amp;IF(ISBLANK(U279),"","=")&amp;U279</f>
        <v>[Recip]</v>
      </c>
      <c r="W279" s="80"/>
      <c r="X279" s="80"/>
      <c r="Y279" s="80"/>
    </row>
    <row r="280" spans="1:25" x14ac:dyDescent="0.25">
      <c r="A280">
        <v>279</v>
      </c>
      <c r="C280" s="39" t="s">
        <v>229</v>
      </c>
      <c r="Q280" s="42" t="str">
        <f>C280&amp;IF(ISBLANK(D280),"","=")&amp;D280</f>
        <v>;</v>
      </c>
      <c r="T280" s="42" t="str">
        <f>C280&amp;IF(ISBLANK(S280),"","=")&amp;S280</f>
        <v>;</v>
      </c>
      <c r="V280" s="42" t="str">
        <f>C280&amp;IF(ISBLANK(U280),"","=")&amp;U280</f>
        <v>;</v>
      </c>
    </row>
    <row r="281" spans="1:25" x14ac:dyDescent="0.25">
      <c r="A281">
        <v>280</v>
      </c>
      <c r="C281" s="39" t="s">
        <v>530</v>
      </c>
      <c r="Q281" s="42" t="str">
        <f>C281&amp;IF(ISBLANK(D281),"","=")&amp;D281</f>
        <v>; 1: Equal Angle 2: Square 3: Sawtooth</v>
      </c>
      <c r="T281" s="42" t="str">
        <f>C281&amp;IF(ISBLANK(S281),"","=")&amp;S281</f>
        <v>; 1: Equal Angle 2: Square 3: Sawtooth</v>
      </c>
      <c r="V281" s="42" t="str">
        <f>C281&amp;IF(ISBLANK(U281),"","=")&amp;U281</f>
        <v>; 1: Equal Angle 2: Square 3: Sawtooth</v>
      </c>
    </row>
    <row r="282" spans="1:25" x14ac:dyDescent="0.25">
      <c r="A282">
        <v>281</v>
      </c>
      <c r="B282" t="s">
        <v>438</v>
      </c>
      <c r="C282" s="107" t="s">
        <v>407</v>
      </c>
      <c r="D282" s="107">
        <v>1</v>
      </c>
      <c r="E282" s="26">
        <v>436</v>
      </c>
      <c r="F282" s="26">
        <v>439</v>
      </c>
      <c r="G282" s="26">
        <v>16</v>
      </c>
      <c r="H282" s="49" t="str">
        <f>DEC2HEX(I282)</f>
        <v>44</v>
      </c>
      <c r="I282" s="27">
        <v>68</v>
      </c>
      <c r="J282" s="27" t="str">
        <f>CHAR(I282)</f>
        <v>D</v>
      </c>
      <c r="K282" s="102"/>
      <c r="L282">
        <f>IF(ISBLANK(D282),IF(E282&gt;0,F282-E282+1,0),0)</f>
        <v>0</v>
      </c>
      <c r="M282" s="45">
        <f>IF(ISBLANK(D282),0,IF(G282=0,F282-E282+1,0))</f>
        <v>0</v>
      </c>
      <c r="Q282" s="42" t="str">
        <f>C282&amp;IF(ISBLANK(D282),"","=")&amp;D282</f>
        <v>Style=1</v>
      </c>
      <c r="S282" s="39">
        <v>1</v>
      </c>
      <c r="T282" s="42" t="str">
        <f>C282&amp;IF(ISBLANK(S282),"","=")&amp;S282</f>
        <v>Style=1</v>
      </c>
      <c r="U282" s="39">
        <v>2</v>
      </c>
      <c r="V282" s="42" t="str">
        <f>C282&amp;IF(ISBLANK(U282),"","=")&amp;U282</f>
        <v>Style=2</v>
      </c>
    </row>
    <row r="283" spans="1:25" x14ac:dyDescent="0.25">
      <c r="A283">
        <v>282</v>
      </c>
      <c r="C283" s="39" t="s">
        <v>304</v>
      </c>
      <c r="K283" s="102"/>
      <c r="Q283" s="42" t="str">
        <f>C283&amp;IF(ISBLANK(D283),"","=")&amp;D283</f>
        <v>;Radial</v>
      </c>
      <c r="T283" s="42" t="str">
        <f>C283&amp;IF(ISBLANK(S283),"","=")&amp;S283</f>
        <v>;Radial</v>
      </c>
      <c r="V283" s="42" t="str">
        <f>C283&amp;IF(ISBLANK(U283),"","=")&amp;U283</f>
        <v>;Radial</v>
      </c>
    </row>
    <row r="284" spans="1:25" s="80" customFormat="1" x14ac:dyDescent="0.25">
      <c r="A284">
        <v>283</v>
      </c>
      <c r="B284" t="s">
        <v>438</v>
      </c>
      <c r="C284" s="117" t="s">
        <v>409</v>
      </c>
      <c r="D284" s="107">
        <v>5</v>
      </c>
      <c r="E284" s="27">
        <v>556</v>
      </c>
      <c r="F284" s="27">
        <v>559</v>
      </c>
      <c r="G284" s="26"/>
      <c r="H284" s="49" t="str">
        <f>DEC2HEX(I284)</f>
        <v>D4</v>
      </c>
      <c r="I284" s="27">
        <v>212</v>
      </c>
      <c r="J284" s="27" t="str">
        <f>CHAR(I284)</f>
        <v>Ô</v>
      </c>
      <c r="K284" s="102"/>
      <c r="L284">
        <f>IF(ISBLANK(D284),IF(E284&gt;0,F284-E284+1,0),0)</f>
        <v>0</v>
      </c>
      <c r="M284" s="45">
        <f>IF(ISBLANK(D284),0,IF(G284=0,F284-E284+1,0))</f>
        <v>4</v>
      </c>
      <c r="N284" s="54"/>
      <c r="O284" s="54"/>
      <c r="P284" s="54"/>
      <c r="Q284" s="42" t="str">
        <f>C284&amp;IF(ISBLANK(D284),"","=")&amp;D284</f>
        <v>Radial_Waves=5</v>
      </c>
      <c r="R284"/>
      <c r="S284" s="39">
        <v>2</v>
      </c>
      <c r="T284" s="42" t="str">
        <f>C284&amp;IF(ISBLANK(S284),"","=")&amp;S284</f>
        <v>Radial_Waves=2</v>
      </c>
      <c r="U284" s="39">
        <v>11</v>
      </c>
      <c r="V284" s="42" t="str">
        <f>C284&amp;IF(ISBLANK(U284),"","=")&amp;U284</f>
        <v>Radial_Waves=11</v>
      </c>
      <c r="W284"/>
      <c r="X284"/>
      <c r="Y284"/>
    </row>
    <row r="285" spans="1:25" x14ac:dyDescent="0.25">
      <c r="A285">
        <v>284</v>
      </c>
      <c r="B285" t="s">
        <v>438</v>
      </c>
      <c r="C285" s="102" t="s">
        <v>410</v>
      </c>
      <c r="D285" s="39">
        <v>18.123999999999999</v>
      </c>
      <c r="E285" s="27">
        <v>308</v>
      </c>
      <c r="F285" s="27">
        <v>315</v>
      </c>
      <c r="G285" s="26"/>
      <c r="H285" s="49" t="str">
        <f>DEC2HEX(I285)</f>
        <v>D5</v>
      </c>
      <c r="I285" s="27">
        <v>213</v>
      </c>
      <c r="J285" s="27" t="str">
        <f>CHAR(I285)</f>
        <v>Õ</v>
      </c>
      <c r="K285" s="102"/>
      <c r="L285">
        <f>IF(ISBLANK(D285),IF(E285&gt;0,F285-E285+1,0),0)</f>
        <v>0</v>
      </c>
      <c r="M285" s="45">
        <f>IF(ISBLANK(D285),0,IF(G285=0,F285-E285+1,0))</f>
        <v>8</v>
      </c>
      <c r="Q285" s="42" t="str">
        <f>C285&amp;IF(ISBLANK(D285),"","=")&amp;D285</f>
        <v>Radial_Spindle_Degrees=18.124</v>
      </c>
      <c r="S285" s="39">
        <v>60</v>
      </c>
      <c r="T285" s="42" t="str">
        <f>C285&amp;IF(ISBLANK(S285),"","=")&amp;S285</f>
        <v>Radial_Spindle_Degrees=60</v>
      </c>
      <c r="U285" s="39">
        <v>11</v>
      </c>
      <c r="V285" s="42" t="str">
        <f>C285&amp;IF(ISBLANK(U285),"","=")&amp;U285</f>
        <v>Radial_Spindle_Degrees=11</v>
      </c>
    </row>
    <row r="286" spans="1:25" x14ac:dyDescent="0.25">
      <c r="A286">
        <v>285</v>
      </c>
      <c r="B286" t="s">
        <v>438</v>
      </c>
      <c r="C286" s="102" t="s">
        <v>411</v>
      </c>
      <c r="D286" s="39">
        <v>4.258</v>
      </c>
      <c r="E286" s="27">
        <v>232</v>
      </c>
      <c r="F286" s="27">
        <v>239</v>
      </c>
      <c r="G286" s="26"/>
      <c r="H286" s="104" t="str">
        <f>DEC2HEX(I286)</f>
        <v>D6</v>
      </c>
      <c r="I286" s="27">
        <v>214</v>
      </c>
      <c r="J286" s="27" t="str">
        <f>CHAR(I286)</f>
        <v>Ö</v>
      </c>
      <c r="L286">
        <f>IF(ISBLANK(D286),IF(E286&gt;0,F286-E286+1,0),0)</f>
        <v>0</v>
      </c>
      <c r="M286" s="45">
        <f>IF(ISBLANK(D286),0,IF(G286=0,F286-E286+1,0))</f>
        <v>8</v>
      </c>
      <c r="Q286" s="42" t="str">
        <f>C286&amp;IF(ISBLANK(D286),"","=")&amp;D286</f>
        <v>Radial_Axis_Amplitude=4.258</v>
      </c>
      <c r="S286" s="39">
        <v>0.2</v>
      </c>
      <c r="T286" s="42" t="str">
        <f>C286&amp;IF(ISBLANK(S286),"","=")&amp;S286</f>
        <v>Radial_Axis_Amplitude=0.2</v>
      </c>
      <c r="U286" s="39">
        <v>11</v>
      </c>
      <c r="V286" s="42" t="str">
        <f>C286&amp;IF(ISBLANK(U286),"","=")&amp;U286</f>
        <v>Radial_Axis_Amplitude=11</v>
      </c>
    </row>
    <row r="287" spans="1:25" s="29" customFormat="1" x14ac:dyDescent="0.25">
      <c r="A287">
        <v>286</v>
      </c>
      <c r="B287"/>
      <c r="C287" s="102" t="s">
        <v>305</v>
      </c>
      <c r="D287" s="39"/>
      <c r="E287"/>
      <c r="F287"/>
      <c r="G287"/>
      <c r="H287" s="102"/>
      <c r="I287"/>
      <c r="J287"/>
      <c r="K287" s="39"/>
      <c r="L287"/>
      <c r="M287" s="45"/>
      <c r="N287" s="54"/>
      <c r="O287" s="54"/>
      <c r="P287" s="54"/>
      <c r="Q287" s="42" t="str">
        <f>C287&amp;IF(ISBLANK(D287),"","=")&amp;D287</f>
        <v>;Axial</v>
      </c>
      <c r="R287"/>
      <c r="S287" s="39"/>
      <c r="T287" s="42" t="str">
        <f>C287&amp;IF(ISBLANK(S287),"","=")&amp;S287</f>
        <v>;Axial</v>
      </c>
      <c r="U287" s="39"/>
      <c r="V287" s="42" t="str">
        <f>C287&amp;IF(ISBLANK(U287),"","=")&amp;U287</f>
        <v>;Axial</v>
      </c>
      <c r="W287"/>
      <c r="X287"/>
      <c r="Y287"/>
    </row>
    <row r="288" spans="1:25" x14ac:dyDescent="0.25">
      <c r="A288">
        <v>287</v>
      </c>
      <c r="B288" t="s">
        <v>438</v>
      </c>
      <c r="C288" s="107" t="s">
        <v>412</v>
      </c>
      <c r="D288" s="107">
        <v>4</v>
      </c>
      <c r="E288" s="27">
        <v>740</v>
      </c>
      <c r="F288" s="27">
        <v>743</v>
      </c>
      <c r="G288" s="26"/>
      <c r="H288" s="49" t="str">
        <f>DEC2HEX(I288)</f>
        <v>CB</v>
      </c>
      <c r="I288" s="27">
        <v>203</v>
      </c>
      <c r="J288" s="27" t="str">
        <f>CHAR(I288)</f>
        <v>Ë</v>
      </c>
      <c r="L288">
        <f>IF(ISBLANK(D288),IF(E288&gt;0,F288-E288+1,0),0)</f>
        <v>0</v>
      </c>
      <c r="M288" s="45">
        <f>IF(ISBLANK(D288),0,IF(G288=0,F288-E288+1,0))</f>
        <v>4</v>
      </c>
      <c r="Q288" s="42" t="str">
        <f>C288&amp;IF(ISBLANK(D288),"","=")&amp;D288</f>
        <v>Axial_Waves=4</v>
      </c>
      <c r="S288" s="39">
        <v>2</v>
      </c>
      <c r="T288" s="42" t="str">
        <f>C288&amp;IF(ISBLANK(S288),"","=")&amp;S288</f>
        <v>Axial_Waves=2</v>
      </c>
      <c r="U288" s="39">
        <v>11</v>
      </c>
      <c r="V288" s="42" t="str">
        <f>C288&amp;IF(ISBLANK(U288),"","=")&amp;U288</f>
        <v>Axial_Waves=11</v>
      </c>
    </row>
    <row r="289" spans="1:25" x14ac:dyDescent="0.25">
      <c r="A289">
        <v>288</v>
      </c>
      <c r="B289" t="s">
        <v>438</v>
      </c>
      <c r="C289" s="117" t="s">
        <v>413</v>
      </c>
      <c r="D289" s="107">
        <v>22.257999999999999</v>
      </c>
      <c r="E289" s="27">
        <v>744</v>
      </c>
      <c r="F289" s="27">
        <v>751</v>
      </c>
      <c r="G289" s="26"/>
      <c r="H289" s="104" t="str">
        <f>DEC2HEX(I289)</f>
        <v>CC</v>
      </c>
      <c r="I289" s="27">
        <v>204</v>
      </c>
      <c r="J289" s="27" t="str">
        <f>CHAR(I289)</f>
        <v>Ì</v>
      </c>
      <c r="L289">
        <f>IF(ISBLANK(D289),IF(E289&gt;0,F289-E289+1,0),0)</f>
        <v>0</v>
      </c>
      <c r="M289" s="45">
        <f>IF(ISBLANK(D289),0,IF(G289=0,F289-E289+1,0))</f>
        <v>8</v>
      </c>
      <c r="Q289" s="42" t="str">
        <f>C289&amp;IF(ISBLANK(D289),"","=")&amp;D289</f>
        <v>Axial_Spindle_Amplitude=22.258</v>
      </c>
      <c r="S289" s="39">
        <v>20</v>
      </c>
      <c r="T289" s="42" t="str">
        <f>C289&amp;IF(ISBLANK(S289),"","=")&amp;S289</f>
        <v>Axial_Spindle_Amplitude=20</v>
      </c>
      <c r="U289" s="39">
        <v>11</v>
      </c>
      <c r="V289" s="42" t="str">
        <f>C289&amp;IF(ISBLANK(U289),"","=")&amp;U289</f>
        <v>Axial_Spindle_Amplitude=11</v>
      </c>
    </row>
    <row r="290" spans="1:25" x14ac:dyDescent="0.25">
      <c r="A290">
        <v>289</v>
      </c>
      <c r="B290" t="s">
        <v>438</v>
      </c>
      <c r="C290" s="102" t="s">
        <v>414</v>
      </c>
      <c r="D290" s="39">
        <v>7.8959999999999999</v>
      </c>
      <c r="E290" s="27">
        <v>324</v>
      </c>
      <c r="F290" s="27">
        <v>331</v>
      </c>
      <c r="G290" s="26"/>
      <c r="H290" s="49" t="str">
        <f>DEC2HEX(I290)</f>
        <v>CD</v>
      </c>
      <c r="I290" s="27">
        <v>205</v>
      </c>
      <c r="J290" s="27" t="str">
        <f>CHAR(I290)</f>
        <v>Í</v>
      </c>
      <c r="L290">
        <f>IF(ISBLANK(D290),IF(E290&gt;0,F290-E290+1,0),0)</f>
        <v>0</v>
      </c>
      <c r="M290" s="45">
        <f>IF(ISBLANK(D290),0,IF(G290=0,F290-E290+1,0))</f>
        <v>8</v>
      </c>
      <c r="Q290" s="42" t="str">
        <f>C290&amp;IF(ISBLANK(D290),"","=")&amp;D290</f>
        <v>Axial_Axis_Distance=7.896</v>
      </c>
      <c r="S290" s="39">
        <v>0.6</v>
      </c>
      <c r="T290" s="42" t="str">
        <f>C290&amp;IF(ISBLANK(S290),"","=")&amp;S290</f>
        <v>Axial_Axis_Distance=0.6</v>
      </c>
      <c r="U290" s="39">
        <v>11</v>
      </c>
      <c r="V290" s="42" t="str">
        <f>C290&amp;IF(ISBLANK(U290),"","=")&amp;U290</f>
        <v>Axial_Axis_Distance=11</v>
      </c>
    </row>
    <row r="291" spans="1:25" x14ac:dyDescent="0.25">
      <c r="A291">
        <v>290</v>
      </c>
      <c r="B291" t="s">
        <v>438</v>
      </c>
      <c r="C291" s="107" t="s">
        <v>641</v>
      </c>
      <c r="D291" s="107">
        <v>0</v>
      </c>
      <c r="E291" s="26">
        <v>704</v>
      </c>
      <c r="F291" s="26">
        <v>707</v>
      </c>
      <c r="G291" s="26"/>
      <c r="H291" s="49" t="str">
        <f>DEC2HEX(I291)</f>
        <v>3F</v>
      </c>
      <c r="I291" s="27">
        <v>63</v>
      </c>
      <c r="J291" s="27" t="str">
        <f>CHAR(I291)</f>
        <v>?</v>
      </c>
      <c r="K291" s="102"/>
      <c r="L291">
        <f>IF(ISBLANK(D291),IF(E291&gt;0,F291-E291+1,0),0)</f>
        <v>0</v>
      </c>
      <c r="M291" s="45">
        <f>IF(ISBLANK(D291),0,IF(G291=0,F291-E291+1,0))</f>
        <v>4</v>
      </c>
      <c r="Q291" s="42" t="str">
        <f>C291&amp;IF(ISBLANK(D291),"","=")&amp;D291</f>
        <v>RetroSpindleDistance=0</v>
      </c>
    </row>
    <row r="292" spans="1:25" x14ac:dyDescent="0.25">
      <c r="A292">
        <v>291</v>
      </c>
      <c r="B292" t="s">
        <v>438</v>
      </c>
      <c r="C292" s="107" t="s">
        <v>640</v>
      </c>
      <c r="D292" s="107">
        <v>0</v>
      </c>
      <c r="E292" s="26">
        <v>608</v>
      </c>
      <c r="F292" s="26">
        <v>611</v>
      </c>
      <c r="G292" s="26"/>
      <c r="H292" s="49" t="str">
        <f>DEC2HEX(I292)</f>
        <v>CA</v>
      </c>
      <c r="I292" s="27">
        <v>202</v>
      </c>
      <c r="J292" s="27" t="str">
        <f>CHAR(I292)</f>
        <v>Ê</v>
      </c>
      <c r="K292" s="102"/>
      <c r="L292">
        <f>IF(ISBLANK(D292),IF(E292&gt;0,F292-E292+1,0),0)</f>
        <v>0</v>
      </c>
      <c r="M292" s="45">
        <f>IF(ISBLANK(D292),0,IF(G292=0,F292-E292+1,0))</f>
        <v>4</v>
      </c>
      <c r="Q292" s="42" t="str">
        <f>C292&amp;IF(ISBLANK(D292),"","=")&amp;D292</f>
        <v>RetroAxisDistance=0</v>
      </c>
    </row>
    <row r="293" spans="1:25" x14ac:dyDescent="0.25">
      <c r="A293" s="106">
        <v>292</v>
      </c>
      <c r="B293" s="106" t="s">
        <v>438</v>
      </c>
      <c r="C293" s="117" t="s">
        <v>642</v>
      </c>
      <c r="D293" s="107">
        <v>0</v>
      </c>
      <c r="E293" s="26">
        <v>176</v>
      </c>
      <c r="F293" s="26">
        <v>179</v>
      </c>
      <c r="G293" s="26">
        <v>24</v>
      </c>
      <c r="H293" s="113" t="str">
        <f>DEC2HEX(I293)</f>
        <v>66</v>
      </c>
      <c r="I293" s="28">
        <v>102</v>
      </c>
      <c r="J293" s="28" t="str">
        <f>CHAR(I293)</f>
        <v>f</v>
      </c>
      <c r="Q293" s="42" t="str">
        <f>C293&amp;IF(ISBLANK(D293),"","=")&amp;D293</f>
        <v>NoLastLeg=0</v>
      </c>
    </row>
    <row r="294" spans="1:25" x14ac:dyDescent="0.25">
      <c r="A294">
        <v>293</v>
      </c>
      <c r="C294" s="39" t="s">
        <v>229</v>
      </c>
      <c r="Q294" s="42" t="str">
        <f>C294&amp;IF(ISBLANK(D294),"","=")&amp;D294</f>
        <v>;</v>
      </c>
      <c r="T294" s="42" t="str">
        <f>C294&amp;IF(ISBLANK(S294),"","=")&amp;S294</f>
        <v>;</v>
      </c>
      <c r="V294" s="42" t="str">
        <f>C294&amp;IF(ISBLANK(U294),"","=")&amp;U294</f>
        <v>;</v>
      </c>
    </row>
    <row r="295" spans="1:25" x14ac:dyDescent="0.25">
      <c r="A295">
        <v>294</v>
      </c>
      <c r="B295" s="80"/>
      <c r="C295" s="81" t="s">
        <v>306</v>
      </c>
      <c r="D295" s="81"/>
      <c r="E295" s="80"/>
      <c r="F295" s="80"/>
      <c r="G295" s="80"/>
      <c r="H295" s="82"/>
      <c r="I295" s="80"/>
      <c r="J295" s="80"/>
      <c r="K295" s="81"/>
      <c r="L295" s="80"/>
      <c r="M295" s="83"/>
      <c r="N295" s="80"/>
      <c r="O295" s="80"/>
      <c r="P295" s="80"/>
      <c r="Q295" s="80" t="str">
        <f>C295&amp;IF(ISBLANK(D295),"","=")&amp;D295</f>
        <v>[GreekKey]</v>
      </c>
      <c r="R295" s="80"/>
      <c r="S295" s="81"/>
      <c r="T295" s="80" t="str">
        <f>C295&amp;IF(ISBLANK(S295),"","=")&amp;S295</f>
        <v>[GreekKey]</v>
      </c>
      <c r="U295" s="81"/>
      <c r="V295" s="42" t="str">
        <f>C295&amp;IF(ISBLANK(U295),"","=")&amp;U295</f>
        <v>[GreekKey]</v>
      </c>
      <c r="W295" s="80"/>
      <c r="X295" s="80"/>
      <c r="Y295" s="80"/>
    </row>
    <row r="296" spans="1:25" x14ac:dyDescent="0.25">
      <c r="A296">
        <v>295</v>
      </c>
      <c r="C296" s="39" t="s">
        <v>229</v>
      </c>
      <c r="Q296" s="42" t="str">
        <f>C296&amp;IF(ISBLANK(D296),"","=")&amp;D296</f>
        <v>;</v>
      </c>
      <c r="T296" s="42" t="str">
        <f>C296&amp;IF(ISBLANK(S296),"","=")&amp;S296</f>
        <v>;</v>
      </c>
      <c r="V296" s="42" t="str">
        <f>C296&amp;IF(ISBLANK(U296),"","=")&amp;U296</f>
        <v>;</v>
      </c>
    </row>
    <row r="297" spans="1:25" s="80" customFormat="1" x14ac:dyDescent="0.25">
      <c r="A297">
        <v>296</v>
      </c>
      <c r="B297"/>
      <c r="C297" s="39" t="s">
        <v>643</v>
      </c>
      <c r="D297" s="39"/>
      <c r="E297"/>
      <c r="F297"/>
      <c r="G297"/>
      <c r="H297" s="38"/>
      <c r="I297"/>
      <c r="J297"/>
      <c r="K297" s="39"/>
      <c r="L297"/>
      <c r="M297" s="45"/>
      <c r="N297" s="54"/>
      <c r="O297" s="54"/>
      <c r="P297" s="54"/>
      <c r="Q297" s="42" t="str">
        <f>C297&amp;IF(ISBLANK(D297),"","=")&amp;D297</f>
        <v>;4a: 2, 4b: 3, 3a: 6, 3b: 7, 2a: 4, 2b: 5</v>
      </c>
      <c r="R297"/>
      <c r="S297" s="39"/>
      <c r="T297" s="42" t="str">
        <f>C297&amp;IF(ISBLANK(S297),"","=")&amp;S297</f>
        <v>;4a: 2, 4b: 3, 3a: 6, 3b: 7, 2a: 4, 2b: 5</v>
      </c>
      <c r="U297" s="39"/>
      <c r="V297" s="42" t="str">
        <f>C297&amp;IF(ISBLANK(U297),"","=")&amp;U297</f>
        <v>;4a: 2, 4b: 3, 3a: 6, 3b: 7, 2a: 4, 2b: 5</v>
      </c>
      <c r="W297"/>
      <c r="X297"/>
      <c r="Y297"/>
    </row>
    <row r="298" spans="1:25" x14ac:dyDescent="0.25">
      <c r="A298">
        <v>297</v>
      </c>
      <c r="B298" t="s">
        <v>36</v>
      </c>
      <c r="C298" s="107" t="s">
        <v>415</v>
      </c>
      <c r="D298" s="107">
        <v>4</v>
      </c>
      <c r="E298" s="26">
        <v>436</v>
      </c>
      <c r="F298" s="26">
        <v>439</v>
      </c>
      <c r="G298" s="26">
        <v>8</v>
      </c>
      <c r="H298" s="49" t="str">
        <f>DEC2HEX(I298)</f>
        <v>B6</v>
      </c>
      <c r="I298" s="27">
        <v>182</v>
      </c>
      <c r="J298" s="27" t="str">
        <f>CHAR(I298)</f>
        <v>¶</v>
      </c>
      <c r="L298">
        <f>IF(ISBLANK(D298),IF(E298&gt;0,F298-E298+1,0),0)</f>
        <v>0</v>
      </c>
      <c r="M298" s="45">
        <f>IF(ISBLANK(D298),0,IF(G298=0,F298-E298+1,0))</f>
        <v>0</v>
      </c>
      <c r="Q298" s="42" t="str">
        <f>C298&amp;IF(ISBLANK(D298),"","=")&amp;D298</f>
        <v>PatternType=4</v>
      </c>
      <c r="S298" s="39">
        <v>4</v>
      </c>
      <c r="T298" s="42" t="str">
        <f>C298&amp;IF(ISBLANK(S298),"","=")&amp;S298</f>
        <v>PatternType=4</v>
      </c>
      <c r="U298" s="39">
        <v>3</v>
      </c>
      <c r="V298" s="42" t="str">
        <f>C298&amp;IF(ISBLANK(U298),"","=")&amp;U298</f>
        <v>PatternType=3</v>
      </c>
    </row>
    <row r="299" spans="1:25" x14ac:dyDescent="0.25">
      <c r="A299">
        <v>298</v>
      </c>
      <c r="B299" t="s">
        <v>36</v>
      </c>
      <c r="C299" s="39" t="s">
        <v>416</v>
      </c>
      <c r="D299" s="39">
        <v>8</v>
      </c>
      <c r="E299" s="27">
        <v>372</v>
      </c>
      <c r="F299" s="27">
        <v>375</v>
      </c>
      <c r="G299" s="26"/>
      <c r="H299" s="49" t="str">
        <f>DEC2HEX(I299)</f>
        <v>FC</v>
      </c>
      <c r="I299" s="27">
        <v>252</v>
      </c>
      <c r="J299" s="27" t="str">
        <f>CHAR(I299)</f>
        <v>ü</v>
      </c>
      <c r="L299">
        <f>IF(ISBLANK(D299),IF(E299&gt;0,F299-E299+1,0),0)</f>
        <v>0</v>
      </c>
      <c r="M299" s="45">
        <f>IF(ISBLANK(D299),0,IF(G299=0,F299-E299+1,0))</f>
        <v>4</v>
      </c>
      <c r="Q299" s="42" t="str">
        <f>C299&amp;IF(ISBLANK(D299),"","=")&amp;D299</f>
        <v>PatternsPer360=8</v>
      </c>
      <c r="S299" s="39">
        <v>2</v>
      </c>
      <c r="T299" s="42" t="str">
        <f>C299&amp;IF(ISBLANK(S299),"","=")&amp;S299</f>
        <v>PatternsPer360=2</v>
      </c>
      <c r="U299" s="39">
        <v>11</v>
      </c>
      <c r="V299" s="42" t="str">
        <f>C299&amp;IF(ISBLANK(U299),"","=")&amp;U299</f>
        <v>PatternsPer360=11</v>
      </c>
    </row>
    <row r="300" spans="1:25" x14ac:dyDescent="0.25">
      <c r="A300">
        <v>299</v>
      </c>
      <c r="B300" t="s">
        <v>36</v>
      </c>
      <c r="C300" s="39" t="s">
        <v>417</v>
      </c>
      <c r="D300" s="39">
        <v>24</v>
      </c>
      <c r="E300" s="27">
        <v>496</v>
      </c>
      <c r="F300" s="27">
        <v>499</v>
      </c>
      <c r="G300" s="26"/>
      <c r="H300" s="49" t="str">
        <f>DEC2HEX(I300)</f>
        <v>2E</v>
      </c>
      <c r="I300" s="27">
        <v>46</v>
      </c>
      <c r="J300" s="27" t="str">
        <f>CHAR(I300)</f>
        <v>.</v>
      </c>
      <c r="L300">
        <f>IF(ISBLANK(D300),IF(E300&gt;0,F300-E300+1,0),0)</f>
        <v>0</v>
      </c>
      <c r="M300" s="45">
        <f>IF(ISBLANK(D300),0,IF(G300=0,F300-E300+1,0))</f>
        <v>4</v>
      </c>
      <c r="Q300" s="42" t="str">
        <f>C300&amp;IF(ISBLANK(D300),"","=")&amp;D300</f>
        <v>PatternCount=24</v>
      </c>
      <c r="S300" s="39">
        <v>2</v>
      </c>
      <c r="T300" s="42" t="str">
        <f>C300&amp;IF(ISBLANK(S300),"","=")&amp;S300</f>
        <v>PatternCount=2</v>
      </c>
      <c r="U300" s="39">
        <v>11</v>
      </c>
      <c r="V300" s="42" t="str">
        <f>C300&amp;IF(ISBLANK(U300),"","=")&amp;U300</f>
        <v>PatternCount=11</v>
      </c>
    </row>
    <row r="301" spans="1:25" x14ac:dyDescent="0.25">
      <c r="A301">
        <v>300</v>
      </c>
      <c r="B301" t="s">
        <v>36</v>
      </c>
      <c r="C301" s="107" t="s">
        <v>418</v>
      </c>
      <c r="D301" s="107">
        <v>1.2</v>
      </c>
      <c r="E301" s="26">
        <v>620</v>
      </c>
      <c r="F301" s="26">
        <v>627</v>
      </c>
      <c r="G301" s="26"/>
      <c r="H301" s="49" t="str">
        <f>DEC2HEX(I301)</f>
        <v>FB</v>
      </c>
      <c r="I301" s="27">
        <v>251</v>
      </c>
      <c r="J301" s="27" t="str">
        <f>CHAR(I301)</f>
        <v>û</v>
      </c>
      <c r="L301">
        <f>IF(ISBLANK(D301),IF(E301&gt;0,F301-E301+1,0),0)</f>
        <v>0</v>
      </c>
      <c r="M301" s="45">
        <f>IF(ISBLANK(D301),0,IF(G301=0,F301-E301+1,0))</f>
        <v>8</v>
      </c>
      <c r="Q301" s="42" t="str">
        <f>C301&amp;IF(ISBLANK(D301),"","=")&amp;D301</f>
        <v>SegmentLength=1.2</v>
      </c>
      <c r="S301" s="39">
        <v>0.01</v>
      </c>
      <c r="T301" s="42" t="str">
        <f>C301&amp;IF(ISBLANK(S301),"","=")&amp;S301</f>
        <v>SegmentLength=0.01</v>
      </c>
      <c r="U301" s="39">
        <v>11</v>
      </c>
      <c r="V301" s="42" t="str">
        <f>C301&amp;IF(ISBLANK(U301),"","=")&amp;U301</f>
        <v>SegmentLength=11</v>
      </c>
    </row>
    <row r="302" spans="1:25" s="29" customFormat="1" x14ac:dyDescent="0.25">
      <c r="A302">
        <v>301</v>
      </c>
      <c r="B302"/>
      <c r="C302" s="39" t="s">
        <v>229</v>
      </c>
      <c r="D302" s="39"/>
      <c r="E302"/>
      <c r="F302"/>
      <c r="G302"/>
      <c r="H302" s="38"/>
      <c r="I302"/>
      <c r="J302"/>
      <c r="K302" s="39"/>
      <c r="L302"/>
      <c r="M302" s="45"/>
      <c r="N302" s="54"/>
      <c r="O302" s="54"/>
      <c r="P302" s="54"/>
      <c r="Q302" s="42" t="str">
        <f>C302&amp;IF(ISBLANK(D302),"","=")&amp;D302</f>
        <v>;</v>
      </c>
      <c r="R302"/>
      <c r="S302" s="39"/>
      <c r="T302" s="42" t="str">
        <f>C302&amp;IF(ISBLANK(S302),"","=")&amp;S302</f>
        <v>;</v>
      </c>
      <c r="U302" s="39"/>
      <c r="V302" s="42" t="str">
        <f>C302&amp;IF(ISBLANK(U302),"","=")&amp;U302</f>
        <v>;</v>
      </c>
      <c r="W302"/>
      <c r="X302"/>
      <c r="Y302"/>
    </row>
    <row r="303" spans="1:25" x14ac:dyDescent="0.25">
      <c r="A303">
        <v>302</v>
      </c>
      <c r="B303" s="80"/>
      <c r="C303" s="81" t="s">
        <v>307</v>
      </c>
      <c r="D303" s="81"/>
      <c r="E303" s="80"/>
      <c r="F303" s="80"/>
      <c r="G303" s="80"/>
      <c r="H303" s="82"/>
      <c r="I303" s="80"/>
      <c r="J303" s="80"/>
      <c r="K303" s="81"/>
      <c r="L303" s="80"/>
      <c r="M303" s="83"/>
      <c r="N303" s="80"/>
      <c r="O303" s="80"/>
      <c r="P303" s="80"/>
      <c r="Q303" s="80" t="str">
        <f>C303&amp;IF(ISBLANK(D303),"","=")&amp;D303</f>
        <v>[Program]</v>
      </c>
      <c r="R303" s="80"/>
      <c r="S303" s="81"/>
      <c r="T303" s="80" t="str">
        <f>C303&amp;IF(ISBLANK(S303),"","=")&amp;S303</f>
        <v>[Program]</v>
      </c>
      <c r="U303" s="81"/>
      <c r="V303" s="42" t="str">
        <f>C303&amp;IF(ISBLANK(U303),"","=")&amp;U303</f>
        <v>[Program]</v>
      </c>
      <c r="W303" s="80"/>
      <c r="X303" s="80"/>
      <c r="Y303" s="80"/>
    </row>
    <row r="304" spans="1:25" x14ac:dyDescent="0.25">
      <c r="A304">
        <v>303</v>
      </c>
      <c r="C304" s="39" t="s">
        <v>229</v>
      </c>
      <c r="Q304" s="42" t="str">
        <f>C304&amp;IF(ISBLANK(D304),"","=")&amp;D304</f>
        <v>;</v>
      </c>
      <c r="T304" s="42" t="str">
        <f>C304&amp;IF(ISBLANK(S304),"","=")&amp;S304</f>
        <v>;</v>
      </c>
      <c r="V304" s="42" t="str">
        <f>C304&amp;IF(ISBLANK(U304),"","=")&amp;U304</f>
        <v>;</v>
      </c>
    </row>
    <row r="305" spans="1:25" s="80" customFormat="1" x14ac:dyDescent="0.25">
      <c r="A305">
        <v>304</v>
      </c>
      <c r="B305" t="s">
        <v>274</v>
      </c>
      <c r="C305" s="107" t="s">
        <v>416</v>
      </c>
      <c r="D305" s="107">
        <v>8.5</v>
      </c>
      <c r="E305" s="26">
        <v>636</v>
      </c>
      <c r="F305" s="26">
        <v>643</v>
      </c>
      <c r="G305" s="26"/>
      <c r="H305" s="49" t="str">
        <f>DEC2HEX(I305)</f>
        <v>E6</v>
      </c>
      <c r="I305" s="27">
        <v>230</v>
      </c>
      <c r="J305" s="27" t="str">
        <f>CHAR(I305)</f>
        <v>æ</v>
      </c>
      <c r="K305" s="39"/>
      <c r="L305">
        <f>IF(ISBLANK(D305),IF(E305&gt;0,F305-E305+1,0),0)</f>
        <v>0</v>
      </c>
      <c r="M305" s="45">
        <f>IF(ISBLANK(D305),0,IF(G305=0,F305-E305+1,0))</f>
        <v>8</v>
      </c>
      <c r="N305" s="54"/>
      <c r="O305" s="54"/>
      <c r="P305" s="54"/>
      <c r="Q305" s="42" t="str">
        <f>C305&amp;IF(ISBLANK(D305),"","=")&amp;D305</f>
        <v>PatternsPer360=8.5</v>
      </c>
      <c r="R305"/>
      <c r="S305" s="39">
        <v>2</v>
      </c>
      <c r="T305" s="42" t="str">
        <f>C305&amp;IF(ISBLANK(S305),"","=")&amp;S305</f>
        <v>PatternsPer360=2</v>
      </c>
      <c r="U305" s="39">
        <v>11</v>
      </c>
      <c r="V305" s="42" t="str">
        <f>C305&amp;IF(ISBLANK(U305),"","=")&amp;U305</f>
        <v>PatternsPer360=11</v>
      </c>
      <c r="W305"/>
      <c r="X305"/>
      <c r="Y305"/>
    </row>
    <row r="306" spans="1:25" x14ac:dyDescent="0.25">
      <c r="A306">
        <v>305</v>
      </c>
      <c r="B306" s="106" t="s">
        <v>274</v>
      </c>
      <c r="C306" s="107" t="s">
        <v>417</v>
      </c>
      <c r="D306" s="107">
        <v>12</v>
      </c>
      <c r="E306" s="26">
        <v>32</v>
      </c>
      <c r="F306" s="26">
        <v>35</v>
      </c>
      <c r="G306" s="26"/>
      <c r="H306" s="49" t="str">
        <f>DEC2HEX(I306)</f>
        <v>4D</v>
      </c>
      <c r="I306" s="27">
        <v>77</v>
      </c>
      <c r="J306" s="27" t="str">
        <f>CHAR(I306)</f>
        <v>M</v>
      </c>
      <c r="L306">
        <f>IF(ISBLANK(D306),IF(E306&gt;0,F306-E306+1,0),0)</f>
        <v>0</v>
      </c>
      <c r="M306" s="45">
        <f>IF(ISBLANK(D306),0,IF(G306=0,F306-E306+1,0))</f>
        <v>4</v>
      </c>
      <c r="Q306" s="42" t="str">
        <f>C306&amp;IF(ISBLANK(D306),"","=")&amp;D306</f>
        <v>PatternCount=12</v>
      </c>
      <c r="S306" s="39">
        <v>30000</v>
      </c>
      <c r="T306" s="42" t="str">
        <f>C306&amp;IF(ISBLANK(S306),"","=")&amp;S306</f>
        <v>PatternCount=30000</v>
      </c>
      <c r="U306" s="39">
        <v>1000</v>
      </c>
      <c r="V306" s="42" t="str">
        <f>C306&amp;IF(ISBLANK(U306),"","=")&amp;U306</f>
        <v>PatternCount=1000</v>
      </c>
    </row>
    <row r="307" spans="1:25" x14ac:dyDescent="0.25">
      <c r="A307">
        <v>306</v>
      </c>
      <c r="B307" t="s">
        <v>274</v>
      </c>
      <c r="C307" s="39" t="s">
        <v>418</v>
      </c>
      <c r="D307" s="39">
        <v>3.2000000000000001E-2</v>
      </c>
      <c r="E307" s="26">
        <v>300</v>
      </c>
      <c r="F307" s="26">
        <v>307</v>
      </c>
      <c r="G307" s="26"/>
      <c r="H307" s="49" t="str">
        <f>DEC2HEX(I307)</f>
        <v>55</v>
      </c>
      <c r="I307" s="27">
        <v>85</v>
      </c>
      <c r="J307" s="27" t="str">
        <f>CHAR(I307)</f>
        <v>U</v>
      </c>
      <c r="L307">
        <f>IF(ISBLANK(D307),IF(E307&gt;0,F307-E307+1,0),0)</f>
        <v>0</v>
      </c>
      <c r="M307" s="45">
        <f>IF(ISBLANK(D307),0,IF(G307=0,F307-E307+1,0))</f>
        <v>8</v>
      </c>
      <c r="Q307" s="42" t="str">
        <f>C307&amp;IF(ISBLANK(D307),"","=")&amp;D307</f>
        <v>SegmentLength=0.032</v>
      </c>
      <c r="S307" s="39">
        <v>0.01</v>
      </c>
      <c r="T307" s="42" t="str">
        <f>C307&amp;IF(ISBLANK(S307),"","=")&amp;S307</f>
        <v>SegmentLength=0.01</v>
      </c>
      <c r="U307" s="39">
        <v>11</v>
      </c>
      <c r="V307" s="42" t="str">
        <f>C307&amp;IF(ISBLANK(U307),"","=")&amp;U307</f>
        <v>SegmentLength=11</v>
      </c>
    </row>
    <row r="308" spans="1:25" x14ac:dyDescent="0.25">
      <c r="A308">
        <v>307</v>
      </c>
      <c r="C308" s="39" t="s">
        <v>308</v>
      </c>
      <c r="Q308" s="42" t="str">
        <f>C308&amp;IF(ISBLANK(D308),"","=")&amp;D308</f>
        <v>;Segments: 2  Actual: 3</v>
      </c>
      <c r="T308" s="42" t="str">
        <f>C308&amp;IF(ISBLANK(S308),"","=")&amp;S308</f>
        <v>;Segments: 2  Actual: 3</v>
      </c>
      <c r="V308" s="42" t="str">
        <f>C308&amp;IF(ISBLANK(U308),"","=")&amp;U308</f>
        <v>;Segments: 2  Actual: 3</v>
      </c>
    </row>
    <row r="309" spans="1:25" x14ac:dyDescent="0.25">
      <c r="A309">
        <v>308</v>
      </c>
      <c r="B309" t="s">
        <v>274</v>
      </c>
      <c r="C309" s="107" t="s">
        <v>419</v>
      </c>
      <c r="D309" s="107">
        <v>2</v>
      </c>
      <c r="E309" s="26">
        <v>436</v>
      </c>
      <c r="F309" s="26">
        <v>439</v>
      </c>
      <c r="G309" s="26">
        <v>0</v>
      </c>
      <c r="H309" s="49" t="str">
        <f>DEC2HEX(I309)</f>
        <v>4C</v>
      </c>
      <c r="I309" s="27">
        <v>76</v>
      </c>
      <c r="J309" s="27" t="str">
        <f>CHAR(I309)</f>
        <v>L</v>
      </c>
      <c r="L309">
        <f>IF(ISBLANK(D309),IF(E309&gt;0,F309-E309+1,0),0)</f>
        <v>0</v>
      </c>
      <c r="M309" s="45">
        <f>IF(ISBLANK(D309),0,IF(G309=0,F309-E309+1,0))</f>
        <v>4</v>
      </c>
      <c r="Q309" s="42" t="str">
        <f>C309&amp;IF(ISBLANK(D309),"","=")&amp;D309</f>
        <v>SegmentsOrActual=2</v>
      </c>
      <c r="S309" s="39">
        <v>2</v>
      </c>
      <c r="T309" s="42" t="str">
        <f>C309&amp;IF(ISBLANK(S309),"","=")&amp;S309</f>
        <v>SegmentsOrActual=2</v>
      </c>
      <c r="U309" s="39">
        <v>3</v>
      </c>
      <c r="V309" s="42" t="str">
        <f>C309&amp;IF(ISBLANK(U309),"","=")&amp;U309</f>
        <v>SegmentsOrActual=3</v>
      </c>
    </row>
    <row r="310" spans="1:25" s="29" customFormat="1" x14ac:dyDescent="0.25">
      <c r="A310">
        <v>309</v>
      </c>
      <c r="B310"/>
      <c r="C310" s="39" t="s">
        <v>229</v>
      </c>
      <c r="D310" s="39"/>
      <c r="E310"/>
      <c r="F310"/>
      <c r="G310"/>
      <c r="H310" s="38"/>
      <c r="I310"/>
      <c r="J310"/>
      <c r="K310" s="39"/>
      <c r="L310"/>
      <c r="M310" s="45"/>
      <c r="N310" s="54"/>
      <c r="O310" s="54"/>
      <c r="P310" s="54"/>
      <c r="Q310" s="42" t="str">
        <f>C310&amp;IF(ISBLANK(D310),"","=")&amp;D310</f>
        <v>;</v>
      </c>
      <c r="R310"/>
      <c r="S310" s="39"/>
      <c r="T310" s="42" t="str">
        <f>C310&amp;IF(ISBLANK(S310),"","=")&amp;S310</f>
        <v>;</v>
      </c>
      <c r="U310" s="39"/>
      <c r="V310" s="42" t="str">
        <f>C310&amp;IF(ISBLANK(U310),"","=")&amp;U310</f>
        <v>;</v>
      </c>
      <c r="W310"/>
      <c r="X310"/>
      <c r="Y310"/>
    </row>
    <row r="311" spans="1:25" x14ac:dyDescent="0.25">
      <c r="A311">
        <v>310</v>
      </c>
      <c r="B311" s="80"/>
      <c r="C311" s="81" t="s">
        <v>309</v>
      </c>
      <c r="D311" s="81"/>
      <c r="E311" s="80"/>
      <c r="F311" s="80"/>
      <c r="G311" s="80"/>
      <c r="H311" s="82"/>
      <c r="I311" s="80"/>
      <c r="J311" s="80"/>
      <c r="K311" s="81"/>
      <c r="L311" s="80"/>
      <c r="M311" s="83"/>
      <c r="N311" s="80"/>
      <c r="O311" s="80"/>
      <c r="P311" s="80"/>
      <c r="Q311" s="80" t="str">
        <f>C311&amp;IF(ISBLANK(D311),"","=")&amp;D311</f>
        <v>[Rose]</v>
      </c>
      <c r="R311" s="80"/>
      <c r="S311" s="81"/>
      <c r="T311" s="80" t="str">
        <f>C311&amp;IF(ISBLANK(S311),"","=")&amp;S311</f>
        <v>[Rose]</v>
      </c>
      <c r="U311" s="81"/>
      <c r="V311" s="42" t="str">
        <f>C311&amp;IF(ISBLANK(U311),"","=")&amp;U311</f>
        <v>[Rose]</v>
      </c>
      <c r="W311" s="80"/>
      <c r="X311" s="80"/>
      <c r="Y311" s="80"/>
    </row>
    <row r="312" spans="1:25" x14ac:dyDescent="0.25">
      <c r="A312">
        <v>311</v>
      </c>
      <c r="C312" s="39" t="s">
        <v>229</v>
      </c>
      <c r="Q312" s="42" t="str">
        <f>C312&amp;IF(ISBLANK(D312),"","=")&amp;D312</f>
        <v>;</v>
      </c>
      <c r="T312" s="42" t="str">
        <f>C312&amp;IF(ISBLANK(S312),"","=")&amp;S312</f>
        <v>;</v>
      </c>
      <c r="V312" s="42" t="str">
        <f>C312&amp;IF(ISBLANK(U312),"","=")&amp;U312</f>
        <v>;</v>
      </c>
    </row>
    <row r="313" spans="1:25" s="80" customFormat="1" x14ac:dyDescent="0.25">
      <c r="A313">
        <v>312</v>
      </c>
      <c r="B313" t="s">
        <v>233</v>
      </c>
      <c r="C313" s="39" t="s">
        <v>260</v>
      </c>
      <c r="D313" s="39">
        <v>1</v>
      </c>
      <c r="E313" s="26">
        <v>100</v>
      </c>
      <c r="F313" s="26">
        <v>103</v>
      </c>
      <c r="G313" s="26">
        <v>8</v>
      </c>
      <c r="H313" s="49" t="str">
        <f>DEC2HEX(I313)</f>
        <v>42</v>
      </c>
      <c r="I313" s="27">
        <v>66</v>
      </c>
      <c r="J313" s="27" t="str">
        <f>CHAR(I313)</f>
        <v>B</v>
      </c>
      <c r="K313" s="39"/>
      <c r="L313">
        <f>IF(ISBLANK(D313),IF(E313&gt;0,F313-E313+1,0),0)</f>
        <v>0</v>
      </c>
      <c r="M313" s="45">
        <f>IF(ISBLANK(D313),0,IF(G313=0,F313-E313+1,0))</f>
        <v>0</v>
      </c>
      <c r="N313" s="54"/>
      <c r="O313" s="54"/>
      <c r="P313" s="54"/>
      <c r="Q313" s="42" t="str">
        <f>C313&amp;IF(ISBLANK(D313),"","=")&amp;D313</f>
        <v>AxisId=1</v>
      </c>
      <c r="R313"/>
      <c r="S313" s="39">
        <v>1</v>
      </c>
      <c r="T313" s="42" t="str">
        <f>C313&amp;IF(ISBLANK(S313),"","=")&amp;S313</f>
        <v>AxisId=1</v>
      </c>
      <c r="U313" s="39">
        <v>3</v>
      </c>
      <c r="V313" s="42" t="str">
        <f>C313&amp;IF(ISBLANK(U313),"","=")&amp;U313</f>
        <v>AxisId=3</v>
      </c>
      <c r="W313"/>
      <c r="X313"/>
      <c r="Y313"/>
    </row>
    <row r="314" spans="1:25" x14ac:dyDescent="0.25">
      <c r="A314">
        <v>313</v>
      </c>
      <c r="B314" t="s">
        <v>233</v>
      </c>
      <c r="C314" s="107" t="s">
        <v>420</v>
      </c>
      <c r="D314" s="107">
        <v>5</v>
      </c>
      <c r="E314" s="27">
        <v>644</v>
      </c>
      <c r="F314" s="27">
        <v>651</v>
      </c>
      <c r="G314" s="27"/>
      <c r="H314" s="49" t="str">
        <f>DEC2HEX(I314)</f>
        <v>54</v>
      </c>
      <c r="I314" s="27">
        <v>84</v>
      </c>
      <c r="J314" s="27" t="str">
        <f>CHAR(I314)</f>
        <v>T</v>
      </c>
      <c r="L314">
        <f>IF(ISBLANK(D314),IF(E314&gt;0,F314-E314+1,0),0)</f>
        <v>0</v>
      </c>
      <c r="M314" s="45">
        <f>IF(ISBLANK(D314),0,IF(G314=0,F314-E314+1,0))</f>
        <v>8</v>
      </c>
      <c r="Q314" s="42" t="str">
        <f>C314&amp;IF(ISBLANK(D314),"","=")&amp;D314</f>
        <v>Rose_n=5</v>
      </c>
      <c r="S314" s="39">
        <v>20000</v>
      </c>
      <c r="T314" s="42" t="str">
        <f>C314&amp;IF(ISBLANK(S314),"","=")&amp;S314</f>
        <v>Rose_n=20000</v>
      </c>
      <c r="U314" s="39">
        <v>1000</v>
      </c>
      <c r="V314" s="42" t="str">
        <f>C314&amp;IF(ISBLANK(U314),"","=")&amp;U314</f>
        <v>Rose_n=1000</v>
      </c>
    </row>
    <row r="315" spans="1:25" x14ac:dyDescent="0.25">
      <c r="A315">
        <v>314</v>
      </c>
      <c r="B315" t="s">
        <v>233</v>
      </c>
      <c r="C315" s="39" t="s">
        <v>421</v>
      </c>
      <c r="D315" s="107">
        <v>7</v>
      </c>
      <c r="E315" s="26">
        <v>452</v>
      </c>
      <c r="F315" s="26">
        <v>459</v>
      </c>
      <c r="G315" s="26"/>
      <c r="H315" s="49" t="str">
        <f>DEC2HEX(I315)</f>
        <v>59</v>
      </c>
      <c r="I315" s="27">
        <v>89</v>
      </c>
      <c r="J315" s="27" t="str">
        <f>CHAR(I315)</f>
        <v>Y</v>
      </c>
      <c r="L315">
        <f>IF(ISBLANK(D315),IF(E315&gt;0,F315-E315+1,0),0)</f>
        <v>0</v>
      </c>
      <c r="M315" s="45">
        <f>IF(ISBLANK(D315),0,IF(G315=0,F315-E315+1,0))</f>
        <v>8</v>
      </c>
      <c r="Q315" s="42" t="str">
        <f>C315&amp;IF(ISBLANK(D315),"","=")&amp;D315</f>
        <v>Rose_d=7</v>
      </c>
      <c r="S315" s="39">
        <v>5000</v>
      </c>
      <c r="T315" s="42" t="str">
        <f>C315&amp;IF(ISBLANK(S315),"","=")&amp;S315</f>
        <v>Rose_d=5000</v>
      </c>
      <c r="U315" s="39">
        <v>11</v>
      </c>
      <c r="V315" s="42" t="str">
        <f>C315&amp;IF(ISBLANK(U315),"","=")&amp;U315</f>
        <v>Rose_d=11</v>
      </c>
    </row>
    <row r="316" spans="1:25" x14ac:dyDescent="0.25">
      <c r="A316">
        <v>315</v>
      </c>
      <c r="C316" s="39" t="s">
        <v>291</v>
      </c>
      <c r="Q316" s="42" t="str">
        <f>C316&amp;IF(ISBLANK(D316),"","=")&amp;D316</f>
        <v>;Spindle</v>
      </c>
      <c r="T316" s="42" t="str">
        <f>C316&amp;IF(ISBLANK(S316),"","=")&amp;S316</f>
        <v>;Spindle</v>
      </c>
      <c r="V316" s="42" t="str">
        <f>C316&amp;IF(ISBLANK(U316),"","=")&amp;U316</f>
        <v>;Spindle</v>
      </c>
    </row>
    <row r="317" spans="1:25" x14ac:dyDescent="0.25">
      <c r="A317">
        <v>316</v>
      </c>
      <c r="B317" t="s">
        <v>233</v>
      </c>
      <c r="C317" s="107" t="s">
        <v>422</v>
      </c>
      <c r="D317" s="107">
        <v>3.125</v>
      </c>
      <c r="E317" s="26">
        <v>696</v>
      </c>
      <c r="F317" s="26">
        <v>703</v>
      </c>
      <c r="G317" s="26"/>
      <c r="H317" s="49" t="str">
        <f>DEC2HEX(I317)</f>
        <v>61</v>
      </c>
      <c r="I317" s="27">
        <v>97</v>
      </c>
      <c r="J317" s="27" t="str">
        <f>CHAR(I317)</f>
        <v>a</v>
      </c>
      <c r="L317">
        <f>IF(ISBLANK(D317),IF(E317&gt;0,F317-E317+1,0),0)</f>
        <v>0</v>
      </c>
      <c r="M317" s="45">
        <f>IF(ISBLANK(D317),0,IF(G317=0,F317-E317+1,0))</f>
        <v>8</v>
      </c>
      <c r="Q317" s="42" t="str">
        <f>C317&amp;IF(ISBLANK(D317),"","=")&amp;D317</f>
        <v>SpindleRevolutions=3.125</v>
      </c>
      <c r="S317" s="39">
        <v>0</v>
      </c>
      <c r="T317" s="42" t="str">
        <f>C317&amp;IF(ISBLANK(S317),"","=")&amp;S317</f>
        <v>SpindleRevolutions=0</v>
      </c>
      <c r="U317" s="39">
        <v>11</v>
      </c>
      <c r="V317" s="42" t="str">
        <f>C317&amp;IF(ISBLANK(U317),"","=")&amp;U317</f>
        <v>SpindleRevolutions=11</v>
      </c>
    </row>
    <row r="318" spans="1:25" s="29" customFormat="1" x14ac:dyDescent="0.25">
      <c r="A318">
        <v>317</v>
      </c>
      <c r="B318" t="s">
        <v>233</v>
      </c>
      <c r="C318" s="39" t="s">
        <v>352</v>
      </c>
      <c r="D318" s="39">
        <v>5687</v>
      </c>
      <c r="E318" s="26">
        <v>828</v>
      </c>
      <c r="F318" s="26">
        <v>831</v>
      </c>
      <c r="G318" s="26"/>
      <c r="H318" s="49" t="str">
        <f>DEC2HEX(I318)</f>
        <v>3A</v>
      </c>
      <c r="I318" s="27">
        <v>58</v>
      </c>
      <c r="J318" s="27" t="str">
        <f>CHAR(I318)</f>
        <v>:</v>
      </c>
      <c r="K318" s="39"/>
      <c r="L318">
        <f>IF(ISBLANK(D318),IF(E318&gt;0,F318-E318+1,0),0)</f>
        <v>0</v>
      </c>
      <c r="M318" s="45">
        <f>IF(ISBLANK(D318),0,IF(G318=0,F318-E318+1,0))</f>
        <v>4</v>
      </c>
      <c r="N318" s="54"/>
      <c r="O318" s="54"/>
      <c r="P318" s="54"/>
      <c r="Q318" s="42" t="str">
        <f>C318&amp;IF(ISBLANK(D318),"","=")&amp;D318</f>
        <v>MaxSpeed_Spindle=5687</v>
      </c>
      <c r="R318"/>
      <c r="S318" s="39">
        <v>5000</v>
      </c>
      <c r="T318" s="42" t="str">
        <f>C318&amp;IF(ISBLANK(S318),"","=")&amp;S318</f>
        <v>MaxSpeed_Spindle=5000</v>
      </c>
      <c r="U318" s="39">
        <v>1000</v>
      </c>
      <c r="V318" s="42" t="str">
        <f>C318&amp;IF(ISBLANK(U318),"","=")&amp;U318</f>
        <v>MaxSpeed_Spindle=1000</v>
      </c>
      <c r="W318"/>
      <c r="X318"/>
      <c r="Y318"/>
    </row>
    <row r="319" spans="1:25" x14ac:dyDescent="0.25">
      <c r="A319">
        <v>318</v>
      </c>
      <c r="B319" t="s">
        <v>233</v>
      </c>
      <c r="C319" s="39" t="s">
        <v>353</v>
      </c>
      <c r="D319" s="39">
        <v>20000</v>
      </c>
      <c r="E319" s="26">
        <v>832</v>
      </c>
      <c r="F319" s="26">
        <v>835</v>
      </c>
      <c r="G319" s="26"/>
      <c r="H319" s="49" t="str">
        <f>DEC2HEX(I319)</f>
        <v>3B</v>
      </c>
      <c r="I319" s="27">
        <v>59</v>
      </c>
      <c r="J319" s="27" t="str">
        <f>CHAR(I319)</f>
        <v>;</v>
      </c>
      <c r="L319">
        <f>IF(ISBLANK(D319),IF(E319&gt;0,F319-E319+1,0),0)</f>
        <v>0</v>
      </c>
      <c r="M319" s="45">
        <f>IF(ISBLANK(D319),0,IF(G319=0,F319-E319+1,0))</f>
        <v>4</v>
      </c>
      <c r="Q319" s="42" t="str">
        <f>C319&amp;IF(ISBLANK(D319),"","=")&amp;D319</f>
        <v>Accel_Spindle=20000</v>
      </c>
      <c r="S319" s="39">
        <v>20000</v>
      </c>
      <c r="T319" s="42" t="str">
        <f>C319&amp;IF(ISBLANK(S319),"","=")&amp;S319</f>
        <v>Accel_Spindle=20000</v>
      </c>
      <c r="U319" s="39">
        <v>1000</v>
      </c>
      <c r="V319" s="42" t="str">
        <f>C319&amp;IF(ISBLANK(U319),"","=")&amp;U319</f>
        <v>Accel_Spindle=1000</v>
      </c>
    </row>
    <row r="320" spans="1:25" x14ac:dyDescent="0.25">
      <c r="A320">
        <v>319</v>
      </c>
      <c r="B320" t="s">
        <v>233</v>
      </c>
      <c r="C320" s="39" t="s">
        <v>362</v>
      </c>
      <c r="D320" s="39">
        <v>82</v>
      </c>
      <c r="E320" s="26">
        <v>100</v>
      </c>
      <c r="F320" s="26">
        <v>103</v>
      </c>
      <c r="G320" s="26">
        <v>0</v>
      </c>
      <c r="H320" s="49" t="str">
        <f>DEC2HEX(I320)</f>
        <v>6E</v>
      </c>
      <c r="I320" s="27">
        <v>110</v>
      </c>
      <c r="J320" s="27" t="str">
        <f>CHAR(I320)</f>
        <v>n</v>
      </c>
      <c r="L320">
        <f>IF(ISBLANK(D320),IF(E320&gt;0,F320-E320+1,0),0)</f>
        <v>0</v>
      </c>
      <c r="M320" s="45">
        <f>IF(ISBLANK(D320),0,IF(G320=0,F320-E320+1,0))</f>
        <v>4</v>
      </c>
      <c r="Q320" s="42" t="str">
        <f>C320&amp;IF(ISBLANK(D320),"","=")&amp;D320</f>
        <v>SpeedPercentage_Spindle=82</v>
      </c>
      <c r="S320" s="39">
        <v>100</v>
      </c>
      <c r="T320" s="42" t="str">
        <f>C320&amp;IF(ISBLANK(S320),"","=")&amp;S320</f>
        <v>SpeedPercentage_Spindle=100</v>
      </c>
      <c r="U320" s="39">
        <v>11</v>
      </c>
      <c r="V320" s="42" t="str">
        <f>C320&amp;IF(ISBLANK(U320),"","=")&amp;U320</f>
        <v>SpeedPercentage_Spindle=11</v>
      </c>
    </row>
    <row r="321" spans="1:22" x14ac:dyDescent="0.25">
      <c r="A321">
        <v>320</v>
      </c>
      <c r="C321" s="39" t="s">
        <v>278</v>
      </c>
      <c r="Q321" s="42" t="str">
        <f>C321&amp;IF(ISBLANK(D321),"","=")&amp;D321</f>
        <v>;Z Axis</v>
      </c>
      <c r="T321" s="42" t="str">
        <f>C321&amp;IF(ISBLANK(S321),"","=")&amp;S321</f>
        <v>;Z Axis</v>
      </c>
      <c r="V321" s="42" t="str">
        <f>C321&amp;IF(ISBLANK(U321),"","=")&amp;U321</f>
        <v>;Z Axis</v>
      </c>
    </row>
    <row r="322" spans="1:22" x14ac:dyDescent="0.25">
      <c r="A322">
        <v>321</v>
      </c>
      <c r="B322" t="s">
        <v>233</v>
      </c>
      <c r="C322" s="39" t="s">
        <v>363</v>
      </c>
      <c r="D322" s="39">
        <v>5698</v>
      </c>
      <c r="E322" s="27">
        <v>880</v>
      </c>
      <c r="F322" s="27">
        <v>883</v>
      </c>
      <c r="G322" s="26"/>
      <c r="H322" s="49" t="str">
        <f>DEC2HEX(I322)</f>
        <v>B9</v>
      </c>
      <c r="I322" s="27">
        <v>185</v>
      </c>
      <c r="J322" s="27" t="str">
        <f>CHAR(I322)</f>
        <v>¹</v>
      </c>
      <c r="L322">
        <f>IF(ISBLANK(D322),IF(E322&gt;0,F322-E322+1,0),0)</f>
        <v>0</v>
      </c>
      <c r="M322" s="45">
        <f>IF(ISBLANK(D322),0,IF(G322=0,F322-E322+1,0))</f>
        <v>4</v>
      </c>
      <c r="Q322" s="42" t="str">
        <f>C322&amp;IF(ISBLANK(D322),"","=")&amp;D322</f>
        <v>MaxSpeed_Z=5698</v>
      </c>
      <c r="S322" s="39">
        <v>5000</v>
      </c>
      <c r="T322" s="42" t="str">
        <f>C322&amp;IF(ISBLANK(S322),"","=")&amp;S322</f>
        <v>MaxSpeed_Z=5000</v>
      </c>
      <c r="U322" s="39">
        <v>1000</v>
      </c>
      <c r="V322" s="42" t="str">
        <f>C322&amp;IF(ISBLANK(U322),"","=")&amp;U322</f>
        <v>MaxSpeed_Z=1000</v>
      </c>
    </row>
    <row r="323" spans="1:22" x14ac:dyDescent="0.25">
      <c r="A323">
        <v>322</v>
      </c>
      <c r="B323" t="s">
        <v>233</v>
      </c>
      <c r="C323" s="39" t="s">
        <v>364</v>
      </c>
      <c r="D323" s="39">
        <v>20000</v>
      </c>
      <c r="E323" s="26">
        <v>948</v>
      </c>
      <c r="F323" s="26">
        <v>951</v>
      </c>
      <c r="G323" s="26"/>
      <c r="H323" s="49" t="str">
        <f>DEC2HEX(I323)</f>
        <v>BA</v>
      </c>
      <c r="I323" s="27">
        <v>186</v>
      </c>
      <c r="J323" s="27" t="str">
        <f>CHAR(I323)</f>
        <v>º</v>
      </c>
      <c r="L323">
        <f>IF(ISBLANK(D323),IF(E323&gt;0,F323-E323+1,0),0)</f>
        <v>0</v>
      </c>
      <c r="M323" s="45">
        <f>IF(ISBLANK(D323),0,IF(G323=0,F323-E323+1,0))</f>
        <v>4</v>
      </c>
      <c r="Q323" s="42" t="str">
        <f>C323&amp;IF(ISBLANK(D323),"","=")&amp;D323</f>
        <v>Accel_Z=20000</v>
      </c>
      <c r="S323" s="39">
        <v>20000</v>
      </c>
      <c r="T323" s="42" t="str">
        <f>C323&amp;IF(ISBLANK(S323),"","=")&amp;S323</f>
        <v>Accel_Z=20000</v>
      </c>
      <c r="U323" s="39">
        <v>1000</v>
      </c>
      <c r="V323" s="42" t="str">
        <f>C323&amp;IF(ISBLANK(U323),"","=")&amp;U323</f>
        <v>Accel_Z=1000</v>
      </c>
    </row>
    <row r="324" spans="1:22" x14ac:dyDescent="0.25">
      <c r="A324">
        <v>323</v>
      </c>
      <c r="B324" t="s">
        <v>233</v>
      </c>
      <c r="C324" s="39" t="s">
        <v>365</v>
      </c>
      <c r="D324" s="39">
        <v>84</v>
      </c>
      <c r="E324" s="26">
        <v>52</v>
      </c>
      <c r="F324" s="26">
        <v>55</v>
      </c>
      <c r="G324" s="26">
        <v>0</v>
      </c>
      <c r="H324" s="49" t="str">
        <f>DEC2HEX(I324)</f>
        <v>6F</v>
      </c>
      <c r="I324" s="26">
        <v>111</v>
      </c>
      <c r="J324" s="27" t="str">
        <f>CHAR(I324)</f>
        <v>o</v>
      </c>
      <c r="L324">
        <f>IF(ISBLANK(D324),IF(E324&gt;0,F324-E324+1,0),0)</f>
        <v>0</v>
      </c>
      <c r="M324" s="45">
        <f>IF(ISBLANK(D324),0,IF(G324=0,F324-E324+1,0))</f>
        <v>4</v>
      </c>
      <c r="Q324" s="42" t="str">
        <f>C324&amp;IF(ISBLANK(D324),"","=")&amp;D324</f>
        <v>SpeedPercentage_Z=84</v>
      </c>
      <c r="S324" s="39">
        <v>100</v>
      </c>
      <c r="T324" s="42" t="str">
        <f>C324&amp;IF(ISBLANK(S324),"","=")&amp;S324</f>
        <v>SpeedPercentage_Z=100</v>
      </c>
      <c r="U324" s="39">
        <v>11</v>
      </c>
      <c r="V324" s="42" t="str">
        <f>C324&amp;IF(ISBLANK(U324),"","=")&amp;U324</f>
        <v>SpeedPercentage_Z=11</v>
      </c>
    </row>
    <row r="325" spans="1:22" x14ac:dyDescent="0.25">
      <c r="A325">
        <v>324</v>
      </c>
      <c r="B325" t="s">
        <v>233</v>
      </c>
      <c r="C325" s="39" t="s">
        <v>423</v>
      </c>
      <c r="D325" s="39">
        <v>2.1469999999999998</v>
      </c>
      <c r="E325" s="26">
        <v>276</v>
      </c>
      <c r="F325" s="26">
        <v>283</v>
      </c>
      <c r="G325" s="26"/>
      <c r="H325" s="49" t="str">
        <f>DEC2HEX(I325)</f>
        <v>E4</v>
      </c>
      <c r="I325" s="27">
        <v>228</v>
      </c>
      <c r="J325" s="27" t="str">
        <f>CHAR(I325)</f>
        <v>ä</v>
      </c>
      <c r="L325">
        <f>IF(ISBLANK(D325),IF(E325&gt;0,F325-E325+1,0),0)</f>
        <v>0</v>
      </c>
      <c r="M325" s="45">
        <f>IF(ISBLANK(D325),0,IF(G325=0,F325-E325+1,0))</f>
        <v>8</v>
      </c>
      <c r="Q325" s="42" t="str">
        <f>C325&amp;IF(ISBLANK(D325),"","=")&amp;D325</f>
        <v>RadialAmplitude_Z=2.147</v>
      </c>
      <c r="S325" s="39">
        <v>0.5</v>
      </c>
      <c r="T325" s="42" t="str">
        <f>C325&amp;IF(ISBLANK(S325),"","=")&amp;S325</f>
        <v>RadialAmplitude_Z=0.5</v>
      </c>
      <c r="U325" s="39">
        <v>11</v>
      </c>
      <c r="V325" s="42" t="str">
        <f>C325&amp;IF(ISBLANK(U325),"","=")&amp;U325</f>
        <v>RadialAmplitude_Z=11</v>
      </c>
    </row>
    <row r="326" spans="1:22" x14ac:dyDescent="0.25">
      <c r="A326">
        <v>325</v>
      </c>
      <c r="B326" t="s">
        <v>233</v>
      </c>
      <c r="C326" s="39" t="s">
        <v>424</v>
      </c>
      <c r="D326" s="39">
        <v>2.6869999999999998</v>
      </c>
      <c r="E326" s="26">
        <v>292</v>
      </c>
      <c r="F326" s="26">
        <v>299</v>
      </c>
      <c r="G326" s="26"/>
      <c r="H326" s="49" t="str">
        <f>DEC2HEX(I326)</f>
        <v>E3</v>
      </c>
      <c r="I326" s="27">
        <v>227</v>
      </c>
      <c r="J326" s="27" t="str">
        <f>CHAR(I326)</f>
        <v>ã</v>
      </c>
      <c r="L326">
        <f>IF(ISBLANK(D326),IF(E326&gt;0,F326-E326+1,0),0)</f>
        <v>0</v>
      </c>
      <c r="M326" s="45">
        <f>IF(ISBLANK(D326),0,IF(G326=0,F326-E326+1,0))</f>
        <v>8</v>
      </c>
      <c r="Q326" s="42" t="str">
        <f>C326&amp;IF(ISBLANK(D326),"","=")&amp;D326</f>
        <v>AxialAmplitude_Z=2.687</v>
      </c>
      <c r="S326" s="39">
        <v>0.5</v>
      </c>
      <c r="T326" s="42" t="str">
        <f>C326&amp;IF(ISBLANK(S326),"","=")&amp;S326</f>
        <v>AxialAmplitude_Z=0.5</v>
      </c>
      <c r="U326" s="39">
        <v>11</v>
      </c>
      <c r="V326" s="42" t="str">
        <f>C326&amp;IF(ISBLANK(U326),"","=")&amp;U326</f>
        <v>AxialAmplitude_Z=11</v>
      </c>
    </row>
    <row r="327" spans="1:22" x14ac:dyDescent="0.25">
      <c r="A327">
        <v>326</v>
      </c>
      <c r="C327" s="39" t="s">
        <v>279</v>
      </c>
      <c r="Q327" s="42" t="str">
        <f>C327&amp;IF(ISBLANK(D327),"","=")&amp;D327</f>
        <v>;X Axis</v>
      </c>
      <c r="T327" s="42" t="str">
        <f>C327&amp;IF(ISBLANK(S327),"","=")&amp;S327</f>
        <v>;X Axis</v>
      </c>
      <c r="V327" s="42" t="str">
        <f>C327&amp;IF(ISBLANK(U327),"","=")&amp;U327</f>
        <v>;X Axis</v>
      </c>
    </row>
    <row r="328" spans="1:22" x14ac:dyDescent="0.25">
      <c r="A328">
        <v>327</v>
      </c>
      <c r="B328" t="s">
        <v>233</v>
      </c>
      <c r="C328" s="39" t="s">
        <v>366</v>
      </c>
      <c r="D328" s="39">
        <v>657</v>
      </c>
      <c r="E328" s="26">
        <v>876</v>
      </c>
      <c r="F328" s="27">
        <v>879</v>
      </c>
      <c r="G328" s="26"/>
      <c r="H328" s="49" t="str">
        <f>DEC2HEX(I328)</f>
        <v>B9</v>
      </c>
      <c r="I328" s="27">
        <v>185</v>
      </c>
      <c r="J328" s="27" t="str">
        <f>CHAR(I328)</f>
        <v>¹</v>
      </c>
      <c r="L328">
        <f>IF(ISBLANK(D328),IF(E328&gt;0,F328-E328+1,0),0)</f>
        <v>0</v>
      </c>
      <c r="M328" s="45">
        <f>IF(ISBLANK(D328),0,IF(G328=0,F328-E328+1,0))</f>
        <v>4</v>
      </c>
      <c r="Q328" s="42" t="str">
        <f>C328&amp;IF(ISBLANK(D328),"","=")&amp;D328</f>
        <v>MaxSpeed_X=657</v>
      </c>
      <c r="S328" s="39">
        <v>5000</v>
      </c>
      <c r="T328" s="42" t="str">
        <f>C328&amp;IF(ISBLANK(S328),"","=")&amp;S328</f>
        <v>MaxSpeed_X=5000</v>
      </c>
      <c r="U328" s="39">
        <v>1000</v>
      </c>
      <c r="V328" s="42" t="str">
        <f>C328&amp;IF(ISBLANK(U328),"","=")&amp;U328</f>
        <v>MaxSpeed_X=1000</v>
      </c>
    </row>
    <row r="329" spans="1:22" x14ac:dyDescent="0.25">
      <c r="A329">
        <v>328</v>
      </c>
      <c r="B329" t="s">
        <v>233</v>
      </c>
      <c r="C329" s="39" t="s">
        <v>367</v>
      </c>
      <c r="D329" s="39">
        <v>20000</v>
      </c>
      <c r="E329" s="26">
        <v>868</v>
      </c>
      <c r="F329" s="26">
        <v>871</v>
      </c>
      <c r="G329" s="26"/>
      <c r="H329" s="49" t="str">
        <f>DEC2HEX(I329)</f>
        <v>BA</v>
      </c>
      <c r="I329" s="27">
        <v>186</v>
      </c>
      <c r="J329" s="27" t="str">
        <f>CHAR(I329)</f>
        <v>º</v>
      </c>
      <c r="L329">
        <f>IF(ISBLANK(D329),IF(E329&gt;0,F329-E329+1,0),0)</f>
        <v>0</v>
      </c>
      <c r="M329" s="45">
        <f>IF(ISBLANK(D329),0,IF(G329=0,F329-E329+1,0))</f>
        <v>4</v>
      </c>
      <c r="Q329" s="42" t="str">
        <f>C329&amp;IF(ISBLANK(D329),"","=")&amp;D329</f>
        <v>Accel_X=20000</v>
      </c>
      <c r="S329" s="39">
        <v>20000</v>
      </c>
      <c r="T329" s="42" t="str">
        <f>C329&amp;IF(ISBLANK(S329),"","=")&amp;S329</f>
        <v>Accel_X=20000</v>
      </c>
      <c r="U329" s="39">
        <v>1000</v>
      </c>
      <c r="V329" s="42" t="str">
        <f>C329&amp;IF(ISBLANK(U329),"","=")&amp;U329</f>
        <v>Accel_X=1000</v>
      </c>
    </row>
    <row r="330" spans="1:22" x14ac:dyDescent="0.25">
      <c r="A330">
        <v>329</v>
      </c>
      <c r="B330" t="s">
        <v>233</v>
      </c>
      <c r="C330" s="39" t="s">
        <v>368</v>
      </c>
      <c r="D330" s="39">
        <v>83</v>
      </c>
      <c r="E330" s="26">
        <v>52</v>
      </c>
      <c r="F330" s="26">
        <v>55</v>
      </c>
      <c r="G330" s="26">
        <v>8</v>
      </c>
      <c r="H330" s="49" t="str">
        <f>DEC2HEX(I330)</f>
        <v>6F</v>
      </c>
      <c r="I330" s="26">
        <v>111</v>
      </c>
      <c r="J330" s="27" t="str">
        <f>CHAR(I330)</f>
        <v>o</v>
      </c>
      <c r="L330">
        <f>IF(ISBLANK(D330),IF(E330&gt;0,F330-E330+1,0),0)</f>
        <v>0</v>
      </c>
      <c r="M330" s="45">
        <f>IF(ISBLANK(D330),0,IF(G330=0,F330-E330+1,0))</f>
        <v>0</v>
      </c>
      <c r="Q330" s="42" t="str">
        <f>C330&amp;IF(ISBLANK(D330),"","=")&amp;D330</f>
        <v>SpeedPercentage_X=83</v>
      </c>
      <c r="S330" s="39">
        <v>100</v>
      </c>
      <c r="T330" s="42" t="str">
        <f>C330&amp;IF(ISBLANK(S330),"","=")&amp;S330</f>
        <v>SpeedPercentage_X=100</v>
      </c>
      <c r="U330" s="39">
        <v>11</v>
      </c>
      <c r="V330" s="42" t="str">
        <f>C330&amp;IF(ISBLANK(U330),"","=")&amp;U330</f>
        <v>SpeedPercentage_X=11</v>
      </c>
    </row>
    <row r="331" spans="1:22" x14ac:dyDescent="0.25">
      <c r="A331">
        <v>330</v>
      </c>
      <c r="B331" t="s">
        <v>233</v>
      </c>
      <c r="C331" s="39" t="s">
        <v>425</v>
      </c>
      <c r="D331" s="39">
        <v>1.258</v>
      </c>
      <c r="E331" s="26">
        <v>284</v>
      </c>
      <c r="F331" s="26">
        <v>291</v>
      </c>
      <c r="G331" s="26"/>
      <c r="H331" s="49" t="str">
        <f>DEC2HEX(I331)</f>
        <v>E4</v>
      </c>
      <c r="I331" s="27">
        <v>228</v>
      </c>
      <c r="J331" s="27" t="str">
        <f>CHAR(I331)</f>
        <v>ä</v>
      </c>
      <c r="L331">
        <f>IF(ISBLANK(D331),IF(E331&gt;0,F331-E331+1,0),0)</f>
        <v>0</v>
      </c>
      <c r="M331" s="45">
        <f>IF(ISBLANK(D331),0,IF(G331=0,F331-E331+1,0))</f>
        <v>8</v>
      </c>
      <c r="Q331" s="42" t="str">
        <f>C331&amp;IF(ISBLANK(D331),"","=")&amp;D331</f>
        <v>RadialAmplitude_X=1.258</v>
      </c>
      <c r="S331" s="39">
        <v>0.5</v>
      </c>
      <c r="T331" s="42" t="str">
        <f>C331&amp;IF(ISBLANK(S331),"","=")&amp;S331</f>
        <v>RadialAmplitude_X=0.5</v>
      </c>
      <c r="U331" s="39">
        <v>11</v>
      </c>
      <c r="V331" s="42" t="str">
        <f>C331&amp;IF(ISBLANK(U331),"","=")&amp;U331</f>
        <v>RadialAmplitude_X=11</v>
      </c>
    </row>
    <row r="332" spans="1:22" x14ac:dyDescent="0.25">
      <c r="A332">
        <v>331</v>
      </c>
      <c r="B332" t="s">
        <v>233</v>
      </c>
      <c r="C332" s="39" t="s">
        <v>426</v>
      </c>
      <c r="D332" s="39">
        <v>2.5</v>
      </c>
      <c r="E332" s="26">
        <v>224</v>
      </c>
      <c r="F332" s="26">
        <v>231</v>
      </c>
      <c r="G332" s="26"/>
      <c r="H332" s="49" t="str">
        <f>DEC2HEX(I332)</f>
        <v>E3</v>
      </c>
      <c r="I332" s="27">
        <v>227</v>
      </c>
      <c r="J332" s="27" t="str">
        <f>CHAR(I332)</f>
        <v>ã</v>
      </c>
      <c r="L332">
        <f>IF(ISBLANK(D332),IF(E332&gt;0,F332-E332+1,0),0)</f>
        <v>0</v>
      </c>
      <c r="M332" s="45">
        <f>IF(ISBLANK(D332),0,IF(G332=0,F332-E332+1,0))</f>
        <v>8</v>
      </c>
      <c r="Q332" s="42" t="str">
        <f>C332&amp;IF(ISBLANK(D332),"","=")&amp;D332</f>
        <v>AxialAmplitude_X=2.5</v>
      </c>
      <c r="S332" s="39">
        <v>0.5</v>
      </c>
      <c r="T332" s="42" t="str">
        <f>C332&amp;IF(ISBLANK(S332),"","=")&amp;S332</f>
        <v>AxialAmplitude_X=0.5</v>
      </c>
      <c r="U332" s="39">
        <v>11</v>
      </c>
      <c r="V332" s="42" t="str">
        <f>C332&amp;IF(ISBLANK(U332),"","=")&amp;U332</f>
        <v>AxialAmplitude_X=11</v>
      </c>
    </row>
    <row r="333" spans="1:22" x14ac:dyDescent="0.25">
      <c r="A333">
        <v>332</v>
      </c>
      <c r="C333" s="39" t="s">
        <v>281</v>
      </c>
      <c r="Q333" s="42" t="str">
        <f>C333&amp;IF(ISBLANK(D333),"","=")&amp;D333</f>
        <v>;M3 Axis</v>
      </c>
      <c r="T333" s="42" t="str">
        <f>C333&amp;IF(ISBLANK(S333),"","=")&amp;S333</f>
        <v>;M3 Axis</v>
      </c>
      <c r="V333" s="42" t="str">
        <f>C333&amp;IF(ISBLANK(U333),"","=")&amp;U333</f>
        <v>;M3 Axis</v>
      </c>
    </row>
    <row r="334" spans="1:22" x14ac:dyDescent="0.25">
      <c r="A334">
        <v>333</v>
      </c>
      <c r="B334" t="s">
        <v>233</v>
      </c>
      <c r="C334" s="39" t="s">
        <v>375</v>
      </c>
      <c r="D334" s="39">
        <v>4785</v>
      </c>
      <c r="E334" s="26">
        <v>824</v>
      </c>
      <c r="F334" s="26">
        <v>827</v>
      </c>
      <c r="G334" s="26"/>
      <c r="H334" s="49" t="str">
        <f>DEC2HEX(I334)</f>
        <v>B9</v>
      </c>
      <c r="I334" s="27">
        <v>185</v>
      </c>
      <c r="J334" s="27" t="str">
        <f>CHAR(I334)</f>
        <v>¹</v>
      </c>
      <c r="L334">
        <f>IF(ISBLANK(D334),IF(E334&gt;0,F334-E334+1,0),0)</f>
        <v>0</v>
      </c>
      <c r="M334" s="45">
        <f>IF(ISBLANK(D334),0,IF(G334=0,F334-E334+1,0))</f>
        <v>4</v>
      </c>
      <c r="Q334" s="42" t="str">
        <f>C334&amp;IF(ISBLANK(D334),"","=")&amp;D334</f>
        <v>MaxSpeed_M3=4785</v>
      </c>
      <c r="S334" s="39">
        <v>5000</v>
      </c>
      <c r="T334" s="42" t="str">
        <f>C334&amp;IF(ISBLANK(S334),"","=")&amp;S334</f>
        <v>MaxSpeed_M3=5000</v>
      </c>
      <c r="U334" s="39">
        <v>11</v>
      </c>
      <c r="V334" s="42" t="str">
        <f>C334&amp;IF(ISBLANK(U334),"","=")&amp;U334</f>
        <v>MaxSpeed_M3=11</v>
      </c>
    </row>
    <row r="335" spans="1:22" x14ac:dyDescent="0.25">
      <c r="A335">
        <v>334</v>
      </c>
      <c r="B335" t="s">
        <v>233</v>
      </c>
      <c r="C335" s="39" t="s">
        <v>376</v>
      </c>
      <c r="D335" s="39">
        <v>20000</v>
      </c>
      <c r="E335" s="26">
        <v>820</v>
      </c>
      <c r="F335" s="26">
        <v>823</v>
      </c>
      <c r="G335" s="26"/>
      <c r="H335" s="49" t="str">
        <f>DEC2HEX(I335)</f>
        <v>BA</v>
      </c>
      <c r="I335" s="27">
        <v>186</v>
      </c>
      <c r="J335" s="27" t="str">
        <f>CHAR(I335)</f>
        <v>º</v>
      </c>
      <c r="L335">
        <f>IF(ISBLANK(D335),IF(E335&gt;0,F335-E335+1,0),0)</f>
        <v>0</v>
      </c>
      <c r="M335" s="45">
        <f>IF(ISBLANK(D335),0,IF(G335=0,F335-E335+1,0))</f>
        <v>4</v>
      </c>
      <c r="Q335" s="42" t="str">
        <f>C335&amp;IF(ISBLANK(D335),"","=")&amp;D335</f>
        <v>Accel_M3=20000</v>
      </c>
      <c r="S335" s="39">
        <v>20000</v>
      </c>
      <c r="T335" s="42" t="str">
        <f>C335&amp;IF(ISBLANK(S335),"","=")&amp;S335</f>
        <v>Accel_M3=20000</v>
      </c>
      <c r="U335" s="39">
        <v>11</v>
      </c>
      <c r="V335" s="42" t="str">
        <f>C335&amp;IF(ISBLANK(U335),"","=")&amp;U335</f>
        <v>Accel_M3=11</v>
      </c>
    </row>
    <row r="336" spans="1:22" x14ac:dyDescent="0.25">
      <c r="A336">
        <v>335</v>
      </c>
      <c r="B336" t="s">
        <v>233</v>
      </c>
      <c r="C336" s="39" t="s">
        <v>377</v>
      </c>
      <c r="D336" s="39">
        <v>80</v>
      </c>
      <c r="E336" s="26">
        <v>52</v>
      </c>
      <c r="F336" s="26">
        <v>55</v>
      </c>
      <c r="G336" s="26">
        <v>16</v>
      </c>
      <c r="H336" s="49" t="str">
        <f>DEC2HEX(I336)</f>
        <v>6F</v>
      </c>
      <c r="I336" s="26">
        <v>111</v>
      </c>
      <c r="J336" s="27" t="str">
        <f>CHAR(I336)</f>
        <v>o</v>
      </c>
      <c r="L336">
        <f>IF(ISBLANK(D336),IF(E336&gt;0,F336-E336+1,0),0)</f>
        <v>0</v>
      </c>
      <c r="M336" s="45">
        <f>IF(ISBLANK(D336),0,IF(G336=0,F336-E336+1,0))</f>
        <v>0</v>
      </c>
      <c r="Q336" s="42" t="str">
        <f>C336&amp;IF(ISBLANK(D336),"","=")&amp;D336</f>
        <v>SpeedPercentage_M3=80</v>
      </c>
      <c r="S336" s="39">
        <v>100</v>
      </c>
      <c r="T336" s="42" t="str">
        <f>C336&amp;IF(ISBLANK(S336),"","=")&amp;S336</f>
        <v>SpeedPercentage_M3=100</v>
      </c>
      <c r="U336" s="39">
        <v>11</v>
      </c>
      <c r="V336" s="42" t="str">
        <f>C336&amp;IF(ISBLANK(U336),"","=")&amp;U336</f>
        <v>SpeedPercentage_M3=11</v>
      </c>
    </row>
    <row r="337" spans="1:25" x14ac:dyDescent="0.25">
      <c r="A337">
        <v>336</v>
      </c>
      <c r="B337" t="s">
        <v>233</v>
      </c>
      <c r="C337" s="39" t="s">
        <v>427</v>
      </c>
      <c r="D337" s="39">
        <v>3.4780000000000002</v>
      </c>
      <c r="E337" s="26">
        <v>520</v>
      </c>
      <c r="F337" s="26">
        <v>527</v>
      </c>
      <c r="G337" s="26"/>
      <c r="H337" s="49" t="str">
        <f>DEC2HEX(I337)</f>
        <v>E4</v>
      </c>
      <c r="I337" s="27">
        <v>228</v>
      </c>
      <c r="J337" s="27" t="str">
        <f>CHAR(I337)</f>
        <v>ä</v>
      </c>
      <c r="L337">
        <f>IF(ISBLANK(D337),IF(E337&gt;0,F337-E337+1,0),0)</f>
        <v>0</v>
      </c>
      <c r="M337" s="45">
        <f>IF(ISBLANK(D337),0,IF(G337=0,F337-E337+1,0))</f>
        <v>8</v>
      </c>
      <c r="Q337" s="42" t="str">
        <f>C337&amp;IF(ISBLANK(D337),"","=")&amp;D337</f>
        <v>RadialAmplitude_M3=3.478</v>
      </c>
      <c r="S337" s="39">
        <v>0.5</v>
      </c>
      <c r="T337" s="42" t="str">
        <f>C337&amp;IF(ISBLANK(S337),"","=")&amp;S337</f>
        <v>RadialAmplitude_M3=0.5</v>
      </c>
      <c r="U337" s="39">
        <v>11</v>
      </c>
      <c r="V337" s="42" t="str">
        <f>C337&amp;IF(ISBLANK(U337),"","=")&amp;U337</f>
        <v>RadialAmplitude_M3=11</v>
      </c>
    </row>
    <row r="338" spans="1:25" x14ac:dyDescent="0.25">
      <c r="A338">
        <v>337</v>
      </c>
      <c r="B338" t="s">
        <v>233</v>
      </c>
      <c r="C338" s="107" t="s">
        <v>428</v>
      </c>
      <c r="D338" s="107">
        <v>3.5</v>
      </c>
      <c r="E338" s="26">
        <v>528</v>
      </c>
      <c r="F338" s="26">
        <v>535</v>
      </c>
      <c r="G338" s="26"/>
      <c r="H338" s="49" t="str">
        <f>DEC2HEX(I338)</f>
        <v>E3</v>
      </c>
      <c r="I338" s="27">
        <v>227</v>
      </c>
      <c r="J338" s="27" t="str">
        <f>CHAR(I338)</f>
        <v>ã</v>
      </c>
      <c r="L338">
        <f>IF(ISBLANK(D338),IF(E338&gt;0,F338-E338+1,0),0)</f>
        <v>0</v>
      </c>
      <c r="M338" s="45">
        <f>IF(ISBLANK(D338),0,IF(G338=0,F338-E338+1,0))</f>
        <v>8</v>
      </c>
      <c r="Q338" s="42" t="str">
        <f>C338&amp;IF(ISBLANK(D338),"","=")&amp;D338</f>
        <v>AxialAmplitude_M3=3.5</v>
      </c>
      <c r="R338" s="102"/>
      <c r="S338" s="39">
        <v>0.5</v>
      </c>
      <c r="T338" s="42" t="str">
        <f>C338&amp;IF(ISBLANK(S338),"","=")&amp;S338</f>
        <v>AxialAmplitude_M3=0.5</v>
      </c>
      <c r="U338" s="39">
        <v>11</v>
      </c>
      <c r="V338" s="42" t="str">
        <f>C338&amp;IF(ISBLANK(U338),"","=")&amp;U338</f>
        <v>AxialAmplitude_M3=11</v>
      </c>
    </row>
    <row r="339" spans="1:25" x14ac:dyDescent="0.25">
      <c r="A339">
        <v>338</v>
      </c>
      <c r="C339" s="39" t="s">
        <v>282</v>
      </c>
      <c r="Q339" s="42" t="str">
        <f>C339&amp;IF(ISBLANK(D339),"","=")&amp;D339</f>
        <v>;M4 Axis</v>
      </c>
      <c r="T339" s="42" t="str">
        <f>C339&amp;IF(ISBLANK(S339),"","=")&amp;S339</f>
        <v>;M4 Axis</v>
      </c>
      <c r="V339" s="42" t="str">
        <f>C339&amp;IF(ISBLANK(U339),"","=")&amp;U339</f>
        <v>;M4 Axis</v>
      </c>
    </row>
    <row r="340" spans="1:25" x14ac:dyDescent="0.25">
      <c r="A340">
        <v>339</v>
      </c>
      <c r="B340" t="s">
        <v>233</v>
      </c>
      <c r="C340" s="48" t="s">
        <v>378</v>
      </c>
      <c r="D340" s="39">
        <v>1100</v>
      </c>
      <c r="E340" s="26">
        <v>900</v>
      </c>
      <c r="F340" s="26">
        <v>903</v>
      </c>
      <c r="G340" s="26"/>
      <c r="H340" s="49" t="str">
        <f>DEC2HEX(I340)</f>
        <v>B9</v>
      </c>
      <c r="I340" s="27">
        <v>185</v>
      </c>
      <c r="J340" s="27" t="str">
        <f>CHAR(I340)</f>
        <v>¹</v>
      </c>
      <c r="L340">
        <f>IF(ISBLANK(D340),IF(E340&gt;0,F340-E340+1,0),0)</f>
        <v>0</v>
      </c>
      <c r="M340" s="45">
        <f>IF(ISBLANK(D340),0,IF(G340=0,F340-E340+1,0))</f>
        <v>4</v>
      </c>
      <c r="Q340" s="42" t="str">
        <f>C340&amp;IF(ISBLANK(D340),"","=")&amp;D340</f>
        <v>MaxSpeed_M4=1100</v>
      </c>
      <c r="S340" s="39">
        <v>102</v>
      </c>
      <c r="T340" s="42" t="str">
        <f>C340&amp;IF(ISBLANK(S340),"","=")&amp;S340</f>
        <v>MaxSpeed_M4=102</v>
      </c>
      <c r="U340" s="39">
        <v>13</v>
      </c>
      <c r="V340" s="42" t="str">
        <f>C340&amp;IF(ISBLANK(U340),"","=")&amp;U340</f>
        <v>MaxSpeed_M4=13</v>
      </c>
    </row>
    <row r="341" spans="1:25" x14ac:dyDescent="0.25">
      <c r="A341">
        <v>340</v>
      </c>
      <c r="B341" t="s">
        <v>233</v>
      </c>
      <c r="C341" s="39" t="s">
        <v>379</v>
      </c>
      <c r="D341" s="39">
        <v>20000</v>
      </c>
      <c r="E341" s="26">
        <v>844</v>
      </c>
      <c r="F341" s="26">
        <v>847</v>
      </c>
      <c r="G341" s="26"/>
      <c r="H341" s="49" t="str">
        <f>DEC2HEX(I341)</f>
        <v>BA</v>
      </c>
      <c r="I341" s="27">
        <v>186</v>
      </c>
      <c r="J341" s="27" t="str">
        <f>CHAR(I341)</f>
        <v>º</v>
      </c>
      <c r="L341">
        <f>IF(ISBLANK(D341),IF(E341&gt;0,F341-E341+1,0),0)</f>
        <v>0</v>
      </c>
      <c r="M341" s="45">
        <f>IF(ISBLANK(D341),0,IF(G341=0,F341-E341+1,0))</f>
        <v>4</v>
      </c>
      <c r="Q341" s="42" t="str">
        <f>C341&amp;IF(ISBLANK(D341),"","=")&amp;D341</f>
        <v>Accel_M4=20000</v>
      </c>
      <c r="S341" s="39">
        <v>101</v>
      </c>
      <c r="T341" s="42" t="str">
        <f>C341&amp;IF(ISBLANK(S341),"","=")&amp;S341</f>
        <v>Accel_M4=101</v>
      </c>
      <c r="U341" s="39">
        <v>12</v>
      </c>
      <c r="V341" s="42" t="str">
        <f>C341&amp;IF(ISBLANK(U341),"","=")&amp;U341</f>
        <v>Accel_M4=12</v>
      </c>
    </row>
    <row r="342" spans="1:25" x14ac:dyDescent="0.25">
      <c r="A342">
        <v>341</v>
      </c>
      <c r="B342" t="s">
        <v>233</v>
      </c>
      <c r="C342" s="39" t="s">
        <v>380</v>
      </c>
      <c r="D342" s="39">
        <v>81</v>
      </c>
      <c r="E342" s="26">
        <v>52</v>
      </c>
      <c r="F342" s="26">
        <v>55</v>
      </c>
      <c r="G342" s="26">
        <v>24</v>
      </c>
      <c r="H342" s="49" t="str">
        <f>DEC2HEX(I342)</f>
        <v>6F</v>
      </c>
      <c r="I342" s="26">
        <v>111</v>
      </c>
      <c r="J342" s="27" t="str">
        <f>CHAR(I342)</f>
        <v>o</v>
      </c>
      <c r="L342">
        <f>IF(ISBLANK(D342),IF(E342&gt;0,F342-E342+1,0),0)</f>
        <v>0</v>
      </c>
      <c r="M342" s="45">
        <f>IF(ISBLANK(D342),0,IF(G342=0,F342-E342+1,0))</f>
        <v>0</v>
      </c>
      <c r="Q342" s="42" t="str">
        <f>C342&amp;IF(ISBLANK(D342),"","=")&amp;D342</f>
        <v>SpeedPercentage_M4=81</v>
      </c>
      <c r="S342" s="39">
        <v>100</v>
      </c>
      <c r="T342" s="42" t="str">
        <f>C342&amp;IF(ISBLANK(S342),"","=")&amp;S342</f>
        <v>SpeedPercentage_M4=100</v>
      </c>
      <c r="U342" s="39">
        <v>11</v>
      </c>
      <c r="V342" s="42" t="str">
        <f>C342&amp;IF(ISBLANK(U342),"","=")&amp;U342</f>
        <v>SpeedPercentage_M4=11</v>
      </c>
    </row>
    <row r="343" spans="1:25" x14ac:dyDescent="0.25">
      <c r="A343">
        <v>342</v>
      </c>
      <c r="B343" t="s">
        <v>233</v>
      </c>
      <c r="C343" s="39" t="s">
        <v>429</v>
      </c>
      <c r="D343" s="39">
        <v>2.6890000000000001</v>
      </c>
      <c r="E343" s="26">
        <v>68</v>
      </c>
      <c r="F343" s="26">
        <v>75</v>
      </c>
      <c r="G343" s="26"/>
      <c r="H343" s="49" t="str">
        <f>DEC2HEX(I343)</f>
        <v>E4</v>
      </c>
      <c r="I343" s="27">
        <v>228</v>
      </c>
      <c r="J343" s="27" t="str">
        <f>CHAR(I343)</f>
        <v>ä</v>
      </c>
      <c r="L343">
        <f>IF(ISBLANK(D343),IF(E343&gt;0,F343-E343+1,0),0)</f>
        <v>0</v>
      </c>
      <c r="M343" s="45">
        <f>IF(ISBLANK(D343),0,IF(G343=0,F343-E343+1,0))</f>
        <v>8</v>
      </c>
      <c r="Q343" s="42" t="str">
        <f>C343&amp;IF(ISBLANK(D343),"","=")&amp;D343</f>
        <v>RadialAmplitude_M4=2.689</v>
      </c>
      <c r="S343" s="39">
        <v>0.5</v>
      </c>
      <c r="T343" s="42" t="str">
        <f>C343&amp;IF(ISBLANK(S343),"","=")&amp;S343</f>
        <v>RadialAmplitude_M4=0.5</v>
      </c>
      <c r="U343" s="39">
        <v>11</v>
      </c>
      <c r="V343" s="42" t="str">
        <f>C343&amp;IF(ISBLANK(U343),"","=")&amp;U343</f>
        <v>RadialAmplitude_M4=11</v>
      </c>
    </row>
    <row r="344" spans="1:25" x14ac:dyDescent="0.25">
      <c r="A344">
        <v>343</v>
      </c>
      <c r="B344" t="s">
        <v>233</v>
      </c>
      <c r="C344" s="48" t="s">
        <v>430</v>
      </c>
      <c r="D344" s="39">
        <v>3.5680000000000001</v>
      </c>
      <c r="E344" s="26">
        <v>60</v>
      </c>
      <c r="F344" s="26">
        <v>67</v>
      </c>
      <c r="G344" s="26"/>
      <c r="H344" s="49" t="str">
        <f>DEC2HEX(I344)</f>
        <v>E3</v>
      </c>
      <c r="I344" s="27">
        <v>227</v>
      </c>
      <c r="J344" s="27" t="str">
        <f>CHAR(I344)</f>
        <v>ã</v>
      </c>
      <c r="L344">
        <f>IF(ISBLANK(D344),IF(E344&gt;0,F344-E344+1,0),0)</f>
        <v>0</v>
      </c>
      <c r="M344" s="45">
        <f>IF(ISBLANK(D344),0,IF(G344=0,F344-E344+1,0))</f>
        <v>8</v>
      </c>
      <c r="Q344" s="42" t="str">
        <f>C344&amp;IF(ISBLANK(D344),"","=")&amp;D344</f>
        <v>AxialAmplitude_M4=3.568</v>
      </c>
      <c r="S344" s="39">
        <v>0.5</v>
      </c>
      <c r="T344" s="42" t="str">
        <f>C344&amp;IF(ISBLANK(S344),"","=")&amp;S344</f>
        <v>AxialAmplitude_M4=0.5</v>
      </c>
      <c r="U344" s="39">
        <v>11</v>
      </c>
      <c r="V344" s="42" t="str">
        <f>C344&amp;IF(ISBLANK(U344),"","=")&amp;U344</f>
        <v>AxialAmplitude_M4=11</v>
      </c>
    </row>
    <row r="345" spans="1:25" x14ac:dyDescent="0.25">
      <c r="A345">
        <v>344</v>
      </c>
      <c r="B345" s="1"/>
      <c r="C345" s="43" t="s">
        <v>506</v>
      </c>
      <c r="D345" s="43"/>
      <c r="E345" s="1"/>
      <c r="F345" s="1"/>
      <c r="G345" s="1"/>
      <c r="H345" s="96"/>
      <c r="I345" s="1"/>
      <c r="J345" s="1"/>
      <c r="K345" s="43"/>
      <c r="L345" s="1"/>
      <c r="M345" s="46"/>
      <c r="N345" s="1"/>
      <c r="O345" s="1"/>
      <c r="P345" s="1"/>
      <c r="Q345" s="1" t="str">
        <f>C345&amp;IF(ISBLANK(D345),"","=")&amp;D345</f>
        <v>;End ini</v>
      </c>
      <c r="R345" s="1"/>
      <c r="S345" s="43"/>
      <c r="T345" s="1" t="str">
        <f>C345&amp;IF(ISBLANK(S345),"","=")&amp;S345</f>
        <v>;End ini</v>
      </c>
      <c r="U345" s="43"/>
      <c r="V345" s="1" t="str">
        <f>C345&amp;IF(ISBLANK(U345),"","=")&amp;U345</f>
        <v>;End ini</v>
      </c>
      <c r="W345" s="1"/>
      <c r="X345" s="1"/>
      <c r="Y345" s="1"/>
    </row>
    <row r="346" spans="1:25" x14ac:dyDescent="0.25">
      <c r="A346" s="106">
        <v>345</v>
      </c>
      <c r="B346" s="106" t="s">
        <v>0</v>
      </c>
      <c r="C346" s="107" t="s">
        <v>187</v>
      </c>
      <c r="D346" s="107" t="s">
        <v>450</v>
      </c>
      <c r="E346" s="26">
        <v>112</v>
      </c>
      <c r="F346" s="26">
        <v>125</v>
      </c>
      <c r="G346" s="26"/>
      <c r="H346" s="49" t="str">
        <f>DEC2HEX(I346)</f>
        <v>BE</v>
      </c>
      <c r="I346" s="27">
        <v>190</v>
      </c>
      <c r="J346" s="27" t="str">
        <f>CHAR(I346)</f>
        <v>¾</v>
      </c>
      <c r="K346" s="107"/>
      <c r="L346">
        <f>IF(ISBLANK(D346),IF(E346&gt;0,F346-E346+1,0),0)</f>
        <v>0</v>
      </c>
      <c r="M346" s="45">
        <f>IF(ISBLANK(D346),0,IF(G346=0,F346-E346+1,0))</f>
        <v>14</v>
      </c>
      <c r="S346" s="44" t="s">
        <v>450</v>
      </c>
      <c r="U346" s="44" t="s">
        <v>450</v>
      </c>
    </row>
    <row r="347" spans="1:25" x14ac:dyDescent="0.25">
      <c r="A347">
        <v>346</v>
      </c>
      <c r="B347" t="s">
        <v>233</v>
      </c>
      <c r="C347" s="39" t="s">
        <v>408</v>
      </c>
      <c r="D347" s="39">
        <v>0</v>
      </c>
      <c r="E347" s="27">
        <v>240</v>
      </c>
      <c r="F347" s="27">
        <v>243</v>
      </c>
      <c r="G347" s="26"/>
      <c r="H347" s="49" t="str">
        <f>DEC2HEX(I347)</f>
        <v>46</v>
      </c>
      <c r="I347" s="27">
        <v>70</v>
      </c>
      <c r="J347" s="27" t="str">
        <f>CHAR(I347)</f>
        <v>F</v>
      </c>
      <c r="L347">
        <f>IF(ISBLANK(D347),IF(E347&gt;0,F347-E347+1,0),0)</f>
        <v>0</v>
      </c>
      <c r="M347" s="45">
        <f>IF(ISBLANK(D347),0,IF(G347=0,F347-E347+1,0))</f>
        <v>4</v>
      </c>
      <c r="Q347" s="42" t="str">
        <f>C347&amp;IF(ISBLANK(D347),"","=")&amp;D347</f>
        <v>RadialOrAxial=0</v>
      </c>
      <c r="S347" s="39">
        <v>0</v>
      </c>
      <c r="T347" s="42" t="str">
        <f>C347&amp;IF(ISBLANK(S347),"","=")&amp;S347</f>
        <v>RadialOrAxial=0</v>
      </c>
      <c r="U347" s="39">
        <v>1</v>
      </c>
      <c r="V347" s="42" t="str">
        <f>C347&amp;IF(ISBLANK(U347),"","=")&amp;U347</f>
        <v>RadialOrAxial=1</v>
      </c>
    </row>
    <row r="348" spans="1:25" s="1" customFormat="1" x14ac:dyDescent="0.25">
      <c r="A348" s="106">
        <v>347</v>
      </c>
      <c r="B348" s="106" t="s">
        <v>274</v>
      </c>
      <c r="C348" s="107" t="s">
        <v>491</v>
      </c>
      <c r="D348" s="107" t="s">
        <v>450</v>
      </c>
      <c r="E348" s="26">
        <v>126</v>
      </c>
      <c r="F348" s="26">
        <v>139</v>
      </c>
      <c r="G348" s="26"/>
      <c r="H348" s="49" t="str">
        <f>DEC2HEX(I348)</f>
        <v>BE</v>
      </c>
      <c r="I348" s="27">
        <v>190</v>
      </c>
      <c r="J348" s="27" t="str">
        <f>CHAR(I348)</f>
        <v>¾</v>
      </c>
      <c r="K348" s="107"/>
      <c r="L348">
        <f>IF(ISBLANK(D348),IF(E348&gt;0,F348-E348+1,0),0)</f>
        <v>0</v>
      </c>
      <c r="M348" s="45">
        <f>IF(ISBLANK(D348),0,IF(G348=0,F348-E348+1,0))</f>
        <v>14</v>
      </c>
      <c r="N348" s="54"/>
      <c r="O348" s="54"/>
      <c r="P348" s="54"/>
      <c r="Q348" s="42"/>
      <c r="R348"/>
      <c r="S348" s="44" t="s">
        <v>450</v>
      </c>
      <c r="T348"/>
      <c r="U348" s="44" t="s">
        <v>450</v>
      </c>
      <c r="V348"/>
      <c r="W348"/>
      <c r="X348"/>
      <c r="Y348"/>
    </row>
    <row r="349" spans="1:25" x14ac:dyDescent="0.25">
      <c r="A349">
        <v>348</v>
      </c>
      <c r="B349" s="34" t="s">
        <v>42</v>
      </c>
      <c r="C349" s="44" t="s">
        <v>188</v>
      </c>
      <c r="D349" s="44" t="s">
        <v>450</v>
      </c>
      <c r="E349" s="35">
        <v>444</v>
      </c>
      <c r="F349" s="34">
        <v>451</v>
      </c>
      <c r="G349" s="35"/>
      <c r="H349" s="78"/>
      <c r="I349" s="35"/>
      <c r="J349" s="35"/>
      <c r="L349">
        <f>IF(ISBLANK(D349),IF(E349&gt;0,F349-E349+1,0),0)</f>
        <v>0</v>
      </c>
      <c r="M349" s="45">
        <f>IF(ISBLANK(D349),0,IF(G349=0,F349-E349+1,0))</f>
        <v>8</v>
      </c>
      <c r="S349" s="44" t="s">
        <v>450</v>
      </c>
      <c r="U349" s="44" t="s">
        <v>450</v>
      </c>
    </row>
    <row r="350" spans="1:25" x14ac:dyDescent="0.25">
      <c r="A350">
        <v>349</v>
      </c>
      <c r="B350" s="61" t="s">
        <v>274</v>
      </c>
      <c r="C350" s="62" t="s">
        <v>584</v>
      </c>
      <c r="D350" s="62"/>
      <c r="E350" s="61"/>
      <c r="F350" s="61"/>
      <c r="G350" s="61"/>
      <c r="H350" s="63" t="str">
        <f>DEC2HEX(I350)</f>
        <v>3D</v>
      </c>
      <c r="I350" s="64">
        <v>61</v>
      </c>
      <c r="J350" s="64" t="str">
        <f>CHAR(I350)</f>
        <v>=</v>
      </c>
      <c r="S350" s="62"/>
      <c r="U350" s="62"/>
    </row>
    <row r="351" spans="1:25" x14ac:dyDescent="0.25">
      <c r="A351">
        <v>350</v>
      </c>
      <c r="B351" s="61" t="s">
        <v>274</v>
      </c>
      <c r="C351" s="62" t="s">
        <v>583</v>
      </c>
      <c r="D351" s="62"/>
      <c r="E351" s="61"/>
      <c r="F351" s="61"/>
      <c r="G351" s="61"/>
      <c r="H351" s="63" t="str">
        <f>DEC2HEX(I351)</f>
        <v>3E</v>
      </c>
      <c r="I351" s="64">
        <v>62</v>
      </c>
      <c r="J351" s="64" t="str">
        <f>CHAR(I351)</f>
        <v>&gt;</v>
      </c>
      <c r="S351" s="62"/>
      <c r="U351" s="62"/>
    </row>
    <row r="352" spans="1:25" x14ac:dyDescent="0.25">
      <c r="A352">
        <v>351</v>
      </c>
      <c r="B352" s="61" t="s">
        <v>185</v>
      </c>
      <c r="C352" s="62" t="s">
        <v>488</v>
      </c>
      <c r="D352" s="62"/>
      <c r="E352" s="61"/>
      <c r="F352" s="61"/>
      <c r="G352" s="61"/>
      <c r="H352" s="63" t="str">
        <f>DEC2HEX(I352)</f>
        <v>40</v>
      </c>
      <c r="I352" s="64">
        <v>64</v>
      </c>
      <c r="J352" s="64" t="str">
        <f>CHAR(I352)</f>
        <v>@</v>
      </c>
      <c r="S352" s="62"/>
      <c r="U352" s="62"/>
    </row>
    <row r="353" spans="1:21" x14ac:dyDescent="0.25">
      <c r="A353">
        <v>352</v>
      </c>
      <c r="B353" s="61" t="s">
        <v>8</v>
      </c>
      <c r="C353" s="62" t="s">
        <v>461</v>
      </c>
      <c r="D353" s="62"/>
      <c r="E353" s="61"/>
      <c r="F353" s="61"/>
      <c r="G353" s="61"/>
      <c r="H353" s="63" t="str">
        <f>DEC2HEX(I353)</f>
        <v>41</v>
      </c>
      <c r="I353" s="64">
        <v>65</v>
      </c>
      <c r="J353" s="64" t="str">
        <f>CHAR(I353)</f>
        <v>A</v>
      </c>
      <c r="S353" s="62"/>
      <c r="U353" s="62"/>
    </row>
    <row r="354" spans="1:21" x14ac:dyDescent="0.25">
      <c r="A354">
        <v>353</v>
      </c>
      <c r="B354" s="61" t="s">
        <v>5</v>
      </c>
      <c r="C354" s="62" t="s">
        <v>522</v>
      </c>
      <c r="D354" s="62"/>
      <c r="E354" s="61"/>
      <c r="F354" s="61"/>
      <c r="G354" s="61"/>
      <c r="H354" s="63" t="str">
        <f>DEC2HEX(I354)</f>
        <v>43</v>
      </c>
      <c r="I354" s="64">
        <v>67</v>
      </c>
      <c r="J354" s="64" t="str">
        <f>CHAR(I354)</f>
        <v>C</v>
      </c>
      <c r="S354" s="62"/>
      <c r="U354" s="62"/>
    </row>
    <row r="355" spans="1:21" x14ac:dyDescent="0.25">
      <c r="A355">
        <v>354</v>
      </c>
      <c r="B355" s="61" t="s">
        <v>35</v>
      </c>
      <c r="C355" s="62" t="s">
        <v>462</v>
      </c>
      <c r="D355" s="62"/>
      <c r="E355" s="61"/>
      <c r="F355" s="61"/>
      <c r="G355" s="61"/>
      <c r="H355" s="63" t="str">
        <f>DEC2HEX(I355)</f>
        <v>4A</v>
      </c>
      <c r="I355" s="64">
        <v>74</v>
      </c>
      <c r="J355" s="64" t="str">
        <f>CHAR(I355)</f>
        <v>J</v>
      </c>
      <c r="S355" s="62"/>
      <c r="U355" s="62"/>
    </row>
    <row r="356" spans="1:21" x14ac:dyDescent="0.25">
      <c r="A356">
        <v>355</v>
      </c>
      <c r="B356" s="61" t="s">
        <v>35</v>
      </c>
      <c r="C356" s="62" t="s">
        <v>463</v>
      </c>
      <c r="D356" s="62"/>
      <c r="E356" s="61"/>
      <c r="F356" s="61"/>
      <c r="G356" s="61"/>
      <c r="H356" s="63" t="str">
        <f>DEC2HEX(I356)</f>
        <v>4B</v>
      </c>
      <c r="I356" s="64">
        <v>75</v>
      </c>
      <c r="J356" s="64" t="str">
        <f>CHAR(I356)</f>
        <v>K</v>
      </c>
      <c r="S356" s="62"/>
      <c r="U356" s="62"/>
    </row>
    <row r="357" spans="1:21" x14ac:dyDescent="0.25">
      <c r="A357">
        <v>356</v>
      </c>
      <c r="B357" s="61" t="s">
        <v>464</v>
      </c>
      <c r="C357" s="103" t="s">
        <v>465</v>
      </c>
      <c r="D357" s="62"/>
      <c r="E357" s="61"/>
      <c r="F357" s="61"/>
      <c r="G357" s="61"/>
      <c r="H357" s="105" t="str">
        <f>DEC2HEX(I357)</f>
        <v>4E</v>
      </c>
      <c r="I357" s="64">
        <v>78</v>
      </c>
      <c r="J357" s="64" t="str">
        <f>CHAR(I357)</f>
        <v>N</v>
      </c>
      <c r="S357" s="62"/>
      <c r="U357" s="62"/>
    </row>
    <row r="358" spans="1:21" x14ac:dyDescent="0.25">
      <c r="A358">
        <v>357</v>
      </c>
      <c r="B358" s="61" t="s">
        <v>0</v>
      </c>
      <c r="C358" s="62" t="s">
        <v>466</v>
      </c>
      <c r="D358" s="62"/>
      <c r="E358" s="61"/>
      <c r="F358" s="61"/>
      <c r="G358" s="61"/>
      <c r="H358" s="105" t="str">
        <f>DEC2HEX(I358)</f>
        <v>51</v>
      </c>
      <c r="I358" s="64">
        <v>81</v>
      </c>
      <c r="J358" s="64" t="str">
        <f>CHAR(I358)</f>
        <v>Q</v>
      </c>
      <c r="S358" s="62"/>
      <c r="U358" s="62"/>
    </row>
    <row r="359" spans="1:21" x14ac:dyDescent="0.25">
      <c r="A359">
        <v>358</v>
      </c>
      <c r="B359" s="61" t="s">
        <v>0</v>
      </c>
      <c r="C359" s="62" t="s">
        <v>467</v>
      </c>
      <c r="D359" s="62"/>
      <c r="E359" s="61"/>
      <c r="F359" s="61"/>
      <c r="G359" s="61"/>
      <c r="H359" s="105" t="str">
        <f>DEC2HEX(I359)</f>
        <v>52</v>
      </c>
      <c r="I359" s="64">
        <v>82</v>
      </c>
      <c r="J359" s="64" t="str">
        <f>CHAR(I359)</f>
        <v>R</v>
      </c>
      <c r="S359" s="62"/>
      <c r="U359" s="62"/>
    </row>
    <row r="360" spans="1:21" x14ac:dyDescent="0.25">
      <c r="A360">
        <v>359</v>
      </c>
      <c r="B360" s="61" t="s">
        <v>474</v>
      </c>
      <c r="C360" s="62" t="s">
        <v>468</v>
      </c>
      <c r="D360" s="97"/>
      <c r="E360" s="64"/>
      <c r="F360" s="61"/>
      <c r="G360" s="61"/>
      <c r="H360" s="105" t="str">
        <f>DEC2HEX(I360)</f>
        <v>53</v>
      </c>
      <c r="I360" s="64">
        <v>83</v>
      </c>
      <c r="J360" s="64" t="str">
        <f>CHAR(I360)</f>
        <v>S</v>
      </c>
      <c r="S360" s="97"/>
      <c r="U360" s="97"/>
    </row>
    <row r="361" spans="1:21" x14ac:dyDescent="0.25">
      <c r="A361">
        <v>360</v>
      </c>
      <c r="B361" s="61" t="s">
        <v>5</v>
      </c>
      <c r="C361" s="103" t="s">
        <v>517</v>
      </c>
      <c r="D361" s="62"/>
      <c r="E361" s="61"/>
      <c r="F361" s="61"/>
      <c r="G361" s="61"/>
      <c r="H361" s="105" t="str">
        <f>DEC2HEX(I361)</f>
        <v>5A</v>
      </c>
      <c r="I361" s="64">
        <v>90</v>
      </c>
      <c r="J361" s="64" t="str">
        <f>CHAR(I361)</f>
        <v>Z</v>
      </c>
      <c r="S361" s="62"/>
      <c r="U361" s="62"/>
    </row>
    <row r="362" spans="1:21" x14ac:dyDescent="0.25">
      <c r="A362">
        <v>361</v>
      </c>
      <c r="B362" s="61" t="s">
        <v>5</v>
      </c>
      <c r="C362" s="103" t="s">
        <v>518</v>
      </c>
      <c r="D362" s="103"/>
      <c r="E362" s="61"/>
      <c r="F362" s="61"/>
      <c r="G362" s="61"/>
      <c r="H362" s="105" t="str">
        <f>DEC2HEX(I362)</f>
        <v>5B</v>
      </c>
      <c r="I362" s="64">
        <v>91</v>
      </c>
      <c r="J362" s="64" t="str">
        <f>CHAR(I362)</f>
        <v>[</v>
      </c>
      <c r="S362" s="103"/>
      <c r="U362" s="103"/>
    </row>
    <row r="363" spans="1:21" x14ac:dyDescent="0.25">
      <c r="A363">
        <v>362</v>
      </c>
      <c r="B363" s="61" t="s">
        <v>236</v>
      </c>
      <c r="C363" s="103" t="s">
        <v>469</v>
      </c>
      <c r="D363" s="103"/>
      <c r="E363" s="61"/>
      <c r="F363" s="61"/>
      <c r="G363" s="61"/>
      <c r="H363" s="105" t="str">
        <f>DEC2HEX(I363)</f>
        <v>5E</v>
      </c>
      <c r="I363" s="64">
        <v>94</v>
      </c>
      <c r="J363" s="64" t="str">
        <f>CHAR(I363)</f>
        <v>^</v>
      </c>
      <c r="S363" s="103"/>
      <c r="U363" s="103"/>
    </row>
    <row r="364" spans="1:21" x14ac:dyDescent="0.25">
      <c r="A364">
        <v>363</v>
      </c>
      <c r="B364" s="61" t="s">
        <v>236</v>
      </c>
      <c r="C364" s="103" t="s">
        <v>470</v>
      </c>
      <c r="D364" s="103"/>
      <c r="E364" s="61"/>
      <c r="F364" s="61"/>
      <c r="G364" s="61"/>
      <c r="H364" s="105" t="str">
        <f>DEC2HEX(I364)</f>
        <v>5E</v>
      </c>
      <c r="I364" s="64">
        <v>94</v>
      </c>
      <c r="J364" s="64" t="str">
        <f>CHAR(I364)</f>
        <v>^</v>
      </c>
      <c r="S364" s="103"/>
      <c r="U364" s="103"/>
    </row>
    <row r="365" spans="1:21" x14ac:dyDescent="0.25">
      <c r="A365">
        <v>364</v>
      </c>
      <c r="B365" s="61" t="s">
        <v>236</v>
      </c>
      <c r="C365" s="103" t="s">
        <v>471</v>
      </c>
      <c r="D365" s="103"/>
      <c r="E365" s="61"/>
      <c r="F365" s="61"/>
      <c r="G365" s="61"/>
      <c r="H365" s="105" t="str">
        <f>DEC2HEX(I365)</f>
        <v>5F</v>
      </c>
      <c r="I365" s="64">
        <v>95</v>
      </c>
      <c r="J365" s="64" t="str">
        <f>CHAR(I365)</f>
        <v>_</v>
      </c>
      <c r="S365" s="103"/>
      <c r="U365" s="103"/>
    </row>
    <row r="366" spans="1:21" x14ac:dyDescent="0.25">
      <c r="A366">
        <v>365</v>
      </c>
      <c r="B366" s="61" t="s">
        <v>236</v>
      </c>
      <c r="C366" s="103" t="s">
        <v>472</v>
      </c>
      <c r="D366" s="103"/>
      <c r="E366" s="61"/>
      <c r="F366" s="61"/>
      <c r="G366" s="61"/>
      <c r="H366" s="105" t="str">
        <f>DEC2HEX(I366)</f>
        <v>5F</v>
      </c>
      <c r="I366" s="64">
        <v>95</v>
      </c>
      <c r="J366" s="64" t="str">
        <f>CHAR(I366)</f>
        <v>_</v>
      </c>
      <c r="S366" s="103"/>
      <c r="U366" s="103"/>
    </row>
    <row r="367" spans="1:21" x14ac:dyDescent="0.25">
      <c r="A367">
        <v>366</v>
      </c>
      <c r="B367" s="61" t="s">
        <v>439</v>
      </c>
      <c r="C367" s="103" t="s">
        <v>473</v>
      </c>
      <c r="D367" s="103"/>
      <c r="E367" s="61"/>
      <c r="F367" s="61"/>
      <c r="G367" s="61"/>
      <c r="H367" s="105" t="str">
        <f>DEC2HEX(I367)</f>
        <v>62</v>
      </c>
      <c r="I367" s="64">
        <v>98</v>
      </c>
      <c r="J367" s="64" t="str">
        <f>CHAR(I367)</f>
        <v>b</v>
      </c>
      <c r="S367" s="103"/>
      <c r="U367" s="103"/>
    </row>
    <row r="368" spans="1:21" x14ac:dyDescent="0.25">
      <c r="A368">
        <v>367</v>
      </c>
      <c r="B368" s="61" t="s">
        <v>5</v>
      </c>
      <c r="C368" s="103" t="s">
        <v>519</v>
      </c>
      <c r="D368" s="103"/>
      <c r="E368" s="61"/>
      <c r="F368" s="61"/>
      <c r="G368" s="61"/>
      <c r="H368" s="105" t="str">
        <f>DEC2HEX(I368)</f>
        <v>63</v>
      </c>
      <c r="I368" s="64">
        <v>99</v>
      </c>
      <c r="J368" s="64" t="str">
        <f>CHAR(I368)</f>
        <v>c</v>
      </c>
      <c r="S368" s="103"/>
      <c r="U368" s="103"/>
    </row>
    <row r="369" spans="1:21" x14ac:dyDescent="0.25">
      <c r="A369">
        <v>368</v>
      </c>
      <c r="B369" s="61" t="s">
        <v>236</v>
      </c>
      <c r="C369" s="103" t="s">
        <v>494</v>
      </c>
      <c r="D369" s="103"/>
      <c r="E369" s="61"/>
      <c r="F369" s="61"/>
      <c r="G369" s="61"/>
      <c r="H369" s="105" t="str">
        <f>DEC2HEX(I369)</f>
        <v>64</v>
      </c>
      <c r="I369" s="64">
        <v>100</v>
      </c>
      <c r="J369" s="64" t="str">
        <f>CHAR(I369)</f>
        <v>d</v>
      </c>
      <c r="S369" s="103"/>
      <c r="U369" s="103"/>
    </row>
    <row r="370" spans="1:21" x14ac:dyDescent="0.25">
      <c r="A370">
        <v>369</v>
      </c>
      <c r="B370" s="61" t="s">
        <v>236</v>
      </c>
      <c r="C370" s="103" t="s">
        <v>494</v>
      </c>
      <c r="D370" s="103"/>
      <c r="E370" s="61"/>
      <c r="F370" s="61"/>
      <c r="G370" s="61"/>
      <c r="H370" s="105" t="str">
        <f>DEC2HEX(I370)</f>
        <v>65</v>
      </c>
      <c r="I370" s="64">
        <v>101</v>
      </c>
      <c r="J370" s="64" t="str">
        <f>CHAR(I370)</f>
        <v>e</v>
      </c>
      <c r="S370" s="103"/>
      <c r="U370" s="103"/>
    </row>
    <row r="371" spans="1:21" x14ac:dyDescent="0.25">
      <c r="A371">
        <v>370</v>
      </c>
      <c r="B371" s="61" t="s">
        <v>233</v>
      </c>
      <c r="C371" s="103" t="s">
        <v>475</v>
      </c>
      <c r="D371" s="103"/>
      <c r="E371" s="61"/>
      <c r="F371" s="61"/>
      <c r="G371" s="61"/>
      <c r="H371" s="105" t="str">
        <f>DEC2HEX(I371)</f>
        <v>69</v>
      </c>
      <c r="I371" s="64">
        <v>105</v>
      </c>
      <c r="J371" s="64" t="str">
        <f>CHAR(I371)</f>
        <v>i</v>
      </c>
      <c r="S371" s="103"/>
      <c r="U371" s="103"/>
    </row>
    <row r="372" spans="1:21" x14ac:dyDescent="0.25">
      <c r="A372">
        <v>371</v>
      </c>
      <c r="B372" s="61" t="s">
        <v>5</v>
      </c>
      <c r="C372" s="103" t="s">
        <v>520</v>
      </c>
      <c r="D372" s="103"/>
      <c r="E372" s="61"/>
      <c r="F372" s="61"/>
      <c r="G372" s="61"/>
      <c r="H372" s="105" t="str">
        <f>DEC2HEX(I372)</f>
        <v>6B</v>
      </c>
      <c r="I372" s="64">
        <v>107</v>
      </c>
      <c r="J372" s="64" t="str">
        <f>CHAR(I372)</f>
        <v>k</v>
      </c>
      <c r="S372" s="103"/>
      <c r="U372" s="103"/>
    </row>
    <row r="373" spans="1:21" x14ac:dyDescent="0.25">
      <c r="A373">
        <v>372</v>
      </c>
      <c r="B373" s="61" t="s">
        <v>5</v>
      </c>
      <c r="C373" s="103" t="s">
        <v>521</v>
      </c>
      <c r="D373" s="103"/>
      <c r="E373" s="61"/>
      <c r="F373" s="61"/>
      <c r="G373" s="61"/>
      <c r="H373" s="105" t="str">
        <f>DEC2HEX(I373)</f>
        <v>6C</v>
      </c>
      <c r="I373" s="64">
        <v>108</v>
      </c>
      <c r="J373" s="64" t="str">
        <f>CHAR(I373)</f>
        <v>l</v>
      </c>
      <c r="S373" s="103"/>
      <c r="U373" s="103"/>
    </row>
    <row r="374" spans="1:21" x14ac:dyDescent="0.25">
      <c r="A374">
        <v>373</v>
      </c>
      <c r="B374" s="61" t="s">
        <v>236</v>
      </c>
      <c r="C374" s="103" t="s">
        <v>493</v>
      </c>
      <c r="D374" s="103"/>
      <c r="E374" s="61"/>
      <c r="F374" s="61"/>
      <c r="G374" s="61"/>
      <c r="H374" s="105" t="str">
        <f>DEC2HEX(I374)</f>
        <v>6D</v>
      </c>
      <c r="I374" s="64">
        <v>109</v>
      </c>
      <c r="J374" s="64" t="s">
        <v>33</v>
      </c>
      <c r="S374" s="103"/>
      <c r="U374" s="103"/>
    </row>
    <row r="375" spans="1:21" x14ac:dyDescent="0.25">
      <c r="A375">
        <v>374</v>
      </c>
      <c r="B375" s="61" t="s">
        <v>183</v>
      </c>
      <c r="C375" s="103" t="s">
        <v>476</v>
      </c>
      <c r="D375" s="103"/>
      <c r="E375" s="61"/>
      <c r="F375" s="61"/>
      <c r="G375" s="61"/>
      <c r="H375" s="105" t="str">
        <f>DEC2HEX(I375)</f>
        <v>A3</v>
      </c>
      <c r="I375" s="64">
        <v>163</v>
      </c>
      <c r="J375" s="64" t="str">
        <f>CHAR(I375)</f>
        <v>£</v>
      </c>
      <c r="N375"/>
      <c r="O375"/>
      <c r="P375"/>
      <c r="Q375"/>
      <c r="S375" s="103"/>
      <c r="U375" s="103"/>
    </row>
    <row r="376" spans="1:21" x14ac:dyDescent="0.25">
      <c r="A376">
        <v>375</v>
      </c>
      <c r="B376" s="61" t="s">
        <v>184</v>
      </c>
      <c r="C376" s="103" t="s">
        <v>477</v>
      </c>
      <c r="D376" s="103"/>
      <c r="E376" s="61"/>
      <c r="F376" s="61"/>
      <c r="G376" s="61"/>
      <c r="H376" s="105" t="str">
        <f>DEC2HEX(I376)</f>
        <v>A4</v>
      </c>
      <c r="I376" s="64">
        <v>164</v>
      </c>
      <c r="J376" s="64" t="str">
        <f>CHAR(I376)</f>
        <v>¤</v>
      </c>
      <c r="N376"/>
      <c r="O376"/>
      <c r="P376"/>
      <c r="Q376"/>
      <c r="S376" s="103"/>
      <c r="U376" s="103"/>
    </row>
    <row r="377" spans="1:21" x14ac:dyDescent="0.25">
      <c r="A377">
        <v>376</v>
      </c>
      <c r="B377" s="61" t="s">
        <v>5</v>
      </c>
      <c r="C377" s="103" t="s">
        <v>523</v>
      </c>
      <c r="D377" s="103"/>
      <c r="E377" s="61"/>
      <c r="F377" s="61"/>
      <c r="G377" s="61"/>
      <c r="H377" s="105" t="str">
        <f>DEC2HEX(I377)</f>
        <v>A5</v>
      </c>
      <c r="I377" s="64">
        <v>165</v>
      </c>
      <c r="J377" s="64" t="str">
        <f>CHAR(I377)</f>
        <v>¥</v>
      </c>
      <c r="S377" s="103"/>
      <c r="U377" s="103"/>
    </row>
    <row r="378" spans="1:21" x14ac:dyDescent="0.25">
      <c r="A378">
        <v>377</v>
      </c>
      <c r="B378" s="61" t="s">
        <v>5</v>
      </c>
      <c r="C378" s="103" t="s">
        <v>524</v>
      </c>
      <c r="D378" s="103"/>
      <c r="E378" s="61"/>
      <c r="F378" s="61"/>
      <c r="G378" s="61"/>
      <c r="H378" s="105" t="str">
        <f>DEC2HEX(I378)</f>
        <v>A6</v>
      </c>
      <c r="I378" s="64">
        <v>166</v>
      </c>
      <c r="J378" s="64" t="str">
        <f>CHAR(I378)</f>
        <v>¦</v>
      </c>
      <c r="S378" s="103"/>
      <c r="U378" s="103"/>
    </row>
    <row r="379" spans="1:21" x14ac:dyDescent="0.25">
      <c r="A379">
        <v>378</v>
      </c>
      <c r="B379" s="61" t="s">
        <v>5</v>
      </c>
      <c r="C379" s="103" t="s">
        <v>525</v>
      </c>
      <c r="D379" s="103"/>
      <c r="E379" s="61"/>
      <c r="F379" s="61"/>
      <c r="G379" s="61"/>
      <c r="H379" s="105" t="str">
        <f>DEC2HEX(I379)</f>
        <v>AB</v>
      </c>
      <c r="I379" s="64">
        <v>171</v>
      </c>
      <c r="J379" s="64" t="str">
        <f>CHAR(I379)</f>
        <v>«</v>
      </c>
      <c r="S379" s="103"/>
      <c r="U379" s="103"/>
    </row>
    <row r="380" spans="1:21" x14ac:dyDescent="0.25">
      <c r="A380">
        <v>379</v>
      </c>
      <c r="B380" s="61" t="s">
        <v>5</v>
      </c>
      <c r="C380" s="103" t="s">
        <v>526</v>
      </c>
      <c r="D380" s="103"/>
      <c r="E380" s="61"/>
      <c r="F380" s="61"/>
      <c r="G380" s="61"/>
      <c r="H380" s="105" t="str">
        <f>DEC2HEX(I380)</f>
        <v>AC</v>
      </c>
      <c r="I380" s="64">
        <v>172</v>
      </c>
      <c r="J380" s="64" t="str">
        <f>CHAR(I380)</f>
        <v>¬</v>
      </c>
      <c r="S380" s="103"/>
      <c r="U380" s="103"/>
    </row>
    <row r="381" spans="1:21" x14ac:dyDescent="0.25">
      <c r="A381">
        <v>380</v>
      </c>
      <c r="B381" s="61" t="s">
        <v>42</v>
      </c>
      <c r="C381" s="62" t="s">
        <v>478</v>
      </c>
      <c r="D381" s="62"/>
      <c r="E381" s="61"/>
      <c r="F381" s="61"/>
      <c r="G381" s="61"/>
      <c r="H381" s="63" t="str">
        <f>DEC2HEX(I381)</f>
        <v>B7</v>
      </c>
      <c r="I381" s="64">
        <v>183</v>
      </c>
      <c r="J381" s="64" t="str">
        <f>CHAR(I381)</f>
        <v>·</v>
      </c>
      <c r="K381" s="102"/>
      <c r="S381" s="62"/>
      <c r="U381" s="62"/>
    </row>
    <row r="382" spans="1:21" x14ac:dyDescent="0.25">
      <c r="A382">
        <v>381</v>
      </c>
      <c r="B382" s="61" t="s">
        <v>42</v>
      </c>
      <c r="C382" s="62" t="s">
        <v>479</v>
      </c>
      <c r="D382" s="62"/>
      <c r="E382" s="61"/>
      <c r="F382" s="61"/>
      <c r="G382" s="61"/>
      <c r="H382" s="63" t="str">
        <f>DEC2HEX(I382)</f>
        <v>B8</v>
      </c>
      <c r="I382" s="64">
        <v>184</v>
      </c>
      <c r="J382" s="64" t="str">
        <f>CHAR(I382)</f>
        <v>¸</v>
      </c>
      <c r="K382" s="102"/>
      <c r="S382" s="62"/>
      <c r="U382" s="62"/>
    </row>
    <row r="383" spans="1:21" x14ac:dyDescent="0.25">
      <c r="A383">
        <v>382</v>
      </c>
      <c r="B383" s="61" t="s">
        <v>40</v>
      </c>
      <c r="C383" s="103" t="s">
        <v>490</v>
      </c>
      <c r="D383" s="103"/>
      <c r="E383" s="61"/>
      <c r="F383" s="61"/>
      <c r="G383" s="61"/>
      <c r="H383" s="105" t="str">
        <f>DEC2HEX(I383)</f>
        <v>C6</v>
      </c>
      <c r="I383" s="64">
        <v>198</v>
      </c>
      <c r="J383" s="64" t="str">
        <f>CHAR(I383)</f>
        <v>Æ</v>
      </c>
      <c r="S383" s="103"/>
      <c r="U383" s="103"/>
    </row>
    <row r="384" spans="1:21" x14ac:dyDescent="0.25">
      <c r="A384">
        <v>383</v>
      </c>
      <c r="B384" s="61" t="s">
        <v>233</v>
      </c>
      <c r="C384" s="103" t="s">
        <v>480</v>
      </c>
      <c r="D384" s="103"/>
      <c r="E384" s="61"/>
      <c r="F384" s="61"/>
      <c r="G384" s="61"/>
      <c r="H384" s="105" t="str">
        <f>DEC2HEX(I384)</f>
        <v>C9</v>
      </c>
      <c r="I384" s="64">
        <v>201</v>
      </c>
      <c r="J384" s="64" t="str">
        <f>CHAR(I384)</f>
        <v>É</v>
      </c>
      <c r="S384" s="103"/>
      <c r="U384" s="103"/>
    </row>
    <row r="385" spans="1:25" x14ac:dyDescent="0.25">
      <c r="A385">
        <v>384</v>
      </c>
      <c r="B385" s="61" t="s">
        <v>474</v>
      </c>
      <c r="C385" s="103" t="s">
        <v>481</v>
      </c>
      <c r="D385" s="103"/>
      <c r="E385" s="61"/>
      <c r="F385" s="61"/>
      <c r="G385" s="61"/>
      <c r="H385" s="105" t="str">
        <f>DEC2HEX(I385)</f>
        <v>CE</v>
      </c>
      <c r="I385" s="64">
        <v>206</v>
      </c>
      <c r="J385" s="64" t="str">
        <f>CHAR(I385)</f>
        <v>Î</v>
      </c>
      <c r="S385" s="103"/>
      <c r="U385" s="103"/>
    </row>
    <row r="386" spans="1:25" x14ac:dyDescent="0.25">
      <c r="A386">
        <v>385</v>
      </c>
      <c r="B386" s="61" t="s">
        <v>5</v>
      </c>
      <c r="C386" s="103" t="s">
        <v>527</v>
      </c>
      <c r="D386" s="103"/>
      <c r="E386" s="61"/>
      <c r="F386" s="61"/>
      <c r="G386" s="61"/>
      <c r="H386" s="105" t="str">
        <f>DEC2HEX(I386)</f>
        <v>D1</v>
      </c>
      <c r="I386" s="64">
        <v>209</v>
      </c>
      <c r="J386" s="64" t="str">
        <f>CHAR(I386)</f>
        <v>Ñ</v>
      </c>
      <c r="S386" s="103"/>
      <c r="U386" s="103"/>
    </row>
    <row r="387" spans="1:25" x14ac:dyDescent="0.25">
      <c r="A387">
        <v>386</v>
      </c>
      <c r="B387" s="61" t="s">
        <v>5</v>
      </c>
      <c r="C387" s="62" t="s">
        <v>528</v>
      </c>
      <c r="D387" s="62"/>
      <c r="E387" s="61"/>
      <c r="F387" s="61"/>
      <c r="G387" s="61"/>
      <c r="H387" s="63" t="str">
        <f>DEC2HEX(I387)</f>
        <v>D2</v>
      </c>
      <c r="I387" s="64">
        <v>210</v>
      </c>
      <c r="J387" s="64" t="str">
        <f>CHAR(I387)</f>
        <v>Ò</v>
      </c>
      <c r="K387" s="102"/>
      <c r="S387" s="62"/>
      <c r="U387" s="62"/>
    </row>
    <row r="388" spans="1:25" x14ac:dyDescent="0.25">
      <c r="A388">
        <v>387</v>
      </c>
      <c r="B388" s="61" t="s">
        <v>474</v>
      </c>
      <c r="C388" s="62" t="s">
        <v>482</v>
      </c>
      <c r="D388" s="62"/>
      <c r="E388" s="61"/>
      <c r="F388" s="61"/>
      <c r="G388" s="61"/>
      <c r="H388" s="63" t="str">
        <f>DEC2HEX(I388)</f>
        <v>D7</v>
      </c>
      <c r="I388" s="64">
        <v>215</v>
      </c>
      <c r="J388" s="64" t="str">
        <f>CHAR(I388)</f>
        <v>×</v>
      </c>
      <c r="K388" s="102"/>
      <c r="S388" s="62"/>
      <c r="U388" s="62"/>
    </row>
    <row r="389" spans="1:25" x14ac:dyDescent="0.25">
      <c r="A389">
        <v>388</v>
      </c>
      <c r="B389" s="61" t="s">
        <v>233</v>
      </c>
      <c r="C389" s="62" t="s">
        <v>483</v>
      </c>
      <c r="D389" s="62"/>
      <c r="E389" s="61"/>
      <c r="F389" s="61"/>
      <c r="G389" s="61"/>
      <c r="H389" s="63" t="str">
        <f>DEC2HEX(I389)</f>
        <v>E7</v>
      </c>
      <c r="I389" s="64">
        <v>231</v>
      </c>
      <c r="J389" s="64" t="str">
        <f>CHAR(I389)</f>
        <v>ç</v>
      </c>
      <c r="K389" s="102"/>
      <c r="S389" s="62"/>
      <c r="U389" s="62"/>
    </row>
    <row r="390" spans="1:25" x14ac:dyDescent="0.25">
      <c r="A390">
        <v>389</v>
      </c>
      <c r="B390" s="61" t="s">
        <v>474</v>
      </c>
      <c r="C390" s="62" t="s">
        <v>484</v>
      </c>
      <c r="D390" s="62"/>
      <c r="E390" s="61"/>
      <c r="F390" s="61"/>
      <c r="G390" s="61"/>
      <c r="H390" s="63" t="str">
        <f>DEC2HEX(I390)</f>
        <v>EC</v>
      </c>
      <c r="I390" s="64">
        <v>236</v>
      </c>
      <c r="J390" s="64" t="str">
        <f>CHAR(I390)</f>
        <v>ì</v>
      </c>
      <c r="K390" s="102"/>
      <c r="S390" s="62"/>
      <c r="U390" s="62"/>
    </row>
    <row r="391" spans="1:25" x14ac:dyDescent="0.25">
      <c r="A391">
        <v>390</v>
      </c>
      <c r="B391" s="61" t="s">
        <v>485</v>
      </c>
      <c r="C391" s="103" t="s">
        <v>486</v>
      </c>
      <c r="D391" s="103"/>
      <c r="E391" s="61"/>
      <c r="F391" s="61"/>
      <c r="G391" s="61"/>
      <c r="H391" s="105" t="str">
        <f>DEC2HEX(I391)</f>
        <v>ED</v>
      </c>
      <c r="I391" s="64">
        <v>237</v>
      </c>
      <c r="J391" s="64" t="str">
        <f>CHAR(I391)</f>
        <v>í</v>
      </c>
      <c r="S391" s="103"/>
      <c r="U391" s="103"/>
    </row>
    <row r="392" spans="1:25" x14ac:dyDescent="0.25">
      <c r="A392">
        <v>391</v>
      </c>
      <c r="B392" s="61" t="s">
        <v>36</v>
      </c>
      <c r="C392" s="103" t="s">
        <v>487</v>
      </c>
      <c r="D392" s="103"/>
      <c r="E392" s="61"/>
      <c r="F392" s="61"/>
      <c r="G392" s="61"/>
      <c r="H392" s="105" t="str">
        <f>DEC2HEX(I392)</f>
        <v>F7</v>
      </c>
      <c r="I392" s="64">
        <v>247</v>
      </c>
      <c r="J392" s="64" t="str">
        <f>CHAR(I392)</f>
        <v>÷</v>
      </c>
      <c r="S392" s="103"/>
      <c r="U392" s="103"/>
    </row>
    <row r="393" spans="1:25" x14ac:dyDescent="0.25">
      <c r="A393">
        <v>392</v>
      </c>
      <c r="B393" s="61" t="s">
        <v>236</v>
      </c>
      <c r="C393" s="103" t="s">
        <v>495</v>
      </c>
      <c r="D393" s="103"/>
      <c r="E393" s="61"/>
      <c r="F393" s="61"/>
      <c r="G393" s="61"/>
      <c r="H393" s="105" t="str">
        <f>DEC2HEX(I393)</f>
        <v>48</v>
      </c>
      <c r="I393" s="64">
        <v>72</v>
      </c>
      <c r="J393" s="64" t="str">
        <f>CHAR(I393)</f>
        <v>H</v>
      </c>
      <c r="R393" s="27"/>
      <c r="S393" s="103"/>
      <c r="T393" s="27"/>
      <c r="U393" s="103"/>
      <c r="V393" s="27"/>
      <c r="W393" s="27"/>
      <c r="X393" s="27"/>
      <c r="Y393" s="27"/>
    </row>
    <row r="394" spans="1:25" x14ac:dyDescent="0.25">
      <c r="A394">
        <v>393</v>
      </c>
      <c r="B394" s="61" t="s">
        <v>474</v>
      </c>
      <c r="C394" s="103" t="s">
        <v>503</v>
      </c>
      <c r="D394" s="103"/>
      <c r="E394" s="61"/>
      <c r="F394" s="61"/>
      <c r="G394" s="61"/>
      <c r="H394" s="105" t="str">
        <f>DEC2HEX(I394)</f>
        <v>7C</v>
      </c>
      <c r="I394" s="64">
        <v>124</v>
      </c>
      <c r="J394" s="64" t="str">
        <f>CHAR(I394)</f>
        <v>|</v>
      </c>
      <c r="R394" s="27"/>
      <c r="S394" s="103"/>
      <c r="T394" s="27"/>
      <c r="U394" s="103"/>
      <c r="V394" s="27"/>
      <c r="W394" s="27"/>
      <c r="X394" s="27"/>
      <c r="Y394" s="27"/>
    </row>
    <row r="395" spans="1:25" x14ac:dyDescent="0.25">
      <c r="A395">
        <v>394</v>
      </c>
      <c r="B395" s="61" t="s">
        <v>474</v>
      </c>
      <c r="C395" s="103" t="s">
        <v>504</v>
      </c>
      <c r="D395" s="103"/>
      <c r="E395" s="61"/>
      <c r="F395" s="61"/>
      <c r="G395" s="61"/>
      <c r="H395" s="105" t="str">
        <f>DEC2HEX(I395)</f>
        <v>7D</v>
      </c>
      <c r="I395" s="64">
        <v>125</v>
      </c>
      <c r="J395" s="64" t="str">
        <f>CHAR(I395)</f>
        <v>}</v>
      </c>
      <c r="R395" s="27"/>
      <c r="S395" s="103"/>
      <c r="T395" s="27"/>
      <c r="U395" s="103"/>
      <c r="V395" s="27"/>
      <c r="W395" s="27"/>
      <c r="X395" s="27"/>
      <c r="Y395" s="27"/>
    </row>
    <row r="396" spans="1:25" x14ac:dyDescent="0.25">
      <c r="A396">
        <v>395</v>
      </c>
      <c r="B396" t="s">
        <v>441</v>
      </c>
      <c r="C396" s="39" t="s">
        <v>639</v>
      </c>
      <c r="E396" s="26">
        <v>464</v>
      </c>
      <c r="F396" s="26">
        <v>467</v>
      </c>
      <c r="G396" s="26"/>
      <c r="K396" s="102"/>
      <c r="L396">
        <f>IF(ISBLANK(#REF!),IF(E396&gt;0,F396-E396+1,0),0)</f>
        <v>0</v>
      </c>
      <c r="M396" s="45">
        <f>IF(ISBLANK(#REF!),0,IF(G396=0,F396-E396+1,0))</f>
        <v>4</v>
      </c>
    </row>
    <row r="397" spans="1:25" x14ac:dyDescent="0.25">
      <c r="A397">
        <v>396</v>
      </c>
      <c r="C397" s="43"/>
      <c r="D397" s="43"/>
      <c r="E397" s="1">
        <v>88</v>
      </c>
      <c r="F397" s="1">
        <v>91</v>
      </c>
      <c r="G397" s="1">
        <v>24</v>
      </c>
      <c r="H397" s="50" t="str">
        <f>DEC2HEX(I397)</f>
        <v>C2</v>
      </c>
      <c r="I397" s="2">
        <v>194</v>
      </c>
      <c r="J397" s="2" t="str">
        <f>CHAR(I397)</f>
        <v>Â</v>
      </c>
      <c r="K397" s="109" t="s">
        <v>436</v>
      </c>
      <c r="L397" s="1"/>
      <c r="M397" s="46"/>
      <c r="Q397" s="42" t="str">
        <f>C397&amp;IF(ISBLANK(D397),"","=")&amp;D397</f>
        <v/>
      </c>
      <c r="S397" s="43"/>
      <c r="U397" s="43"/>
    </row>
    <row r="398" spans="1:25" x14ac:dyDescent="0.25">
      <c r="A398">
        <v>397</v>
      </c>
      <c r="C398" s="109"/>
      <c r="D398" s="109"/>
      <c r="E398" s="1">
        <v>100</v>
      </c>
      <c r="F398" s="1">
        <v>103</v>
      </c>
      <c r="G398" s="1">
        <v>16</v>
      </c>
      <c r="H398" s="111"/>
      <c r="I398" s="2"/>
      <c r="J398" s="2"/>
      <c r="K398" s="43"/>
      <c r="L398" s="1"/>
      <c r="M398" s="46"/>
      <c r="Q398" s="42" t="str">
        <f>C398&amp;IF(ISBLANK(D398),"","=")&amp;D398</f>
        <v/>
      </c>
      <c r="S398" s="102">
        <v>9</v>
      </c>
      <c r="T398" s="42" t="str">
        <f>C398&amp;IF(ISBLANK(S398),"","=")&amp;S398</f>
        <v>=9</v>
      </c>
      <c r="U398" s="102">
        <v>33</v>
      </c>
      <c r="V398" s="42" t="str">
        <f>C398&amp;IF(ISBLANK(U398),"","=")&amp;U398</f>
        <v>=33</v>
      </c>
    </row>
    <row r="399" spans="1:25" x14ac:dyDescent="0.25">
      <c r="A399">
        <v>398</v>
      </c>
      <c r="C399" s="109"/>
      <c r="D399" s="109"/>
      <c r="E399" s="1">
        <v>100</v>
      </c>
      <c r="F399" s="1">
        <v>103</v>
      </c>
      <c r="G399" s="1">
        <v>24</v>
      </c>
      <c r="H399" s="111"/>
      <c r="I399" s="2"/>
      <c r="J399" s="2"/>
      <c r="K399" s="43"/>
      <c r="L399" s="1"/>
      <c r="M399" s="46"/>
      <c r="Q399" s="42" t="str">
        <f>C399&amp;IF(ISBLANK(D399),"","=")&amp;D399</f>
        <v/>
      </c>
      <c r="S399" s="102">
        <v>5</v>
      </c>
      <c r="T399" s="42" t="str">
        <f>C399&amp;IF(ISBLANK(S399),"","=")&amp;S399</f>
        <v>=5</v>
      </c>
      <c r="U399" s="102">
        <v>11</v>
      </c>
      <c r="V399" s="42" t="str">
        <f>C399&amp;IF(ISBLANK(U399),"","=")&amp;U399</f>
        <v>=11</v>
      </c>
    </row>
    <row r="400" spans="1:25" x14ac:dyDescent="0.25">
      <c r="A400">
        <v>399</v>
      </c>
      <c r="C400" s="102"/>
      <c r="D400" s="102"/>
      <c r="H400" s="110" t="str">
        <f>DEC2HEX(I400)</f>
        <v>21</v>
      </c>
      <c r="I400" s="55">
        <v>33</v>
      </c>
      <c r="J400" s="55" t="str">
        <f>CHAR(I400)</f>
        <v>!</v>
      </c>
      <c r="K400" s="75" t="s">
        <v>38</v>
      </c>
      <c r="S400" s="102"/>
      <c r="U400" s="102"/>
    </row>
    <row r="401" spans="1:25" x14ac:dyDescent="0.25">
      <c r="A401">
        <v>400</v>
      </c>
      <c r="C401" s="102"/>
      <c r="D401" s="102"/>
      <c r="H401" s="110" t="str">
        <f>DEC2HEX(I401)</f>
        <v>22</v>
      </c>
      <c r="I401" s="55">
        <v>34</v>
      </c>
      <c r="J401" s="55" t="str">
        <f>CHAR(I401)</f>
        <v>"</v>
      </c>
      <c r="K401" s="75" t="s">
        <v>38</v>
      </c>
      <c r="S401" s="102"/>
      <c r="U401" s="102"/>
    </row>
    <row r="402" spans="1:25" s="27" customFormat="1" x14ac:dyDescent="0.25">
      <c r="A402">
        <v>401</v>
      </c>
      <c r="B402"/>
      <c r="C402" s="39"/>
      <c r="D402" s="39"/>
      <c r="E402"/>
      <c r="F402"/>
      <c r="G402"/>
      <c r="H402" s="56" t="str">
        <f>DEC2HEX(I402)</f>
        <v>23</v>
      </c>
      <c r="I402" s="55">
        <v>35</v>
      </c>
      <c r="J402" s="55" t="str">
        <f>CHAR(I402)</f>
        <v>#</v>
      </c>
      <c r="K402" s="108" t="s">
        <v>38</v>
      </c>
      <c r="L402"/>
      <c r="M402" s="45"/>
      <c r="N402" s="54"/>
      <c r="O402" s="54"/>
      <c r="P402" s="54"/>
      <c r="Q402" s="42"/>
      <c r="R402"/>
      <c r="S402" s="39"/>
      <c r="T402"/>
      <c r="U402" s="39"/>
      <c r="V402"/>
      <c r="W402"/>
      <c r="X402"/>
      <c r="Y402"/>
    </row>
    <row r="403" spans="1:25" s="27" customFormat="1" x14ac:dyDescent="0.25">
      <c r="A403">
        <v>402</v>
      </c>
      <c r="B403"/>
      <c r="C403" s="39"/>
      <c r="D403" s="39"/>
      <c r="E403"/>
      <c r="F403"/>
      <c r="G403"/>
      <c r="H403" s="56" t="str">
        <f>DEC2HEX(I403)</f>
        <v>24</v>
      </c>
      <c r="I403" s="55">
        <v>36</v>
      </c>
      <c r="J403" s="55" t="str">
        <f>CHAR(I403)</f>
        <v>$</v>
      </c>
      <c r="K403" s="108" t="s">
        <v>38</v>
      </c>
      <c r="L403"/>
      <c r="M403" s="45"/>
      <c r="N403" s="54"/>
      <c r="O403" s="54"/>
      <c r="P403" s="54"/>
      <c r="Q403" s="42"/>
      <c r="R403"/>
      <c r="S403" s="39"/>
      <c r="T403"/>
      <c r="U403" s="39"/>
      <c r="V403"/>
      <c r="W403"/>
      <c r="X403"/>
      <c r="Y403"/>
    </row>
    <row r="404" spans="1:25" s="27" customFormat="1" x14ac:dyDescent="0.25">
      <c r="A404">
        <v>403</v>
      </c>
      <c r="B404"/>
      <c r="C404" s="39"/>
      <c r="D404" s="39"/>
      <c r="E404"/>
      <c r="F404"/>
      <c r="G404"/>
      <c r="H404" s="56" t="str">
        <f>DEC2HEX(I404)</f>
        <v>25</v>
      </c>
      <c r="I404" s="55">
        <v>37</v>
      </c>
      <c r="J404" s="55" t="str">
        <f>CHAR(I404)</f>
        <v>%</v>
      </c>
      <c r="K404" s="108" t="s">
        <v>38</v>
      </c>
      <c r="L404"/>
      <c r="M404" s="45"/>
      <c r="N404" s="54"/>
      <c r="O404" s="54"/>
      <c r="P404" s="54"/>
      <c r="Q404" s="42"/>
      <c r="R404"/>
      <c r="S404" s="39"/>
      <c r="T404"/>
      <c r="U404" s="39"/>
      <c r="V404"/>
      <c r="W404"/>
      <c r="X404"/>
      <c r="Y404"/>
    </row>
    <row r="405" spans="1:25" x14ac:dyDescent="0.25">
      <c r="A405">
        <v>404</v>
      </c>
      <c r="H405" s="110" t="str">
        <f>DEC2HEX(I405)</f>
        <v>26</v>
      </c>
      <c r="I405" s="55">
        <v>38</v>
      </c>
      <c r="J405" s="55" t="str">
        <f>CHAR(I405)</f>
        <v>&amp;</v>
      </c>
      <c r="K405" s="75" t="s">
        <v>38</v>
      </c>
    </row>
    <row r="406" spans="1:25" x14ac:dyDescent="0.25">
      <c r="A406">
        <v>405</v>
      </c>
      <c r="H406" s="56" t="str">
        <f>DEC2HEX(I406)</f>
        <v>27</v>
      </c>
      <c r="I406" s="55">
        <v>39</v>
      </c>
      <c r="J406" s="55" t="str">
        <f>CHAR(I406)</f>
        <v>'</v>
      </c>
      <c r="K406" s="75" t="s">
        <v>38</v>
      </c>
    </row>
    <row r="407" spans="1:25" x14ac:dyDescent="0.25">
      <c r="A407">
        <v>406</v>
      </c>
      <c r="H407" s="56" t="str">
        <f>DEC2HEX(I407)</f>
        <v>28</v>
      </c>
      <c r="I407" s="55">
        <v>40</v>
      </c>
      <c r="J407" s="55" t="str">
        <f>CHAR(I407)</f>
        <v>(</v>
      </c>
      <c r="K407" s="75" t="s">
        <v>38</v>
      </c>
    </row>
    <row r="408" spans="1:25" x14ac:dyDescent="0.25">
      <c r="A408">
        <v>407</v>
      </c>
      <c r="H408" s="56" t="str">
        <f>DEC2HEX(I408)</f>
        <v>29</v>
      </c>
      <c r="I408" s="55">
        <v>41</v>
      </c>
      <c r="J408" s="55" t="str">
        <f>CHAR(I408)</f>
        <v>)</v>
      </c>
      <c r="K408" s="108" t="s">
        <v>38</v>
      </c>
    </row>
    <row r="409" spans="1:25" x14ac:dyDescent="0.25">
      <c r="A409">
        <v>408</v>
      </c>
      <c r="H409" s="56" t="str">
        <f>DEC2HEX(I409)</f>
        <v>2A</v>
      </c>
      <c r="I409" s="55">
        <v>42</v>
      </c>
      <c r="J409" s="55" t="str">
        <f>CHAR(I409)</f>
        <v>*</v>
      </c>
      <c r="K409" s="108" t="s">
        <v>38</v>
      </c>
    </row>
    <row r="410" spans="1:25" x14ac:dyDescent="0.25">
      <c r="A410">
        <v>409</v>
      </c>
      <c r="H410" s="56" t="str">
        <f>DEC2HEX(I410)</f>
        <v>2B</v>
      </c>
      <c r="I410" s="55">
        <v>43</v>
      </c>
      <c r="J410" s="55" t="str">
        <f>CHAR(I410)</f>
        <v>+</v>
      </c>
      <c r="K410" s="108" t="s">
        <v>38</v>
      </c>
    </row>
    <row r="411" spans="1:25" x14ac:dyDescent="0.25">
      <c r="A411">
        <v>410</v>
      </c>
      <c r="H411" s="56" t="str">
        <f>DEC2HEX(I411)</f>
        <v>2C</v>
      </c>
      <c r="I411" s="55">
        <v>44</v>
      </c>
      <c r="J411" s="55" t="str">
        <f>CHAR(I411)</f>
        <v>,</v>
      </c>
      <c r="K411" s="108" t="s">
        <v>38</v>
      </c>
    </row>
    <row r="412" spans="1:25" x14ac:dyDescent="0.25">
      <c r="A412">
        <v>411</v>
      </c>
      <c r="H412" s="56" t="str">
        <f>DEC2HEX(I412)</f>
        <v>2D</v>
      </c>
      <c r="I412" s="55">
        <v>45</v>
      </c>
      <c r="J412" s="55" t="str">
        <f>CHAR(I412)</f>
        <v>-</v>
      </c>
      <c r="K412" s="108" t="s">
        <v>38</v>
      </c>
    </row>
    <row r="413" spans="1:25" x14ac:dyDescent="0.25">
      <c r="A413">
        <v>412</v>
      </c>
      <c r="H413" s="50" t="str">
        <f>DEC2HEX(I413)</f>
        <v>2F</v>
      </c>
      <c r="I413" s="2">
        <v>47</v>
      </c>
      <c r="J413" s="2" t="str">
        <f>CHAR(I413)</f>
        <v>/</v>
      </c>
      <c r="K413" s="43" t="s">
        <v>39</v>
      </c>
    </row>
    <row r="414" spans="1:25" x14ac:dyDescent="0.25">
      <c r="A414">
        <v>413</v>
      </c>
      <c r="H414" s="50" t="str">
        <f>DEC2HEX(I414)</f>
        <v>30</v>
      </c>
      <c r="I414" s="2">
        <v>48</v>
      </c>
      <c r="J414" s="2" t="str">
        <f>CHAR(I414)</f>
        <v>0</v>
      </c>
      <c r="K414" s="43" t="s">
        <v>39</v>
      </c>
    </row>
    <row r="415" spans="1:25" x14ac:dyDescent="0.25">
      <c r="A415">
        <v>414</v>
      </c>
      <c r="H415" s="50" t="str">
        <f>DEC2HEX(I415)</f>
        <v>31</v>
      </c>
      <c r="I415" s="2">
        <v>49</v>
      </c>
      <c r="J415" s="2" t="str">
        <f>CHAR(I415)</f>
        <v>1</v>
      </c>
      <c r="K415" s="43" t="s">
        <v>39</v>
      </c>
    </row>
    <row r="416" spans="1:25" x14ac:dyDescent="0.25">
      <c r="A416">
        <v>415</v>
      </c>
      <c r="H416" s="50" t="str">
        <f>DEC2HEX(I416)</f>
        <v>32</v>
      </c>
      <c r="I416" s="2">
        <v>50</v>
      </c>
      <c r="J416" s="2" t="str">
        <f>CHAR(I416)</f>
        <v>2</v>
      </c>
      <c r="K416" s="43" t="s">
        <v>39</v>
      </c>
    </row>
    <row r="417" spans="1:11" x14ac:dyDescent="0.25">
      <c r="A417">
        <v>416</v>
      </c>
      <c r="H417" s="50" t="str">
        <f>DEC2HEX(I417)</f>
        <v>33</v>
      </c>
      <c r="I417" s="2">
        <v>51</v>
      </c>
      <c r="J417" s="2" t="str">
        <f>CHAR(I417)</f>
        <v>3</v>
      </c>
      <c r="K417" s="43" t="s">
        <v>39</v>
      </c>
    </row>
    <row r="418" spans="1:11" x14ac:dyDescent="0.25">
      <c r="A418">
        <v>417</v>
      </c>
      <c r="H418" s="50" t="str">
        <f>DEC2HEX(I418)</f>
        <v>34</v>
      </c>
      <c r="I418" s="2">
        <v>52</v>
      </c>
      <c r="J418" s="2" t="str">
        <f>CHAR(I418)</f>
        <v>4</v>
      </c>
      <c r="K418" s="43" t="s">
        <v>39</v>
      </c>
    </row>
    <row r="419" spans="1:11" x14ac:dyDescent="0.25">
      <c r="A419">
        <v>418</v>
      </c>
      <c r="H419" s="50" t="str">
        <f>DEC2HEX(I419)</f>
        <v>35</v>
      </c>
      <c r="I419" s="2">
        <v>53</v>
      </c>
      <c r="J419" s="2" t="str">
        <f>CHAR(I419)</f>
        <v>5</v>
      </c>
      <c r="K419" s="43" t="s">
        <v>39</v>
      </c>
    </row>
    <row r="420" spans="1:11" x14ac:dyDescent="0.25">
      <c r="A420">
        <v>419</v>
      </c>
      <c r="H420" s="50" t="str">
        <f>DEC2HEX(I420)</f>
        <v>36</v>
      </c>
      <c r="I420" s="2">
        <v>54</v>
      </c>
      <c r="J420" s="2" t="str">
        <f>CHAR(I420)</f>
        <v>6</v>
      </c>
      <c r="K420" s="43" t="s">
        <v>39</v>
      </c>
    </row>
    <row r="421" spans="1:11" x14ac:dyDescent="0.25">
      <c r="A421">
        <v>420</v>
      </c>
      <c r="H421" s="50" t="str">
        <f>DEC2HEX(I421)</f>
        <v>37</v>
      </c>
      <c r="I421" s="2">
        <v>55</v>
      </c>
      <c r="J421" s="2" t="str">
        <f>CHAR(I421)</f>
        <v>7</v>
      </c>
      <c r="K421" s="43" t="s">
        <v>39</v>
      </c>
    </row>
    <row r="422" spans="1:11" x14ac:dyDescent="0.25">
      <c r="A422">
        <v>421</v>
      </c>
      <c r="H422" s="50" t="str">
        <f>DEC2HEX(I422)</f>
        <v>38</v>
      </c>
      <c r="I422" s="2">
        <v>56</v>
      </c>
      <c r="J422" s="2" t="str">
        <f>CHAR(I422)</f>
        <v>8</v>
      </c>
      <c r="K422" s="43" t="s">
        <v>39</v>
      </c>
    </row>
    <row r="423" spans="1:11" x14ac:dyDescent="0.25">
      <c r="A423">
        <v>422</v>
      </c>
      <c r="H423" s="50" t="str">
        <f>DEC2HEX(I423)</f>
        <v>39</v>
      </c>
      <c r="I423" s="2">
        <v>57</v>
      </c>
      <c r="J423" s="2" t="str">
        <f>CHAR(I423)</f>
        <v>9</v>
      </c>
      <c r="K423" s="43" t="s">
        <v>39</v>
      </c>
    </row>
    <row r="424" spans="1:11" x14ac:dyDescent="0.25">
      <c r="A424">
        <v>423</v>
      </c>
      <c r="H424" s="56" t="str">
        <f>DEC2HEX(I424)</f>
        <v>3C</v>
      </c>
      <c r="I424" s="55">
        <v>60</v>
      </c>
      <c r="J424" s="55" t="str">
        <f>CHAR(I424)</f>
        <v>&lt;</v>
      </c>
      <c r="K424" s="75" t="s">
        <v>38</v>
      </c>
    </row>
    <row r="425" spans="1:11" x14ac:dyDescent="0.25">
      <c r="A425">
        <v>424</v>
      </c>
      <c r="H425" s="56" t="str">
        <f>DEC2HEX(I425)</f>
        <v>3E</v>
      </c>
      <c r="I425" s="55">
        <v>62</v>
      </c>
      <c r="J425" s="55" t="str">
        <f>CHAR(I425)</f>
        <v>&gt;</v>
      </c>
      <c r="K425" s="75" t="s">
        <v>38</v>
      </c>
    </row>
    <row r="426" spans="1:11" x14ac:dyDescent="0.25">
      <c r="A426">
        <v>425</v>
      </c>
      <c r="H426" s="56" t="str">
        <f>DEC2HEX(I426)</f>
        <v>3F</v>
      </c>
      <c r="I426" s="55">
        <v>63</v>
      </c>
      <c r="J426" s="55" t="str">
        <f>CHAR(I426)</f>
        <v>?</v>
      </c>
      <c r="K426" s="75" t="s">
        <v>38</v>
      </c>
    </row>
    <row r="427" spans="1:11" x14ac:dyDescent="0.25">
      <c r="A427">
        <v>426</v>
      </c>
      <c r="H427" s="56" t="str">
        <f>DEC2HEX(I427)</f>
        <v>58</v>
      </c>
      <c r="I427" s="55">
        <v>88</v>
      </c>
      <c r="J427" s="55" t="str">
        <f>CHAR(I427)</f>
        <v>X</v>
      </c>
      <c r="K427" s="75" t="s">
        <v>38</v>
      </c>
    </row>
    <row r="428" spans="1:11" x14ac:dyDescent="0.25">
      <c r="A428">
        <v>427</v>
      </c>
      <c r="H428" s="50" t="str">
        <f>DEC2HEX(I428)</f>
        <v>5C</v>
      </c>
      <c r="I428" s="2">
        <v>92</v>
      </c>
      <c r="J428" s="2" t="str">
        <f>CHAR(I428)</f>
        <v>\</v>
      </c>
      <c r="K428" s="43" t="s">
        <v>39</v>
      </c>
    </row>
    <row r="429" spans="1:11" x14ac:dyDescent="0.25">
      <c r="A429">
        <v>428</v>
      </c>
      <c r="H429" s="56" t="str">
        <f>DEC2HEX(I429)</f>
        <v>5D</v>
      </c>
      <c r="I429" s="55">
        <v>93</v>
      </c>
      <c r="J429" s="55" t="str">
        <f>CHAR(I429)</f>
        <v>]</v>
      </c>
      <c r="K429" s="75" t="s">
        <v>38</v>
      </c>
    </row>
    <row r="430" spans="1:11" x14ac:dyDescent="0.25">
      <c r="A430">
        <v>429</v>
      </c>
      <c r="H430" s="50" t="str">
        <f>DEC2HEX(I430)</f>
        <v>60</v>
      </c>
      <c r="I430" s="2">
        <v>96</v>
      </c>
      <c r="J430" s="2" t="str">
        <f>CHAR(I430)</f>
        <v>`</v>
      </c>
      <c r="K430" s="43" t="s">
        <v>39</v>
      </c>
    </row>
    <row r="431" spans="1:11" x14ac:dyDescent="0.25">
      <c r="A431">
        <v>430</v>
      </c>
      <c r="H431" s="56" t="str">
        <f>DEC2HEX(I431)</f>
        <v>72</v>
      </c>
      <c r="I431" s="55">
        <v>114</v>
      </c>
      <c r="J431" s="55" t="str">
        <f>CHAR(I431)</f>
        <v>r</v>
      </c>
      <c r="K431" s="108" t="s">
        <v>38</v>
      </c>
    </row>
    <row r="432" spans="1:11" x14ac:dyDescent="0.25">
      <c r="A432">
        <v>431</v>
      </c>
      <c r="H432" s="50" t="str">
        <f>DEC2HEX(I432)</f>
        <v>7F</v>
      </c>
      <c r="I432" s="2">
        <v>127</v>
      </c>
      <c r="J432" s="2" t="str">
        <f>CHAR(I432)</f>
        <v></v>
      </c>
      <c r="K432" s="109" t="s">
        <v>39</v>
      </c>
    </row>
    <row r="433" spans="1:18" x14ac:dyDescent="0.25">
      <c r="A433">
        <v>432</v>
      </c>
      <c r="H433" s="50" t="str">
        <f>DEC2HEX(I433)</f>
        <v>80</v>
      </c>
      <c r="I433" s="2">
        <v>128</v>
      </c>
      <c r="J433" s="2" t="str">
        <f>CHAR(I433)</f>
        <v>€</v>
      </c>
      <c r="K433" s="109" t="s">
        <v>39</v>
      </c>
    </row>
    <row r="434" spans="1:18" x14ac:dyDescent="0.25">
      <c r="A434">
        <v>433</v>
      </c>
      <c r="H434" s="50" t="str">
        <f>DEC2HEX(I434)</f>
        <v>81</v>
      </c>
      <c r="I434" s="2">
        <v>129</v>
      </c>
      <c r="J434" s="2" t="str">
        <f>CHAR(I434)</f>
        <v></v>
      </c>
      <c r="K434" s="109" t="s">
        <v>39</v>
      </c>
      <c r="R434" s="102"/>
    </row>
    <row r="435" spans="1:18" x14ac:dyDescent="0.25">
      <c r="A435">
        <v>434</v>
      </c>
      <c r="H435" s="50" t="str">
        <f>DEC2HEX(I435)</f>
        <v>82</v>
      </c>
      <c r="I435" s="2">
        <v>130</v>
      </c>
      <c r="J435" s="2" t="str">
        <f>CHAR(I435)</f>
        <v>‚</v>
      </c>
      <c r="K435" s="109" t="s">
        <v>39</v>
      </c>
    </row>
    <row r="436" spans="1:18" x14ac:dyDescent="0.25">
      <c r="A436">
        <v>435</v>
      </c>
      <c r="H436" s="50" t="str">
        <f>DEC2HEX(I436)</f>
        <v>83</v>
      </c>
      <c r="I436" s="2">
        <v>131</v>
      </c>
      <c r="J436" s="2" t="str">
        <f>CHAR(I436)</f>
        <v>ƒ</v>
      </c>
      <c r="K436" s="1" t="s">
        <v>39</v>
      </c>
    </row>
    <row r="437" spans="1:18" x14ac:dyDescent="0.25">
      <c r="A437">
        <v>436</v>
      </c>
      <c r="H437" s="50" t="str">
        <f>DEC2HEX(I437)</f>
        <v>84</v>
      </c>
      <c r="I437" s="2">
        <v>132</v>
      </c>
      <c r="J437" s="2" t="str">
        <f>CHAR(I437)</f>
        <v>„</v>
      </c>
      <c r="K437" s="1" t="s">
        <v>39</v>
      </c>
    </row>
    <row r="438" spans="1:18" x14ac:dyDescent="0.25">
      <c r="A438">
        <v>437</v>
      </c>
      <c r="H438" s="50" t="str">
        <f>DEC2HEX(I438)</f>
        <v>85</v>
      </c>
      <c r="I438" s="2">
        <v>133</v>
      </c>
      <c r="J438" s="2" t="str">
        <f>CHAR(I438)</f>
        <v>…</v>
      </c>
      <c r="K438" s="109" t="s">
        <v>39</v>
      </c>
    </row>
    <row r="439" spans="1:18" x14ac:dyDescent="0.25">
      <c r="A439">
        <v>438</v>
      </c>
      <c r="H439" s="50" t="str">
        <f>DEC2HEX(I439)</f>
        <v>86</v>
      </c>
      <c r="I439" s="2">
        <v>134</v>
      </c>
      <c r="J439" s="2" t="str">
        <f>CHAR(I439)</f>
        <v>†</v>
      </c>
      <c r="K439" s="109" t="s">
        <v>39</v>
      </c>
    </row>
    <row r="440" spans="1:18" x14ac:dyDescent="0.25">
      <c r="A440">
        <v>439</v>
      </c>
      <c r="H440" s="50" t="str">
        <f>DEC2HEX(I440)</f>
        <v>87</v>
      </c>
      <c r="I440" s="2">
        <v>135</v>
      </c>
      <c r="J440" s="2" t="str">
        <f>CHAR(I440)</f>
        <v>‡</v>
      </c>
      <c r="K440" s="109" t="s">
        <v>39</v>
      </c>
    </row>
    <row r="441" spans="1:18" x14ac:dyDescent="0.25">
      <c r="A441">
        <v>440</v>
      </c>
      <c r="H441" s="50" t="str">
        <f>DEC2HEX(I441)</f>
        <v>88</v>
      </c>
      <c r="I441" s="2">
        <v>136</v>
      </c>
      <c r="J441" s="2" t="str">
        <f>CHAR(I441)</f>
        <v>ˆ</v>
      </c>
      <c r="K441" s="109" t="s">
        <v>39</v>
      </c>
    </row>
    <row r="442" spans="1:18" x14ac:dyDescent="0.25">
      <c r="A442">
        <v>441</v>
      </c>
      <c r="H442" s="50" t="str">
        <f>DEC2HEX(I442)</f>
        <v>89</v>
      </c>
      <c r="I442" s="2">
        <v>137</v>
      </c>
      <c r="J442" s="2" t="str">
        <f>CHAR(I442)</f>
        <v>‰</v>
      </c>
      <c r="K442" s="109" t="s">
        <v>39</v>
      </c>
    </row>
    <row r="443" spans="1:18" x14ac:dyDescent="0.25">
      <c r="A443">
        <v>442</v>
      </c>
      <c r="H443" s="50" t="str">
        <f>DEC2HEX(I443)</f>
        <v>8A</v>
      </c>
      <c r="I443" s="2">
        <v>138</v>
      </c>
      <c r="J443" s="2" t="str">
        <f>CHAR(I443)</f>
        <v>Š</v>
      </c>
      <c r="K443" s="1" t="s">
        <v>39</v>
      </c>
    </row>
    <row r="444" spans="1:18" x14ac:dyDescent="0.25">
      <c r="A444">
        <v>443</v>
      </c>
      <c r="H444" s="50" t="str">
        <f>DEC2HEX(I444)</f>
        <v>8B</v>
      </c>
      <c r="I444" s="2">
        <v>139</v>
      </c>
      <c r="J444" s="2" t="str">
        <f>CHAR(I444)</f>
        <v>‹</v>
      </c>
      <c r="K444" s="1" t="s">
        <v>39</v>
      </c>
    </row>
    <row r="445" spans="1:18" x14ac:dyDescent="0.25">
      <c r="A445">
        <v>444</v>
      </c>
      <c r="H445" s="50" t="str">
        <f>DEC2HEX(I445)</f>
        <v>8C</v>
      </c>
      <c r="I445" s="2">
        <v>140</v>
      </c>
      <c r="J445" s="2" t="str">
        <f>CHAR(I445)</f>
        <v>Œ</v>
      </c>
      <c r="K445" s="109" t="s">
        <v>39</v>
      </c>
    </row>
    <row r="446" spans="1:18" x14ac:dyDescent="0.25">
      <c r="A446">
        <v>445</v>
      </c>
      <c r="H446" s="50" t="str">
        <f>DEC2HEX(I446)</f>
        <v>8D</v>
      </c>
      <c r="I446" s="2">
        <v>141</v>
      </c>
      <c r="J446" s="2" t="str">
        <f>CHAR(I446)</f>
        <v></v>
      </c>
      <c r="K446" s="109" t="s">
        <v>39</v>
      </c>
    </row>
    <row r="447" spans="1:18" x14ac:dyDescent="0.25">
      <c r="A447">
        <v>446</v>
      </c>
      <c r="H447" s="50" t="str">
        <f>DEC2HEX(I447)</f>
        <v>8E</v>
      </c>
      <c r="I447" s="2">
        <v>142</v>
      </c>
      <c r="J447" s="2" t="str">
        <f>CHAR(I447)</f>
        <v>Ž</v>
      </c>
      <c r="K447" s="109" t="s">
        <v>39</v>
      </c>
    </row>
    <row r="448" spans="1:18" x14ac:dyDescent="0.25">
      <c r="A448">
        <v>447</v>
      </c>
      <c r="H448" s="50" t="str">
        <f>DEC2HEX(I448)</f>
        <v>8F</v>
      </c>
      <c r="I448" s="2">
        <v>143</v>
      </c>
      <c r="J448" s="2" t="str">
        <f>CHAR(I448)</f>
        <v></v>
      </c>
      <c r="K448" s="109" t="s">
        <v>39</v>
      </c>
    </row>
    <row r="449" spans="1:11" x14ac:dyDescent="0.25">
      <c r="A449">
        <v>448</v>
      </c>
      <c r="H449" s="50" t="str">
        <f>DEC2HEX(I449)</f>
        <v>90</v>
      </c>
      <c r="I449" s="2">
        <v>144</v>
      </c>
      <c r="J449" s="2" t="str">
        <f>CHAR(I449)</f>
        <v></v>
      </c>
      <c r="K449" s="109" t="s">
        <v>39</v>
      </c>
    </row>
    <row r="450" spans="1:11" x14ac:dyDescent="0.25">
      <c r="A450">
        <v>449</v>
      </c>
      <c r="H450" s="50" t="str">
        <f>DEC2HEX(I450)</f>
        <v>91</v>
      </c>
      <c r="I450" s="2">
        <v>145</v>
      </c>
      <c r="J450" s="2" t="str">
        <f>CHAR(I450)</f>
        <v>‘</v>
      </c>
      <c r="K450" s="1" t="s">
        <v>39</v>
      </c>
    </row>
    <row r="451" spans="1:11" x14ac:dyDescent="0.25">
      <c r="A451">
        <v>450</v>
      </c>
      <c r="H451" s="50" t="str">
        <f>DEC2HEX(I451)</f>
        <v>92</v>
      </c>
      <c r="I451" s="2">
        <v>146</v>
      </c>
      <c r="J451" s="2" t="str">
        <f>CHAR(I451)</f>
        <v>’</v>
      </c>
      <c r="K451" s="1" t="s">
        <v>39</v>
      </c>
    </row>
    <row r="452" spans="1:11" x14ac:dyDescent="0.25">
      <c r="A452">
        <v>451</v>
      </c>
      <c r="H452" s="50" t="str">
        <f>DEC2HEX(I452)</f>
        <v>93</v>
      </c>
      <c r="I452" s="2">
        <v>147</v>
      </c>
      <c r="J452" s="2" t="str">
        <f>CHAR(I452)</f>
        <v>“</v>
      </c>
      <c r="K452" s="109" t="s">
        <v>39</v>
      </c>
    </row>
    <row r="453" spans="1:11" x14ac:dyDescent="0.25">
      <c r="A453">
        <v>452</v>
      </c>
      <c r="H453" s="50" t="str">
        <f>DEC2HEX(I453)</f>
        <v>94</v>
      </c>
      <c r="I453" s="2">
        <v>148</v>
      </c>
      <c r="J453" s="2" t="str">
        <f>CHAR(I453)</f>
        <v>”</v>
      </c>
      <c r="K453" s="109" t="s">
        <v>39</v>
      </c>
    </row>
    <row r="454" spans="1:11" x14ac:dyDescent="0.25">
      <c r="A454">
        <v>453</v>
      </c>
      <c r="H454" s="50" t="str">
        <f>DEC2HEX(I454)</f>
        <v>95</v>
      </c>
      <c r="I454" s="2">
        <v>149</v>
      </c>
      <c r="J454" s="2" t="str">
        <f>CHAR(I454)</f>
        <v>•</v>
      </c>
      <c r="K454" s="109" t="s">
        <v>39</v>
      </c>
    </row>
    <row r="455" spans="1:11" x14ac:dyDescent="0.25">
      <c r="A455">
        <v>454</v>
      </c>
      <c r="H455" s="50" t="str">
        <f>DEC2HEX(I455)</f>
        <v>96</v>
      </c>
      <c r="I455" s="2">
        <v>150</v>
      </c>
      <c r="J455" s="2" t="str">
        <f>CHAR(I455)</f>
        <v>–</v>
      </c>
      <c r="K455" s="109" t="s">
        <v>39</v>
      </c>
    </row>
    <row r="456" spans="1:11" x14ac:dyDescent="0.25">
      <c r="A456">
        <v>455</v>
      </c>
      <c r="H456" s="50" t="str">
        <f>DEC2HEX(I456)</f>
        <v>97</v>
      </c>
      <c r="I456" s="2">
        <v>151</v>
      </c>
      <c r="J456" s="2" t="str">
        <f>CHAR(I456)</f>
        <v>—</v>
      </c>
      <c r="K456" s="109" t="s">
        <v>39</v>
      </c>
    </row>
    <row r="457" spans="1:11" x14ac:dyDescent="0.25">
      <c r="A457">
        <v>456</v>
      </c>
      <c r="H457" s="50" t="str">
        <f>DEC2HEX(I457)</f>
        <v>98</v>
      </c>
      <c r="I457" s="2">
        <v>152</v>
      </c>
      <c r="J457" s="2" t="str">
        <f>CHAR(I457)</f>
        <v>˜</v>
      </c>
      <c r="K457" s="109" t="s">
        <v>39</v>
      </c>
    </row>
    <row r="458" spans="1:11" x14ac:dyDescent="0.25">
      <c r="A458">
        <v>457</v>
      </c>
      <c r="H458" s="50" t="str">
        <f>DEC2HEX(I458)</f>
        <v>99</v>
      </c>
      <c r="I458" s="2">
        <v>153</v>
      </c>
      <c r="J458" s="2" t="str">
        <f>CHAR(I458)</f>
        <v>™</v>
      </c>
      <c r="K458" s="109" t="s">
        <v>39</v>
      </c>
    </row>
    <row r="459" spans="1:11" x14ac:dyDescent="0.25">
      <c r="A459">
        <v>458</v>
      </c>
      <c r="H459" s="50" t="str">
        <f>DEC2HEX(I459)</f>
        <v>9A</v>
      </c>
      <c r="I459" s="2">
        <v>154</v>
      </c>
      <c r="J459" s="2" t="str">
        <f>CHAR(I459)</f>
        <v>š</v>
      </c>
      <c r="K459" s="109" t="s">
        <v>39</v>
      </c>
    </row>
    <row r="460" spans="1:11" x14ac:dyDescent="0.25">
      <c r="A460">
        <v>459</v>
      </c>
      <c r="H460" s="50" t="str">
        <f>DEC2HEX(I460)</f>
        <v>9B</v>
      </c>
      <c r="I460" s="2">
        <v>155</v>
      </c>
      <c r="J460" s="2" t="str">
        <f>CHAR(I460)</f>
        <v>›</v>
      </c>
      <c r="K460" s="109" t="s">
        <v>39</v>
      </c>
    </row>
    <row r="461" spans="1:11" x14ac:dyDescent="0.25">
      <c r="A461">
        <v>460</v>
      </c>
      <c r="H461" s="50" t="str">
        <f>DEC2HEX(I461)</f>
        <v>9C</v>
      </c>
      <c r="I461" s="2">
        <v>156</v>
      </c>
      <c r="J461" s="2" t="str">
        <f>CHAR(I461)</f>
        <v>œ</v>
      </c>
      <c r="K461" s="109" t="s">
        <v>39</v>
      </c>
    </row>
    <row r="462" spans="1:11" x14ac:dyDescent="0.25">
      <c r="A462">
        <v>461</v>
      </c>
      <c r="H462" s="50" t="str">
        <f>DEC2HEX(I462)</f>
        <v>9D</v>
      </c>
      <c r="I462" s="2">
        <v>157</v>
      </c>
      <c r="J462" s="2" t="str">
        <f>CHAR(I462)</f>
        <v></v>
      </c>
      <c r="K462" s="109" t="s">
        <v>39</v>
      </c>
    </row>
    <row r="463" spans="1:11" x14ac:dyDescent="0.25">
      <c r="A463">
        <v>462</v>
      </c>
      <c r="H463" s="50" t="str">
        <f>DEC2HEX(I463)</f>
        <v>9E</v>
      </c>
      <c r="I463" s="2">
        <v>158</v>
      </c>
      <c r="J463" s="2" t="str">
        <f>CHAR(I463)</f>
        <v>ž</v>
      </c>
      <c r="K463" s="109" t="s">
        <v>39</v>
      </c>
    </row>
    <row r="464" spans="1:11" x14ac:dyDescent="0.25">
      <c r="A464">
        <v>463</v>
      </c>
      <c r="H464" s="50" t="str">
        <f>DEC2HEX(I464)</f>
        <v>9F</v>
      </c>
      <c r="I464" s="2">
        <v>159</v>
      </c>
      <c r="J464" s="2" t="str">
        <f>CHAR(I464)</f>
        <v>Ÿ</v>
      </c>
      <c r="K464" s="109" t="s">
        <v>39</v>
      </c>
    </row>
    <row r="465" spans="1:22" x14ac:dyDescent="0.25">
      <c r="A465">
        <v>464</v>
      </c>
      <c r="H465" s="50" t="str">
        <f>DEC2HEX(I465)</f>
        <v>A0</v>
      </c>
      <c r="I465" s="2">
        <v>160</v>
      </c>
      <c r="J465" s="2" t="str">
        <f>CHAR(I465)</f>
        <v> </v>
      </c>
      <c r="K465" s="109" t="s">
        <v>39</v>
      </c>
      <c r="L465" s="4"/>
    </row>
    <row r="466" spans="1:22" x14ac:dyDescent="0.25">
      <c r="A466">
        <v>465</v>
      </c>
      <c r="H466" s="50" t="str">
        <f>DEC2HEX(I466)</f>
        <v>AD</v>
      </c>
      <c r="I466" s="2">
        <v>173</v>
      </c>
      <c r="J466" s="2" t="str">
        <f>CHAR(I466)</f>
        <v>­</v>
      </c>
      <c r="K466" s="109" t="s">
        <v>39</v>
      </c>
    </row>
    <row r="467" spans="1:22" x14ac:dyDescent="0.25">
      <c r="A467">
        <v>466</v>
      </c>
      <c r="H467" s="50" t="str">
        <f>DEC2HEX(I467)</f>
        <v>B4</v>
      </c>
      <c r="I467" s="2">
        <v>180</v>
      </c>
      <c r="J467" s="2" t="str">
        <f>CHAR(I467)</f>
        <v>´</v>
      </c>
      <c r="K467" s="109" t="s">
        <v>39</v>
      </c>
    </row>
    <row r="468" spans="1:22" x14ac:dyDescent="0.25">
      <c r="A468">
        <v>467</v>
      </c>
      <c r="H468" s="111" t="str">
        <f>DEC2HEX(I468)</f>
        <v>C5</v>
      </c>
      <c r="I468" s="2">
        <v>197</v>
      </c>
      <c r="J468" s="2" t="str">
        <f>CHAR(I468)</f>
        <v>Å</v>
      </c>
      <c r="K468" s="109" t="s">
        <v>38</v>
      </c>
    </row>
    <row r="469" spans="1:22" x14ac:dyDescent="0.25">
      <c r="A469">
        <v>468</v>
      </c>
      <c r="H469" s="56" t="str">
        <f>DEC2HEX(I469)</f>
        <v>CA</v>
      </c>
      <c r="I469" s="55">
        <v>202</v>
      </c>
      <c r="J469" s="55" t="str">
        <f>CHAR(I469)</f>
        <v>Ê</v>
      </c>
      <c r="K469" s="95" t="s">
        <v>38</v>
      </c>
    </row>
    <row r="470" spans="1:22" x14ac:dyDescent="0.25">
      <c r="A470">
        <v>469</v>
      </c>
      <c r="H470" s="56" t="str">
        <f>DEC2HEX(I470)</f>
        <v>D3</v>
      </c>
      <c r="I470" s="55">
        <v>211</v>
      </c>
      <c r="J470" s="55" t="str">
        <f>CHAR(I470)</f>
        <v>Ó</v>
      </c>
      <c r="K470" s="95" t="s">
        <v>38</v>
      </c>
    </row>
    <row r="471" spans="1:22" x14ac:dyDescent="0.25">
      <c r="A471">
        <v>470</v>
      </c>
      <c r="H471" s="56" t="str">
        <f>DEC2HEX(I471)</f>
        <v>E2</v>
      </c>
      <c r="I471" s="55">
        <v>226</v>
      </c>
      <c r="J471" s="55" t="str">
        <f>CHAR(I471)</f>
        <v>â</v>
      </c>
      <c r="K471" s="108" t="s">
        <v>38</v>
      </c>
    </row>
    <row r="472" spans="1:22" x14ac:dyDescent="0.25">
      <c r="A472">
        <v>471</v>
      </c>
      <c r="H472" s="56" t="str">
        <f>DEC2HEX(I472)</f>
        <v>E5</v>
      </c>
      <c r="I472" s="55">
        <v>229</v>
      </c>
      <c r="J472" s="55" t="str">
        <f>CHAR(I472)</f>
        <v>å</v>
      </c>
      <c r="K472" s="108" t="s">
        <v>38</v>
      </c>
    </row>
    <row r="473" spans="1:22" x14ac:dyDescent="0.25">
      <c r="A473">
        <v>472</v>
      </c>
      <c r="H473" s="56" t="str">
        <f>DEC2HEX(I473)</f>
        <v>EE</v>
      </c>
      <c r="I473" s="55">
        <v>238</v>
      </c>
      <c r="J473" s="55" t="str">
        <f>CHAR(I473)</f>
        <v>î</v>
      </c>
      <c r="K473" s="108" t="s">
        <v>38</v>
      </c>
    </row>
    <row r="474" spans="1:22" x14ac:dyDescent="0.25">
      <c r="A474">
        <v>473</v>
      </c>
      <c r="H474" s="56" t="str">
        <f>DEC2HEX(I474)</f>
        <v>F1</v>
      </c>
      <c r="I474" s="55">
        <v>241</v>
      </c>
      <c r="J474" s="55" t="str">
        <f>CHAR(I474)</f>
        <v>ñ</v>
      </c>
      <c r="K474" s="108" t="s">
        <v>38</v>
      </c>
    </row>
    <row r="475" spans="1:22" x14ac:dyDescent="0.25">
      <c r="A475">
        <v>474</v>
      </c>
      <c r="H475" s="56" t="str">
        <f>DEC2HEX(I475)</f>
        <v>F8</v>
      </c>
      <c r="I475" s="55">
        <v>248</v>
      </c>
      <c r="J475" s="55" t="str">
        <f>CHAR(I475)</f>
        <v>ø</v>
      </c>
      <c r="K475" s="108" t="s">
        <v>38</v>
      </c>
    </row>
    <row r="476" spans="1:22" x14ac:dyDescent="0.25">
      <c r="A476">
        <v>475</v>
      </c>
      <c r="H476" s="56" t="str">
        <f>DEC2HEX(I476)</f>
        <v>F9</v>
      </c>
      <c r="I476" s="55">
        <v>249</v>
      </c>
      <c r="J476" s="55" t="str">
        <f>CHAR(I476)</f>
        <v>ù</v>
      </c>
      <c r="K476" s="108" t="s">
        <v>38</v>
      </c>
    </row>
    <row r="477" spans="1:22" x14ac:dyDescent="0.25">
      <c r="A477">
        <v>476</v>
      </c>
      <c r="H477" s="56" t="str">
        <f>DEC2HEX(I477)</f>
        <v>FA</v>
      </c>
      <c r="I477" s="55">
        <v>250</v>
      </c>
      <c r="J477" s="55" t="str">
        <f>CHAR(I477)</f>
        <v>ú</v>
      </c>
      <c r="K477" s="108" t="s">
        <v>38</v>
      </c>
    </row>
    <row r="478" spans="1:22" x14ac:dyDescent="0.25">
      <c r="A478">
        <v>477</v>
      </c>
      <c r="H478" s="56" t="str">
        <f>DEC2HEX(I478)</f>
        <v>FD</v>
      </c>
      <c r="I478" s="55">
        <v>253</v>
      </c>
      <c r="J478" s="55" t="str">
        <f>CHAR(I478)</f>
        <v>ý</v>
      </c>
      <c r="K478" s="108" t="s">
        <v>38</v>
      </c>
    </row>
    <row r="479" spans="1:22" x14ac:dyDescent="0.25">
      <c r="A479">
        <v>478</v>
      </c>
      <c r="H479" s="50" t="str">
        <f>DEC2HEX(I479)</f>
        <v>FF</v>
      </c>
      <c r="I479" s="2">
        <v>255</v>
      </c>
      <c r="J479" s="2" t="str">
        <f>CHAR(I479)</f>
        <v>ÿ</v>
      </c>
      <c r="K479" s="109" t="s">
        <v>39</v>
      </c>
    </row>
    <row r="480" spans="1:22" x14ac:dyDescent="0.25">
      <c r="A480">
        <v>479</v>
      </c>
      <c r="E480" s="41">
        <v>44</v>
      </c>
      <c r="F480" s="41">
        <v>47</v>
      </c>
      <c r="G480" s="41"/>
      <c r="H480" s="114"/>
      <c r="I480" s="115"/>
      <c r="J480" s="115"/>
      <c r="K480" s="102"/>
      <c r="L480">
        <f>IF(ISBLANK(D480),IF(E480&gt;0,F480-E480+1,0),0)</f>
        <v>4</v>
      </c>
      <c r="M480" s="45">
        <f>IF(ISBLANK(D480),0,IF(G480=0,F480-E480+1,0))</f>
        <v>0</v>
      </c>
      <c r="Q480" s="42" t="str">
        <f>C480&amp;IF(ISBLANK(D480),"","=")&amp;D480</f>
        <v/>
      </c>
      <c r="S480" s="39">
        <v>20000</v>
      </c>
      <c r="T480" s="42" t="str">
        <f>C480&amp;IF(ISBLANK(S480),"","=")&amp;S480</f>
        <v>=20000</v>
      </c>
      <c r="U480" s="39">
        <v>10001</v>
      </c>
      <c r="V480" s="42" t="str">
        <f>C480&amp;IF(ISBLANK(U480),"","=")&amp;U480</f>
        <v>=10001</v>
      </c>
    </row>
    <row r="481" spans="1:22" x14ac:dyDescent="0.25">
      <c r="A481">
        <v>480</v>
      </c>
      <c r="E481" s="41">
        <v>56</v>
      </c>
      <c r="F481" s="41">
        <v>59</v>
      </c>
      <c r="G481" s="41"/>
      <c r="H481" s="114"/>
      <c r="I481" s="115"/>
      <c r="J481" s="115"/>
      <c r="K481" s="102"/>
      <c r="L481">
        <f>IF(ISBLANK(D481),IF(E481&gt;0,F481-E481+1,0),0)</f>
        <v>4</v>
      </c>
      <c r="M481" s="45">
        <f>IF(ISBLANK(D481),0,IF(G481=0,F481-E481+1,0))</f>
        <v>0</v>
      </c>
      <c r="Q481" s="42" t="str">
        <f>C481&amp;IF(ISBLANK(D481),"","=")&amp;D481</f>
        <v/>
      </c>
      <c r="S481" s="39">
        <v>30000</v>
      </c>
      <c r="T481" s="42" t="str">
        <f>C481&amp;IF(ISBLANK(S481),"","=")&amp;S481</f>
        <v>=30000</v>
      </c>
      <c r="U481" s="39">
        <v>1000</v>
      </c>
      <c r="V481" s="42" t="str">
        <f>C481&amp;IF(ISBLANK(U481),"","=")&amp;U481</f>
        <v>=1000</v>
      </c>
    </row>
    <row r="482" spans="1:22" x14ac:dyDescent="0.25">
      <c r="A482">
        <v>481</v>
      </c>
      <c r="E482" s="41">
        <v>84</v>
      </c>
      <c r="F482" s="41">
        <v>87</v>
      </c>
      <c r="G482" s="41"/>
      <c r="H482" s="114"/>
      <c r="I482" s="115"/>
      <c r="J482" s="115"/>
      <c r="K482" s="102"/>
      <c r="L482">
        <f>IF(ISBLANK(D482),IF(E482&gt;0,F482-E482+1,0),0)</f>
        <v>4</v>
      </c>
      <c r="M482" s="45">
        <f>IF(ISBLANK(D482),0,IF(G482=0,F482-E482+1,0))</f>
        <v>0</v>
      </c>
      <c r="Q482" s="42" t="str">
        <f>C482&amp;IF(ISBLANK(D482),"","=")&amp;D482</f>
        <v/>
      </c>
      <c r="S482" s="39">
        <v>15000</v>
      </c>
      <c r="T482" s="42" t="str">
        <f>C482&amp;IF(ISBLANK(S482),"","=")&amp;S482</f>
        <v>=15000</v>
      </c>
      <c r="U482" s="39">
        <v>1000</v>
      </c>
      <c r="V482" s="42" t="str">
        <f>C482&amp;IF(ISBLANK(U482),"","=")&amp;U482</f>
        <v>=1000</v>
      </c>
    </row>
    <row r="483" spans="1:22" x14ac:dyDescent="0.25">
      <c r="A483" s="106">
        <v>482</v>
      </c>
      <c r="B483" s="106"/>
      <c r="C483" s="107"/>
      <c r="D483" s="107"/>
      <c r="E483" s="41">
        <v>108</v>
      </c>
      <c r="F483" s="40">
        <v>111</v>
      </c>
      <c r="G483" s="41"/>
      <c r="H483" s="114"/>
      <c r="I483" s="115"/>
      <c r="J483" s="115"/>
      <c r="K483" s="102"/>
      <c r="L483">
        <f>IF(ISBLANK(D483),IF(E483&gt;0,F483-E483+1,0),0)</f>
        <v>4</v>
      </c>
      <c r="M483" s="45">
        <f>IF(ISBLANK(D483),0,IF(G483=0,F483-E483+1,0))</f>
        <v>0</v>
      </c>
      <c r="Q483" s="42" t="str">
        <f>C483&amp;IF(ISBLANK(D483),"","=")&amp;D483</f>
        <v/>
      </c>
      <c r="S483" s="39">
        <v>30000</v>
      </c>
      <c r="T483" s="42" t="str">
        <f>C483&amp;IF(ISBLANK(S483),"","=")&amp;S483</f>
        <v>=30000</v>
      </c>
      <c r="U483" s="39">
        <v>1000</v>
      </c>
      <c r="V483" s="42" t="str">
        <f>C483&amp;IF(ISBLANK(U483),"","=")&amp;U483</f>
        <v>=1000</v>
      </c>
    </row>
    <row r="484" spans="1:22" x14ac:dyDescent="0.25">
      <c r="A484" s="106">
        <v>483</v>
      </c>
      <c r="B484" s="106"/>
      <c r="C484" s="107"/>
      <c r="D484" s="107"/>
      <c r="E484" s="41">
        <v>148</v>
      </c>
      <c r="F484" s="41">
        <v>151</v>
      </c>
      <c r="G484" s="41"/>
      <c r="H484" s="114"/>
      <c r="I484" s="115"/>
      <c r="J484" s="115"/>
      <c r="K484" s="102"/>
      <c r="L484">
        <f>IF(ISBLANK(D484),IF(E484&gt;0,F484-E484+1,0),0)</f>
        <v>4</v>
      </c>
      <c r="M484" s="45">
        <f>IF(ISBLANK(D484),0,IF(G484=0,F484-E484+1,0))</f>
        <v>0</v>
      </c>
      <c r="Q484" s="42" t="str">
        <f>C484&amp;IF(ISBLANK(D484),"","=")&amp;D484</f>
        <v/>
      </c>
      <c r="S484" s="39">
        <v>30000</v>
      </c>
      <c r="T484" s="42" t="str">
        <f>C484&amp;IF(ISBLANK(S484),"","=")&amp;S484</f>
        <v>=30000</v>
      </c>
      <c r="U484" s="39">
        <v>1000</v>
      </c>
      <c r="V484" s="42" t="str">
        <f>C484&amp;IF(ISBLANK(U484),"","=")&amp;U484</f>
        <v>=1000</v>
      </c>
    </row>
    <row r="485" spans="1:22" x14ac:dyDescent="0.25">
      <c r="A485" s="106">
        <v>484</v>
      </c>
      <c r="B485" s="106"/>
      <c r="C485" s="107"/>
      <c r="D485" s="107"/>
      <c r="E485" s="41">
        <v>164</v>
      </c>
      <c r="F485" s="41">
        <v>167</v>
      </c>
      <c r="G485" s="41"/>
      <c r="H485" s="114"/>
      <c r="I485" s="115"/>
      <c r="J485" s="115"/>
      <c r="K485" s="102"/>
      <c r="L485">
        <f>IF(ISBLANK(D485),IF(E485&gt;0,F485-E485+1,0),0)</f>
        <v>4</v>
      </c>
      <c r="M485" s="45">
        <f>IF(ISBLANK(D485),0,IF(G485=0,F485-E485+1,0))</f>
        <v>0</v>
      </c>
      <c r="Q485" s="42" t="str">
        <f>C485&amp;IF(ISBLANK(D485),"","=")&amp;D485</f>
        <v/>
      </c>
      <c r="R485" s="102"/>
      <c r="S485" s="39">
        <v>30000</v>
      </c>
      <c r="T485" s="42" t="str">
        <f>C485&amp;IF(ISBLANK(S485),"","=")&amp;S485</f>
        <v>=30000</v>
      </c>
      <c r="U485" s="39">
        <v>10001</v>
      </c>
      <c r="V485" s="42" t="str">
        <f>C485&amp;IF(ISBLANK(U485),"","=")&amp;U485</f>
        <v>=10001</v>
      </c>
    </row>
    <row r="486" spans="1:22" x14ac:dyDescent="0.25">
      <c r="A486">
        <v>485</v>
      </c>
      <c r="D486" s="107"/>
      <c r="E486" s="41">
        <v>208</v>
      </c>
      <c r="F486" s="41">
        <v>211</v>
      </c>
      <c r="G486" s="41"/>
      <c r="H486" s="114"/>
      <c r="I486" s="115"/>
      <c r="J486" s="115"/>
      <c r="K486" s="102"/>
      <c r="L486">
        <f>IF(ISBLANK(D486),IF(E486&gt;0,F486-E486+1,0),0)</f>
        <v>4</v>
      </c>
      <c r="M486" s="45">
        <f>IF(ISBLANK(D486),0,IF(G486=0,F486-E486+1,0))</f>
        <v>0</v>
      </c>
      <c r="Q486" s="42" t="str">
        <f>C486&amp;IF(ISBLANK(D486),"","=")&amp;D486</f>
        <v/>
      </c>
      <c r="S486" s="39">
        <v>20000</v>
      </c>
      <c r="T486" s="42" t="str">
        <f>C486&amp;IF(ISBLANK(S486),"","=")&amp;S486</f>
        <v>=20000</v>
      </c>
      <c r="U486" s="39">
        <v>11</v>
      </c>
      <c r="V486" s="42" t="str">
        <f>C486&amp;IF(ISBLANK(U486),"","=")&amp;U486</f>
        <v>=11</v>
      </c>
    </row>
    <row r="487" spans="1:22" x14ac:dyDescent="0.25">
      <c r="A487">
        <v>486</v>
      </c>
      <c r="D487" s="107"/>
      <c r="E487" s="41">
        <v>212</v>
      </c>
      <c r="F487" s="41">
        <v>215</v>
      </c>
      <c r="G487" s="41"/>
      <c r="H487" s="114"/>
      <c r="I487" s="115"/>
      <c r="J487" s="115"/>
      <c r="K487" s="102"/>
      <c r="L487">
        <f>IF(ISBLANK(D487),IF(E487&gt;0,F487-E487+1,0),0)</f>
        <v>4</v>
      </c>
      <c r="M487" s="45">
        <f>IF(ISBLANK(D487),0,IF(G487=0,F487-E487+1,0))</f>
        <v>0</v>
      </c>
      <c r="Q487" s="42" t="str">
        <f>C487&amp;IF(ISBLANK(D487),"","=")&amp;D487</f>
        <v/>
      </c>
      <c r="S487" s="39">
        <v>30000</v>
      </c>
      <c r="T487" s="42" t="str">
        <f>C487&amp;IF(ISBLANK(S487),"","=")&amp;S487</f>
        <v>=30000</v>
      </c>
      <c r="U487" s="39">
        <v>1000</v>
      </c>
      <c r="V487" s="42" t="str">
        <f>C487&amp;IF(ISBLANK(U487),"","=")&amp;U487</f>
        <v>=1000</v>
      </c>
    </row>
    <row r="488" spans="1:22" x14ac:dyDescent="0.25">
      <c r="A488">
        <v>487</v>
      </c>
      <c r="D488" s="107"/>
      <c r="E488" s="40">
        <v>376</v>
      </c>
      <c r="F488" s="40">
        <v>379</v>
      </c>
      <c r="G488" s="40"/>
      <c r="H488" s="114"/>
      <c r="I488" s="115"/>
      <c r="J488" s="115"/>
      <c r="K488" s="102"/>
      <c r="L488">
        <f>IF(ISBLANK(D488),IF(E488&gt;0,F488-E488+1,0),0)</f>
        <v>4</v>
      </c>
      <c r="M488" s="45">
        <f>IF(ISBLANK(D488),0,IF(G488=0,F488-E488+1,0))</f>
        <v>0</v>
      </c>
      <c r="Q488" s="42" t="str">
        <f>C488&amp;IF(ISBLANK(D488),"","=")&amp;D488</f>
        <v/>
      </c>
      <c r="R488" s="102"/>
      <c r="S488" s="39">
        <v>30000</v>
      </c>
      <c r="T488" s="42" t="str">
        <f>C488&amp;IF(ISBLANK(S488),"","=")&amp;S488</f>
        <v>=30000</v>
      </c>
      <c r="U488" s="39">
        <v>1000</v>
      </c>
      <c r="V488" s="42" t="str">
        <f>C488&amp;IF(ISBLANK(U488),"","=")&amp;U488</f>
        <v>=1000</v>
      </c>
    </row>
    <row r="489" spans="1:22" x14ac:dyDescent="0.25">
      <c r="A489">
        <v>488</v>
      </c>
      <c r="D489" s="107"/>
      <c r="E489" s="41">
        <v>472</v>
      </c>
      <c r="F489" s="41">
        <v>475</v>
      </c>
      <c r="G489" s="41"/>
      <c r="H489" s="116"/>
      <c r="I489" s="106"/>
      <c r="J489" s="106"/>
      <c r="K489" s="102"/>
      <c r="L489">
        <f>IF(ISBLANK(D489),IF(E489&gt;0,F489-E489+1,0),0)</f>
        <v>4</v>
      </c>
      <c r="M489" s="45">
        <f>IF(ISBLANK(D489),0,IF(G489=0,F489-E489+1,0))</f>
        <v>0</v>
      </c>
    </row>
    <row r="490" spans="1:22" x14ac:dyDescent="0.25">
      <c r="A490">
        <v>489</v>
      </c>
      <c r="D490" s="107"/>
      <c r="E490" s="40">
        <v>508</v>
      </c>
      <c r="F490" s="40">
        <v>511</v>
      </c>
      <c r="G490" s="40"/>
      <c r="H490" s="114"/>
      <c r="I490" s="115"/>
      <c r="J490" s="115"/>
      <c r="K490" s="102"/>
      <c r="L490">
        <f>IF(ISBLANK(D546),IF(E490&gt;0,F490-E490+1,0),0)</f>
        <v>4</v>
      </c>
      <c r="M490" s="45">
        <f>IF(ISBLANK(D546),0,IF(G490=0,F490-E490+1,0))</f>
        <v>0</v>
      </c>
      <c r="Q490" s="42" t="str">
        <f>C546&amp;IF(ISBLANK(D546),"","=")&amp;D546</f>
        <v/>
      </c>
      <c r="S490" s="39">
        <v>30000</v>
      </c>
      <c r="T490" s="42" t="str">
        <f>C546&amp;IF(ISBLANK(S490),"","=")&amp;S490</f>
        <v>=30000</v>
      </c>
      <c r="U490" s="39">
        <v>1000</v>
      </c>
      <c r="V490" s="42" t="str">
        <f>C546&amp;IF(ISBLANK(U490),"","=")&amp;U490</f>
        <v>=1000</v>
      </c>
    </row>
    <row r="491" spans="1:22" x14ac:dyDescent="0.25">
      <c r="A491">
        <v>490</v>
      </c>
      <c r="C491" s="107"/>
      <c r="D491" s="107"/>
      <c r="E491" s="41">
        <v>540</v>
      </c>
      <c r="F491" s="41">
        <v>543</v>
      </c>
      <c r="G491" s="41"/>
      <c r="H491" s="114"/>
      <c r="I491" s="115"/>
      <c r="J491" s="115"/>
      <c r="K491" s="102"/>
      <c r="L491">
        <f>IF(ISBLANK(D491),IF(E491&gt;0,F491-E491+1,0),0)</f>
        <v>4</v>
      </c>
      <c r="M491" s="45">
        <f>IF(ISBLANK(D491),0,IF(G491=0,F491-E491+1,0))</f>
        <v>0</v>
      </c>
      <c r="N491"/>
      <c r="O491"/>
      <c r="P491"/>
      <c r="Q491"/>
    </row>
    <row r="492" spans="1:22" x14ac:dyDescent="0.25">
      <c r="A492">
        <v>491</v>
      </c>
      <c r="C492" s="107"/>
      <c r="D492" s="107"/>
      <c r="E492" s="41">
        <v>560</v>
      </c>
      <c r="F492" s="41">
        <v>563</v>
      </c>
      <c r="G492" s="41"/>
      <c r="H492" s="114"/>
      <c r="I492" s="115"/>
      <c r="J492" s="115"/>
      <c r="K492" s="102"/>
      <c r="L492">
        <f>IF(ISBLANK(D492),IF(E492&gt;0,F492-E492+1,0),0)</f>
        <v>4</v>
      </c>
      <c r="M492" s="45">
        <f>IF(ISBLANK(D492),0,IF(G492=0,F492-E492+1,0))</f>
        <v>0</v>
      </c>
      <c r="Q492" s="42" t="str">
        <f>C492&amp;IF(ISBLANK(D492),"","=")&amp;D492</f>
        <v/>
      </c>
      <c r="S492" s="39">
        <v>20000</v>
      </c>
      <c r="T492" s="42" t="str">
        <f>C492&amp;IF(ISBLANK(S492),"","=")&amp;S492</f>
        <v>=20000</v>
      </c>
      <c r="U492" s="39">
        <v>1000</v>
      </c>
      <c r="V492" s="42" t="str">
        <f>C492&amp;IF(ISBLANK(U492),"","=")&amp;U492</f>
        <v>=1000</v>
      </c>
    </row>
    <row r="493" spans="1:22" x14ac:dyDescent="0.25">
      <c r="A493">
        <v>492</v>
      </c>
      <c r="C493" s="107"/>
      <c r="D493" s="107"/>
      <c r="E493" s="41">
        <v>596</v>
      </c>
      <c r="F493" s="40">
        <v>599</v>
      </c>
      <c r="G493" s="41"/>
      <c r="H493" s="116"/>
      <c r="I493" s="106"/>
      <c r="J493" s="106"/>
      <c r="K493" s="102"/>
      <c r="L493">
        <f>IF(ISBLANK(D493),IF(E493&gt;0,F493-E493+1,0),0)</f>
        <v>4</v>
      </c>
      <c r="M493" s="45">
        <f>IF(ISBLANK(D493),0,IF(G493=0,F493-E493+1,0))</f>
        <v>0</v>
      </c>
    </row>
    <row r="494" spans="1:22" x14ac:dyDescent="0.25">
      <c r="A494">
        <v>493</v>
      </c>
      <c r="C494" s="107"/>
      <c r="D494" s="107"/>
      <c r="E494" s="40">
        <v>660</v>
      </c>
      <c r="F494" s="40">
        <v>663</v>
      </c>
      <c r="G494" s="41"/>
      <c r="H494" s="114"/>
      <c r="I494" s="115"/>
      <c r="J494" s="115"/>
      <c r="K494" s="102"/>
      <c r="L494">
        <f>IF(ISBLANK(D494),IF(E494&gt;0,F494-E494+1,0),0)</f>
        <v>4</v>
      </c>
      <c r="M494" s="45">
        <f>IF(ISBLANK(D494),0,IF(G494=0,F494-E494+1,0))</f>
        <v>0</v>
      </c>
      <c r="Q494" s="42" t="str">
        <f>C494&amp;IF(ISBLANK(D494),"","=")&amp;D494</f>
        <v/>
      </c>
    </row>
    <row r="495" spans="1:22" x14ac:dyDescent="0.25">
      <c r="A495">
        <v>494</v>
      </c>
      <c r="C495" s="107"/>
      <c r="D495" s="107"/>
      <c r="E495" s="41">
        <v>732</v>
      </c>
      <c r="F495" s="41">
        <v>735</v>
      </c>
      <c r="G495" s="41"/>
      <c r="H495" s="116"/>
      <c r="I495" s="106"/>
      <c r="J495" s="106"/>
      <c r="K495" s="102"/>
      <c r="L495">
        <f>IF(ISBLANK(D495),IF(E495&gt;0,F495-E495+1,0),0)</f>
        <v>4</v>
      </c>
      <c r="M495" s="45">
        <f>IF(ISBLANK(D495),0,IF(G495=0,F495-E495+1,0))</f>
        <v>0</v>
      </c>
    </row>
    <row r="496" spans="1:22" x14ac:dyDescent="0.25">
      <c r="A496">
        <v>495</v>
      </c>
      <c r="C496" s="107"/>
      <c r="D496" s="107"/>
      <c r="E496" s="40">
        <v>736</v>
      </c>
      <c r="F496" s="40">
        <v>739</v>
      </c>
      <c r="G496" s="41"/>
      <c r="H496" s="116"/>
      <c r="I496" s="106"/>
      <c r="J496" s="106"/>
      <c r="K496" s="102"/>
      <c r="L496">
        <f>IF(ISBLANK(D496),IF(E496&gt;0,F496-E496+1,0),0)</f>
        <v>4</v>
      </c>
      <c r="M496" s="45">
        <f>IF(ISBLANK(D496),0,IF(G496=0,F496-E496+1,0))</f>
        <v>0</v>
      </c>
    </row>
    <row r="497" spans="1:22" x14ac:dyDescent="0.25">
      <c r="A497">
        <v>496</v>
      </c>
      <c r="D497" s="107"/>
      <c r="E497" s="40">
        <v>752</v>
      </c>
      <c r="F497" s="40">
        <v>755</v>
      </c>
      <c r="G497" s="41"/>
      <c r="H497" s="116"/>
      <c r="I497" s="106"/>
      <c r="J497" s="106"/>
      <c r="K497" s="102"/>
      <c r="L497">
        <f>IF(ISBLANK(D497),IF(E497&gt;0,F497-E497+1,0),0)</f>
        <v>4</v>
      </c>
      <c r="M497" s="45">
        <f>IF(ISBLANK(D497),0,IF(G497=0,F497-E497+1,0))</f>
        <v>0</v>
      </c>
    </row>
    <row r="498" spans="1:22" x14ac:dyDescent="0.25">
      <c r="A498">
        <v>497</v>
      </c>
      <c r="D498" s="107"/>
      <c r="E498" s="40">
        <v>756</v>
      </c>
      <c r="F498" s="40">
        <v>759</v>
      </c>
      <c r="G498" s="41"/>
      <c r="H498" s="114"/>
      <c r="I498" s="115"/>
      <c r="J498" s="115"/>
      <c r="K498" s="102"/>
      <c r="L498">
        <f>IF(ISBLANK(D498),IF(E498&gt;0,F498-E498+1,0),0)</f>
        <v>4</v>
      </c>
      <c r="M498" s="45">
        <f>IF(ISBLANK(D498),0,IF(G498=0,F498-E498+1,0))</f>
        <v>0</v>
      </c>
      <c r="Q498" s="42" t="str">
        <f>C498&amp;IF(ISBLANK(D498),"","=")&amp;D498</f>
        <v/>
      </c>
      <c r="S498" s="39">
        <v>2</v>
      </c>
      <c r="T498" s="42" t="str">
        <f>C498&amp;IF(ISBLANK(S498),"","=")&amp;S498</f>
        <v>=2</v>
      </c>
      <c r="U498" s="39">
        <v>11</v>
      </c>
      <c r="V498" s="42" t="str">
        <f>C498&amp;IF(ISBLANK(U498),"","=")&amp;U498</f>
        <v>=11</v>
      </c>
    </row>
    <row r="499" spans="1:22" x14ac:dyDescent="0.25">
      <c r="A499">
        <v>498</v>
      </c>
      <c r="C499" s="102"/>
      <c r="D499" s="117"/>
      <c r="E499" s="41">
        <v>760</v>
      </c>
      <c r="F499" s="41">
        <v>763</v>
      </c>
      <c r="G499" s="41"/>
      <c r="H499" s="118"/>
      <c r="I499" s="115"/>
      <c r="J499" s="115"/>
      <c r="K499" s="102"/>
      <c r="L499">
        <f>IF(ISBLANK(D499),IF(E499&gt;0,F499-E499+1,0),0)</f>
        <v>4</v>
      </c>
      <c r="M499" s="45">
        <f>IF(ISBLANK(D499),0,IF(G499=0,F499-E499+1,0))</f>
        <v>0</v>
      </c>
      <c r="Q499" s="42" t="str">
        <f>C499&amp;IF(ISBLANK(D499),"","=")&amp;D499</f>
        <v/>
      </c>
      <c r="S499" s="102">
        <v>30000</v>
      </c>
      <c r="T499" s="42" t="str">
        <f>C499&amp;IF(ISBLANK(S499),"","=")&amp;S499</f>
        <v>=30000</v>
      </c>
      <c r="U499" s="102">
        <v>1000</v>
      </c>
      <c r="V499" s="42" t="str">
        <f>C499&amp;IF(ISBLANK(U499),"","=")&amp;U499</f>
        <v>=1000</v>
      </c>
    </row>
    <row r="500" spans="1:22" x14ac:dyDescent="0.25">
      <c r="A500">
        <v>499</v>
      </c>
      <c r="D500" s="107"/>
      <c r="E500" s="40">
        <v>764</v>
      </c>
      <c r="F500" s="40">
        <v>767</v>
      </c>
      <c r="G500" s="41"/>
      <c r="H500" s="114"/>
      <c r="I500" s="115"/>
      <c r="J500" s="115"/>
      <c r="K500" s="102"/>
      <c r="L500">
        <f>IF(ISBLANK(D500),IF(E500&gt;0,F500-E500+1,0),0)</f>
        <v>4</v>
      </c>
      <c r="M500" s="45">
        <f>IF(ISBLANK(D500),0,IF(G500=0,F500-E500+1,0))</f>
        <v>0</v>
      </c>
      <c r="Q500" s="42" t="str">
        <f>C500&amp;IF(ISBLANK(D500),"","=")&amp;D500</f>
        <v/>
      </c>
      <c r="S500" s="39">
        <v>15000</v>
      </c>
      <c r="T500" s="42" t="str">
        <f>C500&amp;IF(ISBLANK(S500),"","=")&amp;S500</f>
        <v>=15000</v>
      </c>
      <c r="U500" s="39">
        <v>1000</v>
      </c>
      <c r="V500" s="42" t="str">
        <f>C500&amp;IF(ISBLANK(U500),"","=")&amp;U500</f>
        <v>=1000</v>
      </c>
    </row>
    <row r="501" spans="1:22" x14ac:dyDescent="0.25">
      <c r="A501">
        <v>502</v>
      </c>
      <c r="C501" s="107"/>
      <c r="D501" s="107"/>
      <c r="E501" s="40">
        <v>432</v>
      </c>
      <c r="F501" s="40">
        <v>435</v>
      </c>
      <c r="G501" s="40"/>
      <c r="H501" s="114"/>
      <c r="I501" s="115"/>
      <c r="J501" s="115"/>
      <c r="K501" s="102"/>
      <c r="L501">
        <f>IF(ISBLANK(D501),IF(E501&gt;0,F501-E501+1,0),0)</f>
        <v>4</v>
      </c>
      <c r="M501" s="45">
        <f>IF(ISBLANK(D501),0,IF(G501=0,F501-E501+1,0))</f>
        <v>0</v>
      </c>
      <c r="Q501" s="42" t="str">
        <f>C501&amp;IF(ISBLANK(D501),"","=")&amp;D501</f>
        <v/>
      </c>
      <c r="R501" s="102"/>
      <c r="S501" s="39">
        <v>20000</v>
      </c>
      <c r="T501" s="42" t="str">
        <f>C501&amp;IF(ISBLANK(S501),"","=")&amp;S501</f>
        <v>=20000</v>
      </c>
      <c r="U501" s="39">
        <v>1000</v>
      </c>
      <c r="V501" s="42" t="str">
        <f>C501&amp;IF(ISBLANK(U501),"","=")&amp;U501</f>
        <v>=1000</v>
      </c>
    </row>
    <row r="502" spans="1:22" x14ac:dyDescent="0.25">
      <c r="A502">
        <v>503</v>
      </c>
      <c r="E502" s="41">
        <v>480</v>
      </c>
      <c r="F502" s="41">
        <v>483</v>
      </c>
      <c r="G502" s="41"/>
      <c r="H502" s="114"/>
      <c r="I502" s="115"/>
      <c r="J502" s="115"/>
      <c r="K502" s="102"/>
      <c r="L502">
        <f>IF(ISBLANK(D502),IF(E502&gt;0,F502-E502+1,0),0)</f>
        <v>4</v>
      </c>
      <c r="M502" s="45">
        <f>IF(ISBLANK(D502),0,IF(G502=0,F502-E502+1,0))</f>
        <v>0</v>
      </c>
      <c r="Q502" s="42" t="str">
        <f>C502&amp;IF(ISBLANK(D502),"","=")&amp;D502</f>
        <v/>
      </c>
      <c r="S502" s="39">
        <v>30000</v>
      </c>
      <c r="T502" s="42" t="str">
        <f>C502&amp;IF(ISBLANK(S502),"","=")&amp;S502</f>
        <v>=30000</v>
      </c>
      <c r="U502" s="39">
        <v>1000</v>
      </c>
      <c r="V502" s="42" t="str">
        <f>C502&amp;IF(ISBLANK(U502),"","=")&amp;U502</f>
        <v>=1000</v>
      </c>
    </row>
    <row r="503" spans="1:22" x14ac:dyDescent="0.25">
      <c r="A503">
        <v>504</v>
      </c>
      <c r="E503" s="41">
        <v>476</v>
      </c>
      <c r="F503" s="41">
        <v>479</v>
      </c>
      <c r="G503" s="41"/>
      <c r="H503" s="114"/>
      <c r="I503" s="115"/>
      <c r="J503" s="115"/>
      <c r="K503" s="102"/>
      <c r="L503">
        <f>IF(ISBLANK(D503),IF(E503&gt;0,F503-E503+1,0),0)</f>
        <v>4</v>
      </c>
      <c r="M503" s="45">
        <f>IF(ISBLANK(D503),0,IF(G503=0,F503-E503+1,0))</f>
        <v>0</v>
      </c>
      <c r="Q503" s="42" t="str">
        <f>C503&amp;IF(ISBLANK(D503),"","=")&amp;D503</f>
        <v/>
      </c>
      <c r="S503" s="39">
        <v>20000</v>
      </c>
      <c r="T503" s="42" t="str">
        <f>C503&amp;IF(ISBLANK(S503),"","=")&amp;S503</f>
        <v>=20000</v>
      </c>
      <c r="U503" s="39">
        <v>1000</v>
      </c>
      <c r="V503" s="42" t="str">
        <f>C503&amp;IF(ISBLANK(U503),"","=")&amp;U503</f>
        <v>=1000</v>
      </c>
    </row>
    <row r="504" spans="1:22" x14ac:dyDescent="0.25">
      <c r="A504">
        <v>505</v>
      </c>
      <c r="E504" s="41">
        <v>420</v>
      </c>
      <c r="F504" s="41">
        <v>423</v>
      </c>
      <c r="G504" s="41"/>
      <c r="H504" s="114"/>
      <c r="I504" s="115"/>
      <c r="J504" s="115"/>
      <c r="K504" s="102"/>
      <c r="L504">
        <f>IF(ISBLANK(D504),IF(E504&gt;0,F504-E504+1,0),0)</f>
        <v>4</v>
      </c>
      <c r="M504" s="45">
        <f>IF(ISBLANK(D504),0,IF(G504=0,F504-E504+1,0))</f>
        <v>0</v>
      </c>
      <c r="Q504" s="42" t="str">
        <f>C504&amp;IF(ISBLANK(D504),"","=")&amp;D504</f>
        <v/>
      </c>
      <c r="S504" s="39">
        <v>20000</v>
      </c>
      <c r="T504" s="42" t="str">
        <f>C504&amp;IF(ISBLANK(S504),"","=")&amp;S504</f>
        <v>=20000</v>
      </c>
      <c r="U504" s="39">
        <v>1000</v>
      </c>
      <c r="V504" s="42" t="str">
        <f>C504&amp;IF(ISBLANK(U504),"","=")&amp;U504</f>
        <v>=1000</v>
      </c>
    </row>
    <row r="560" spans="8:8" x14ac:dyDescent="0.25">
      <c r="H560"/>
    </row>
    <row r="561" spans="8:8" x14ac:dyDescent="0.25">
      <c r="H561"/>
    </row>
    <row r="562" spans="8:8" x14ac:dyDescent="0.25">
      <c r="H562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O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customWidth="1"/>
    <col min="14" max="14" width="23.85546875" customWidth="1"/>
  </cols>
  <sheetData>
    <row r="3" spans="1:15" x14ac:dyDescent="0.25">
      <c r="A3" s="13" t="s">
        <v>181</v>
      </c>
      <c r="B3" s="13" t="s">
        <v>138</v>
      </c>
      <c r="C3" s="14" t="s">
        <v>141</v>
      </c>
      <c r="D3" s="15" t="s">
        <v>142</v>
      </c>
      <c r="F3" s="5" t="s">
        <v>179</v>
      </c>
      <c r="G3" s="6" t="s">
        <v>166</v>
      </c>
      <c r="H3" s="6" t="s">
        <v>165</v>
      </c>
      <c r="I3" s="6" t="s">
        <v>165</v>
      </c>
      <c r="J3" s="67" t="s">
        <v>180</v>
      </c>
      <c r="M3" s="65"/>
      <c r="N3" s="65"/>
      <c r="O3" s="65"/>
    </row>
    <row r="4" spans="1:15" x14ac:dyDescent="0.25">
      <c r="A4" s="16" t="s">
        <v>43</v>
      </c>
      <c r="B4" s="16"/>
      <c r="C4" s="17"/>
      <c r="D4" s="18"/>
      <c r="F4" s="7">
        <v>228</v>
      </c>
      <c r="G4" s="8" t="s">
        <v>498</v>
      </c>
      <c r="H4" s="8" t="s">
        <v>145</v>
      </c>
      <c r="I4" s="8">
        <v>0</v>
      </c>
      <c r="J4" s="68" t="s">
        <v>167</v>
      </c>
      <c r="K4">
        <f>I4+F4</f>
        <v>228</v>
      </c>
      <c r="M4" s="10"/>
      <c r="N4" s="10"/>
      <c r="O4" s="10"/>
    </row>
    <row r="5" spans="1:15" x14ac:dyDescent="0.25">
      <c r="A5" s="19"/>
      <c r="B5" s="19" t="s">
        <v>50</v>
      </c>
      <c r="C5" s="20" t="s">
        <v>51</v>
      </c>
      <c r="D5" s="21">
        <f>_xlfn.IFS(B5="uint32_t",4,B5="int",4,B5="float",4,B5="bool",2,B5="int32_t",4)</f>
        <v>4</v>
      </c>
      <c r="F5" s="9">
        <v>76</v>
      </c>
      <c r="G5" s="10" t="s">
        <v>146</v>
      </c>
      <c r="H5" s="10" t="s">
        <v>147</v>
      </c>
      <c r="I5" s="10">
        <v>300</v>
      </c>
      <c r="J5" s="69" t="s">
        <v>169</v>
      </c>
      <c r="K5">
        <f>I5+F5</f>
        <v>376</v>
      </c>
      <c r="L5">
        <f>I5-K4</f>
        <v>72</v>
      </c>
      <c r="M5" s="10"/>
      <c r="N5" s="10"/>
      <c r="O5" s="10"/>
    </row>
    <row r="6" spans="1:15" x14ac:dyDescent="0.25">
      <c r="A6" s="16"/>
      <c r="B6" s="19" t="s">
        <v>50</v>
      </c>
      <c r="C6" s="20" t="s">
        <v>54</v>
      </c>
      <c r="D6" s="21">
        <f t="shared" ref="D6:D14" si="0">_xlfn.IFS(B6="uint32_t",4,B6="int",4,B6="float",4,B6="bool",2,B6="int32_t",4)</f>
        <v>4</v>
      </c>
      <c r="F6" s="7">
        <v>84</v>
      </c>
      <c r="G6" s="8" t="s">
        <v>150</v>
      </c>
      <c r="H6" s="8" t="s">
        <v>151</v>
      </c>
      <c r="I6" s="8">
        <v>500</v>
      </c>
      <c r="J6" s="68" t="s">
        <v>175</v>
      </c>
      <c r="K6">
        <f>I6+F6</f>
        <v>584</v>
      </c>
      <c r="L6">
        <f>I6-K5</f>
        <v>124</v>
      </c>
      <c r="M6" s="10"/>
      <c r="N6" s="10"/>
      <c r="O6" s="10"/>
    </row>
    <row r="7" spans="1:15" x14ac:dyDescent="0.25">
      <c r="A7" s="19"/>
      <c r="B7" s="16" t="s">
        <v>52</v>
      </c>
      <c r="C7" s="17" t="s">
        <v>53</v>
      </c>
      <c r="D7" s="18">
        <f t="shared" si="0"/>
        <v>4</v>
      </c>
      <c r="F7" s="9">
        <v>120</v>
      </c>
      <c r="G7" s="10" t="s">
        <v>148</v>
      </c>
      <c r="H7" s="10" t="s">
        <v>149</v>
      </c>
      <c r="I7" s="10">
        <v>600</v>
      </c>
      <c r="J7" s="69" t="s">
        <v>168</v>
      </c>
      <c r="K7">
        <f t="shared" ref="K7:K17" si="1">I7+F7</f>
        <v>720</v>
      </c>
      <c r="L7">
        <f t="shared" ref="L7:L17" si="2">I7-K6</f>
        <v>16</v>
      </c>
      <c r="M7" s="10"/>
      <c r="N7" s="10"/>
      <c r="O7" s="10"/>
    </row>
    <row r="8" spans="1:15" x14ac:dyDescent="0.25">
      <c r="B8" s="16" t="s">
        <v>52</v>
      </c>
      <c r="C8" s="17" t="s">
        <v>55</v>
      </c>
      <c r="D8" s="18">
        <f t="shared" si="0"/>
        <v>4</v>
      </c>
      <c r="F8" s="7">
        <v>96</v>
      </c>
      <c r="G8" s="8" t="s">
        <v>154</v>
      </c>
      <c r="H8" s="8" t="s">
        <v>155</v>
      </c>
      <c r="I8" s="8">
        <v>750</v>
      </c>
      <c r="J8" s="68" t="s">
        <v>177</v>
      </c>
      <c r="K8">
        <f t="shared" si="1"/>
        <v>846</v>
      </c>
      <c r="L8">
        <f t="shared" si="2"/>
        <v>30</v>
      </c>
      <c r="M8" s="10"/>
      <c r="N8" s="10"/>
      <c r="O8" s="10"/>
    </row>
    <row r="9" spans="1:15" x14ac:dyDescent="0.25">
      <c r="A9" s="19"/>
      <c r="B9" s="19" t="s">
        <v>50</v>
      </c>
      <c r="C9" s="20" t="s">
        <v>56</v>
      </c>
      <c r="D9" s="21">
        <f t="shared" si="0"/>
        <v>4</v>
      </c>
      <c r="F9" s="9">
        <v>120</v>
      </c>
      <c r="G9" s="10" t="s">
        <v>499</v>
      </c>
      <c r="H9" s="10" t="s">
        <v>156</v>
      </c>
      <c r="I9" s="10">
        <v>900</v>
      </c>
      <c r="J9" s="69" t="s">
        <v>170</v>
      </c>
      <c r="K9">
        <f t="shared" si="1"/>
        <v>1020</v>
      </c>
      <c r="L9">
        <f t="shared" si="2"/>
        <v>54</v>
      </c>
      <c r="M9" s="10"/>
      <c r="N9" s="10"/>
      <c r="O9" s="10"/>
    </row>
    <row r="10" spans="1:15" x14ac:dyDescent="0.25">
      <c r="A10" s="16"/>
      <c r="B10" s="16" t="s">
        <v>52</v>
      </c>
      <c r="C10" s="17" t="s">
        <v>57</v>
      </c>
      <c r="D10" s="18">
        <f t="shared" si="0"/>
        <v>4</v>
      </c>
      <c r="F10" s="7">
        <v>112</v>
      </c>
      <c r="G10" s="8" t="s">
        <v>152</v>
      </c>
      <c r="H10" s="8" t="s">
        <v>153</v>
      </c>
      <c r="I10" s="8">
        <v>1100</v>
      </c>
      <c r="J10" s="68" t="s">
        <v>176</v>
      </c>
      <c r="K10">
        <f t="shared" si="1"/>
        <v>1212</v>
      </c>
      <c r="L10">
        <f t="shared" si="2"/>
        <v>80</v>
      </c>
      <c r="M10" s="10"/>
      <c r="N10" s="10"/>
      <c r="O10" s="10"/>
    </row>
    <row r="11" spans="1:15" x14ac:dyDescent="0.25">
      <c r="A11" s="16"/>
      <c r="B11" s="19" t="s">
        <v>52</v>
      </c>
      <c r="C11" s="20" t="s">
        <v>58</v>
      </c>
      <c r="D11" s="21">
        <f t="shared" si="0"/>
        <v>4</v>
      </c>
      <c r="F11" s="9">
        <v>108</v>
      </c>
      <c r="G11" s="10" t="s">
        <v>500</v>
      </c>
      <c r="H11" s="10" t="s">
        <v>157</v>
      </c>
      <c r="I11" s="10">
        <v>1250</v>
      </c>
      <c r="J11" s="69" t="s">
        <v>178</v>
      </c>
      <c r="K11">
        <f t="shared" si="1"/>
        <v>1358</v>
      </c>
      <c r="L11">
        <f t="shared" si="2"/>
        <v>38</v>
      </c>
      <c r="M11" s="10"/>
      <c r="N11" s="10"/>
      <c r="O11" s="10"/>
    </row>
    <row r="12" spans="1:15" x14ac:dyDescent="0.25">
      <c r="A12" s="19"/>
      <c r="B12" s="16" t="s">
        <v>59</v>
      </c>
      <c r="C12" s="17" t="s">
        <v>189</v>
      </c>
      <c r="D12" s="21">
        <f t="shared" si="0"/>
        <v>4</v>
      </c>
      <c r="F12" s="7">
        <v>52</v>
      </c>
      <c r="G12" s="8" t="s">
        <v>507</v>
      </c>
      <c r="H12" s="8" t="s">
        <v>158</v>
      </c>
      <c r="I12" s="8">
        <v>1400</v>
      </c>
      <c r="J12" s="68" t="s">
        <v>171</v>
      </c>
      <c r="K12">
        <f t="shared" si="1"/>
        <v>1452</v>
      </c>
      <c r="L12">
        <f t="shared" si="2"/>
        <v>42</v>
      </c>
      <c r="M12" s="10"/>
      <c r="N12" s="10"/>
      <c r="O12" s="10"/>
    </row>
    <row r="13" spans="1:15" x14ac:dyDescent="0.25">
      <c r="A13" s="19"/>
      <c r="B13" s="16" t="s">
        <v>59</v>
      </c>
      <c r="C13" s="20" t="s">
        <v>190</v>
      </c>
      <c r="D13" s="21">
        <f t="shared" si="0"/>
        <v>4</v>
      </c>
      <c r="F13" s="9">
        <v>16</v>
      </c>
      <c r="G13" s="10" t="s">
        <v>159</v>
      </c>
      <c r="H13" s="10" t="s">
        <v>160</v>
      </c>
      <c r="I13" s="10">
        <v>1500</v>
      </c>
      <c r="J13" s="69" t="s">
        <v>172</v>
      </c>
      <c r="K13">
        <f t="shared" si="1"/>
        <v>1516</v>
      </c>
      <c r="L13">
        <f t="shared" si="2"/>
        <v>48</v>
      </c>
      <c r="M13" s="10"/>
      <c r="N13" s="10"/>
      <c r="O13" s="10"/>
    </row>
    <row r="14" spans="1:15" x14ac:dyDescent="0.25">
      <c r="A14" s="19"/>
      <c r="B14" s="19" t="s">
        <v>59</v>
      </c>
      <c r="C14" s="20" t="s">
        <v>191</v>
      </c>
      <c r="D14" s="21">
        <f t="shared" si="0"/>
        <v>4</v>
      </c>
      <c r="F14" s="9">
        <v>16</v>
      </c>
      <c r="G14" s="8" t="s">
        <v>161</v>
      </c>
      <c r="H14" s="8" t="s">
        <v>162</v>
      </c>
      <c r="I14" s="8">
        <v>1550</v>
      </c>
      <c r="J14" s="68" t="s">
        <v>173</v>
      </c>
      <c r="K14">
        <f t="shared" si="1"/>
        <v>1566</v>
      </c>
      <c r="L14">
        <f t="shared" si="2"/>
        <v>34</v>
      </c>
      <c r="M14" s="10"/>
      <c r="N14" s="10"/>
      <c r="O14" s="10"/>
    </row>
    <row r="15" spans="1:15" x14ac:dyDescent="0.25">
      <c r="A15" s="19"/>
      <c r="B15" s="16" t="s">
        <v>59</v>
      </c>
      <c r="C15" s="17" t="s">
        <v>192</v>
      </c>
      <c r="D15" s="21">
        <v>4</v>
      </c>
      <c r="F15" s="9">
        <v>16</v>
      </c>
      <c r="G15" s="10" t="s">
        <v>163</v>
      </c>
      <c r="H15" s="10" t="s">
        <v>164</v>
      </c>
      <c r="I15" s="10">
        <v>1600</v>
      </c>
      <c r="J15" s="69" t="s">
        <v>174</v>
      </c>
      <c r="K15">
        <f t="shared" si="1"/>
        <v>1616</v>
      </c>
      <c r="L15">
        <f t="shared" si="2"/>
        <v>34</v>
      </c>
      <c r="M15" s="66"/>
      <c r="N15" s="66"/>
      <c r="O15" s="66"/>
    </row>
    <row r="16" spans="1:15" x14ac:dyDescent="0.25">
      <c r="A16" s="19"/>
      <c r="B16" s="16"/>
      <c r="C16" s="17"/>
      <c r="D16" s="21"/>
      <c r="F16" s="9">
        <v>16</v>
      </c>
      <c r="G16" s="8" t="s">
        <v>496</v>
      </c>
      <c r="H16" s="8" t="s">
        <v>164</v>
      </c>
      <c r="I16" s="8">
        <v>1650</v>
      </c>
      <c r="J16" s="68" t="s">
        <v>501</v>
      </c>
      <c r="K16">
        <f t="shared" si="1"/>
        <v>1666</v>
      </c>
      <c r="L16">
        <f t="shared" si="2"/>
        <v>34</v>
      </c>
      <c r="M16" s="10"/>
      <c r="N16" s="10"/>
      <c r="O16" s="10"/>
    </row>
    <row r="17" spans="1:15" x14ac:dyDescent="0.25">
      <c r="A17" s="19"/>
      <c r="B17" s="16"/>
      <c r="C17" s="17"/>
      <c r="D17" s="21"/>
      <c r="F17" s="9">
        <v>16</v>
      </c>
      <c r="G17" s="10" t="s">
        <v>497</v>
      </c>
      <c r="H17" s="10" t="s">
        <v>164</v>
      </c>
      <c r="I17" s="10">
        <v>1700</v>
      </c>
      <c r="J17" s="69" t="s">
        <v>502</v>
      </c>
      <c r="K17">
        <f t="shared" si="1"/>
        <v>1716</v>
      </c>
      <c r="L17">
        <f t="shared" si="2"/>
        <v>34</v>
      </c>
      <c r="M17" s="10"/>
      <c r="N17" s="10"/>
      <c r="O17" s="10"/>
    </row>
    <row r="21" spans="1:15" x14ac:dyDescent="0.25">
      <c r="A21" s="16"/>
      <c r="B21" s="16" t="s">
        <v>59</v>
      </c>
      <c r="C21" s="17" t="s">
        <v>64</v>
      </c>
      <c r="D21" s="18">
        <f>_xlfn.IFS(B21="uint32_t",4,B21="int",4,B21="float",4,B21="bool",2,B21="int32_t",4)</f>
        <v>4</v>
      </c>
    </row>
    <row r="22" spans="1:15" x14ac:dyDescent="0.25">
      <c r="A22" s="19"/>
      <c r="B22" s="19"/>
      <c r="C22" s="23" t="s">
        <v>182</v>
      </c>
      <c r="D22" s="21">
        <f>SUM(D21:D21)</f>
        <v>4</v>
      </c>
    </row>
    <row r="23" spans="1:15" x14ac:dyDescent="0.25">
      <c r="A23" s="16" t="s">
        <v>44</v>
      </c>
      <c r="B23" s="16"/>
      <c r="C23" s="17"/>
      <c r="D23" s="18"/>
    </row>
    <row r="24" spans="1:15" x14ac:dyDescent="0.25">
      <c r="A24" s="19"/>
      <c r="B24" s="19" t="s">
        <v>50</v>
      </c>
      <c r="C24" s="20" t="s">
        <v>65</v>
      </c>
      <c r="D24" s="21">
        <f>_xlfn.IFS(B24="uint32_t",4,B24="int",4,B24="float",4,B24="bool",2,B24="int32_t",4)</f>
        <v>4</v>
      </c>
    </row>
    <row r="25" spans="1:15" x14ac:dyDescent="0.25">
      <c r="A25" s="16"/>
      <c r="B25" s="16" t="s">
        <v>66</v>
      </c>
      <c r="C25" s="17" t="s">
        <v>67</v>
      </c>
      <c r="D25" s="18">
        <f t="shared" ref="D25:D61" si="3">_xlfn.IFS(B25="uint32_t",4,B25="int",4,B25="float",4,B25="bool",2,B25="int32_t",4)</f>
        <v>2</v>
      </c>
    </row>
    <row r="26" spans="1:15" x14ac:dyDescent="0.25">
      <c r="A26" s="19"/>
      <c r="B26" s="19" t="s">
        <v>50</v>
      </c>
      <c r="C26" s="20" t="s">
        <v>68</v>
      </c>
      <c r="D26" s="21">
        <f t="shared" si="3"/>
        <v>4</v>
      </c>
    </row>
    <row r="27" spans="1:15" x14ac:dyDescent="0.25">
      <c r="A27" s="16"/>
      <c r="B27" s="16" t="s">
        <v>59</v>
      </c>
      <c r="C27" s="17" t="s">
        <v>69</v>
      </c>
      <c r="D27" s="18">
        <f t="shared" si="3"/>
        <v>4</v>
      </c>
    </row>
    <row r="28" spans="1:15" x14ac:dyDescent="0.25">
      <c r="A28" s="19"/>
      <c r="B28" s="16" t="s">
        <v>52</v>
      </c>
      <c r="C28" s="25" t="s">
        <v>186</v>
      </c>
      <c r="D28" s="18">
        <f t="shared" si="3"/>
        <v>4</v>
      </c>
    </row>
    <row r="29" spans="1:15" x14ac:dyDescent="0.25">
      <c r="A29" s="16"/>
      <c r="B29" s="16" t="s">
        <v>50</v>
      </c>
      <c r="C29" s="17" t="s">
        <v>70</v>
      </c>
      <c r="D29" s="18">
        <f t="shared" si="3"/>
        <v>4</v>
      </c>
    </row>
    <row r="30" spans="1:15" x14ac:dyDescent="0.25">
      <c r="A30" s="19"/>
      <c r="B30" s="19" t="s">
        <v>66</v>
      </c>
      <c r="C30" s="20" t="s">
        <v>71</v>
      </c>
      <c r="D30" s="21">
        <f t="shared" si="3"/>
        <v>2</v>
      </c>
    </row>
    <row r="31" spans="1:15" x14ac:dyDescent="0.25">
      <c r="A31" s="16"/>
      <c r="B31" s="16" t="s">
        <v>50</v>
      </c>
      <c r="C31" s="17" t="s">
        <v>72</v>
      </c>
      <c r="D31" s="18">
        <f t="shared" si="3"/>
        <v>4</v>
      </c>
    </row>
    <row r="32" spans="1:15" x14ac:dyDescent="0.25">
      <c r="A32" s="19"/>
      <c r="B32" s="19" t="s">
        <v>59</v>
      </c>
      <c r="C32" s="20" t="s">
        <v>73</v>
      </c>
      <c r="D32" s="21">
        <f t="shared" si="3"/>
        <v>4</v>
      </c>
    </row>
    <row r="33" spans="1:4" x14ac:dyDescent="0.25">
      <c r="A33" s="16"/>
      <c r="B33" s="16" t="s">
        <v>50</v>
      </c>
      <c r="C33" s="17" t="s">
        <v>74</v>
      </c>
      <c r="D33" s="18">
        <f t="shared" si="3"/>
        <v>4</v>
      </c>
    </row>
    <row r="34" spans="1:4" x14ac:dyDescent="0.25">
      <c r="A34" s="19"/>
      <c r="B34" s="19" t="s">
        <v>50</v>
      </c>
      <c r="C34" s="20" t="s">
        <v>75</v>
      </c>
      <c r="D34" s="21">
        <f t="shared" si="3"/>
        <v>4</v>
      </c>
    </row>
    <row r="35" spans="1:4" x14ac:dyDescent="0.25">
      <c r="A35" s="16"/>
      <c r="B35" s="16"/>
      <c r="C35" s="17"/>
      <c r="D35" s="18"/>
    </row>
    <row r="36" spans="1:4" x14ac:dyDescent="0.25">
      <c r="A36" s="19"/>
      <c r="B36" s="19" t="s">
        <v>50</v>
      </c>
      <c r="C36" s="20" t="s">
        <v>76</v>
      </c>
      <c r="D36" s="21">
        <f t="shared" si="3"/>
        <v>4</v>
      </c>
    </row>
    <row r="37" spans="1:4" x14ac:dyDescent="0.25">
      <c r="A37" s="16"/>
      <c r="B37" s="16" t="s">
        <v>66</v>
      </c>
      <c r="C37" s="17" t="s">
        <v>77</v>
      </c>
      <c r="D37" s="18">
        <f t="shared" si="3"/>
        <v>2</v>
      </c>
    </row>
    <row r="38" spans="1:4" x14ac:dyDescent="0.25">
      <c r="A38" s="19"/>
      <c r="B38" s="19" t="s">
        <v>50</v>
      </c>
      <c r="C38" s="20" t="s">
        <v>78</v>
      </c>
      <c r="D38" s="21">
        <f t="shared" si="3"/>
        <v>4</v>
      </c>
    </row>
    <row r="39" spans="1:4" x14ac:dyDescent="0.25">
      <c r="A39" s="16"/>
      <c r="B39" s="16" t="s">
        <v>59</v>
      </c>
      <c r="C39" s="17" t="s">
        <v>79</v>
      </c>
      <c r="D39" s="18">
        <f t="shared" si="3"/>
        <v>4</v>
      </c>
    </row>
    <row r="40" spans="1:4" x14ac:dyDescent="0.25">
      <c r="A40" s="19"/>
      <c r="B40" s="19" t="s">
        <v>50</v>
      </c>
      <c r="C40" s="20" t="s">
        <v>80</v>
      </c>
      <c r="D40" s="21">
        <f t="shared" si="3"/>
        <v>4</v>
      </c>
    </row>
    <row r="41" spans="1:4" x14ac:dyDescent="0.25">
      <c r="A41" s="16"/>
      <c r="B41" s="16" t="s">
        <v>50</v>
      </c>
      <c r="C41" s="17" t="s">
        <v>81</v>
      </c>
      <c r="D41" s="18">
        <f t="shared" si="3"/>
        <v>4</v>
      </c>
    </row>
    <row r="42" spans="1:4" x14ac:dyDescent="0.25">
      <c r="A42" s="19"/>
      <c r="B42" s="19"/>
      <c r="C42" s="20"/>
      <c r="D42" s="21"/>
    </row>
    <row r="43" spans="1:4" x14ac:dyDescent="0.25">
      <c r="A43" s="16"/>
      <c r="B43" s="16" t="s">
        <v>50</v>
      </c>
      <c r="C43" s="17" t="s">
        <v>82</v>
      </c>
      <c r="D43" s="18">
        <f t="shared" si="3"/>
        <v>4</v>
      </c>
    </row>
    <row r="44" spans="1:4" x14ac:dyDescent="0.25">
      <c r="A44" s="19"/>
      <c r="B44" s="19" t="s">
        <v>66</v>
      </c>
      <c r="C44" s="20" t="s">
        <v>83</v>
      </c>
      <c r="D44" s="21">
        <f t="shared" si="3"/>
        <v>2</v>
      </c>
    </row>
    <row r="45" spans="1:4" x14ac:dyDescent="0.25">
      <c r="A45" s="16"/>
      <c r="B45" s="16" t="s">
        <v>50</v>
      </c>
      <c r="C45" s="17" t="s">
        <v>84</v>
      </c>
      <c r="D45" s="18">
        <f t="shared" si="3"/>
        <v>4</v>
      </c>
    </row>
    <row r="46" spans="1:4" x14ac:dyDescent="0.25">
      <c r="A46" s="19"/>
      <c r="B46" s="19" t="s">
        <v>59</v>
      </c>
      <c r="C46" s="20" t="s">
        <v>85</v>
      </c>
      <c r="D46" s="21">
        <f t="shared" si="3"/>
        <v>4</v>
      </c>
    </row>
    <row r="47" spans="1:4" x14ac:dyDescent="0.25">
      <c r="A47" s="16"/>
      <c r="B47" s="16" t="s">
        <v>50</v>
      </c>
      <c r="C47" s="17" t="s">
        <v>86</v>
      </c>
      <c r="D47" s="18">
        <f t="shared" si="3"/>
        <v>4</v>
      </c>
    </row>
    <row r="48" spans="1:4" x14ac:dyDescent="0.25">
      <c r="A48" s="19"/>
      <c r="B48" s="19" t="s">
        <v>50</v>
      </c>
      <c r="C48" s="20" t="s">
        <v>87</v>
      </c>
      <c r="D48" s="21">
        <f t="shared" si="3"/>
        <v>4</v>
      </c>
    </row>
    <row r="49" spans="1:4" x14ac:dyDescent="0.25">
      <c r="A49" s="16"/>
      <c r="B49" s="16"/>
      <c r="C49" s="17"/>
      <c r="D49" s="18"/>
    </row>
    <row r="50" spans="1:4" x14ac:dyDescent="0.25">
      <c r="A50" s="19"/>
      <c r="B50" s="19" t="s">
        <v>60</v>
      </c>
      <c r="C50" s="20" t="s">
        <v>88</v>
      </c>
      <c r="D50" s="21">
        <f t="shared" si="3"/>
        <v>4</v>
      </c>
    </row>
    <row r="51" spans="1:4" x14ac:dyDescent="0.25">
      <c r="A51" s="16"/>
      <c r="B51" s="16" t="s">
        <v>50</v>
      </c>
      <c r="C51" s="17" t="s">
        <v>89</v>
      </c>
      <c r="D51" s="18">
        <f t="shared" si="3"/>
        <v>4</v>
      </c>
    </row>
    <row r="52" spans="1:4" x14ac:dyDescent="0.25">
      <c r="A52" s="19"/>
      <c r="B52" s="19" t="s">
        <v>60</v>
      </c>
      <c r="C52" s="20" t="s">
        <v>90</v>
      </c>
      <c r="D52" s="21">
        <f t="shared" si="3"/>
        <v>4</v>
      </c>
    </row>
    <row r="53" spans="1:4" x14ac:dyDescent="0.25">
      <c r="A53" s="16"/>
      <c r="B53" s="16" t="s">
        <v>50</v>
      </c>
      <c r="C53" s="17" t="s">
        <v>91</v>
      </c>
      <c r="D53" s="18">
        <f t="shared" si="3"/>
        <v>4</v>
      </c>
    </row>
    <row r="54" spans="1:4" x14ac:dyDescent="0.25">
      <c r="A54" s="19"/>
      <c r="B54" s="19"/>
      <c r="C54" s="23" t="s">
        <v>182</v>
      </c>
      <c r="D54" s="21">
        <f>SUM(D24:D53)</f>
        <v>100</v>
      </c>
    </row>
    <row r="55" spans="1:4" x14ac:dyDescent="0.25">
      <c r="A55" s="16" t="s">
        <v>45</v>
      </c>
      <c r="B55" s="16"/>
      <c r="C55" s="17"/>
      <c r="D55" s="18"/>
    </row>
    <row r="56" spans="1:4" x14ac:dyDescent="0.25">
      <c r="A56" s="19"/>
      <c r="B56" s="19" t="s">
        <v>60</v>
      </c>
      <c r="C56" s="20" t="s">
        <v>61</v>
      </c>
      <c r="D56" s="21">
        <f t="shared" si="3"/>
        <v>4</v>
      </c>
    </row>
    <row r="57" spans="1:4" x14ac:dyDescent="0.25">
      <c r="A57" s="16"/>
      <c r="B57" s="16" t="s">
        <v>50</v>
      </c>
      <c r="C57" s="17" t="s">
        <v>62</v>
      </c>
      <c r="D57" s="18">
        <f t="shared" si="3"/>
        <v>4</v>
      </c>
    </row>
    <row r="58" spans="1:4" x14ac:dyDescent="0.25">
      <c r="A58" s="19"/>
      <c r="B58" s="19" t="s">
        <v>60</v>
      </c>
      <c r="C58" s="20" t="s">
        <v>92</v>
      </c>
      <c r="D58" s="21">
        <f t="shared" si="3"/>
        <v>4</v>
      </c>
    </row>
    <row r="59" spans="1:4" x14ac:dyDescent="0.25">
      <c r="A59" s="16"/>
      <c r="B59" s="16" t="s">
        <v>50</v>
      </c>
      <c r="C59" s="17" t="s">
        <v>93</v>
      </c>
      <c r="D59" s="18">
        <f t="shared" si="3"/>
        <v>4</v>
      </c>
    </row>
    <row r="60" spans="1:4" x14ac:dyDescent="0.25">
      <c r="A60" s="19"/>
      <c r="B60" s="19" t="s">
        <v>60</v>
      </c>
      <c r="C60" s="20" t="s">
        <v>63</v>
      </c>
      <c r="D60" s="21">
        <f t="shared" si="3"/>
        <v>4</v>
      </c>
    </row>
    <row r="61" spans="1:4" x14ac:dyDescent="0.25">
      <c r="A61" s="16"/>
      <c r="B61" s="16" t="s">
        <v>60</v>
      </c>
      <c r="C61" s="17" t="s">
        <v>94</v>
      </c>
      <c r="D61" s="18">
        <f t="shared" si="3"/>
        <v>4</v>
      </c>
    </row>
    <row r="62" spans="1:4" x14ac:dyDescent="0.25">
      <c r="A62" s="19"/>
      <c r="B62" s="19"/>
      <c r="C62" s="23" t="s">
        <v>182</v>
      </c>
      <c r="D62" s="21">
        <f>SUM(D56:D61)</f>
        <v>24</v>
      </c>
    </row>
    <row r="63" spans="1:4" x14ac:dyDescent="0.25">
      <c r="A63" s="16" t="s">
        <v>143</v>
      </c>
      <c r="B63" s="16"/>
      <c r="C63" s="17"/>
      <c r="D63" s="18"/>
    </row>
    <row r="64" spans="1:4" x14ac:dyDescent="0.25">
      <c r="A64" s="19"/>
      <c r="B64" s="19" t="s">
        <v>60</v>
      </c>
      <c r="C64" s="20" t="s">
        <v>61</v>
      </c>
      <c r="D64" s="21">
        <f>_xlfn.IFS(B64="uint32_t",4,B64="int",4,B64="float",4,B64="bool",2,B64="int32_t",4)</f>
        <v>4</v>
      </c>
    </row>
    <row r="65" spans="1:4" x14ac:dyDescent="0.25">
      <c r="A65" s="16"/>
      <c r="B65" s="16" t="s">
        <v>50</v>
      </c>
      <c r="C65" s="17" t="s">
        <v>62</v>
      </c>
      <c r="D65" s="18">
        <f t="shared" ref="D65:D128" si="4">_xlfn.IFS(B65="uint32_t",4,B65="int",4,B65="float",4,B65="bool",2,B65="int32_t",4)</f>
        <v>4</v>
      </c>
    </row>
    <row r="66" spans="1:4" x14ac:dyDescent="0.25">
      <c r="A66" s="19"/>
      <c r="B66" s="19" t="s">
        <v>60</v>
      </c>
      <c r="C66" s="20" t="s">
        <v>53</v>
      </c>
      <c r="D66" s="21">
        <f t="shared" si="4"/>
        <v>4</v>
      </c>
    </row>
    <row r="67" spans="1:4" x14ac:dyDescent="0.25">
      <c r="A67" s="16"/>
      <c r="B67" s="16" t="s">
        <v>60</v>
      </c>
      <c r="C67" s="17" t="s">
        <v>55</v>
      </c>
      <c r="D67" s="18">
        <f t="shared" si="4"/>
        <v>4</v>
      </c>
    </row>
    <row r="68" spans="1:4" x14ac:dyDescent="0.25">
      <c r="A68" s="19"/>
      <c r="B68" s="19" t="s">
        <v>60</v>
      </c>
      <c r="C68" s="20" t="s">
        <v>63</v>
      </c>
      <c r="D68" s="21">
        <f t="shared" si="4"/>
        <v>4</v>
      </c>
    </row>
    <row r="69" spans="1:4" x14ac:dyDescent="0.25">
      <c r="A69" s="16"/>
      <c r="B69" s="16" t="s">
        <v>60</v>
      </c>
      <c r="C69" s="17" t="s">
        <v>57</v>
      </c>
      <c r="D69" s="18">
        <f t="shared" si="4"/>
        <v>4</v>
      </c>
    </row>
    <row r="70" spans="1:4" x14ac:dyDescent="0.25">
      <c r="A70" s="19"/>
      <c r="B70" s="19" t="s">
        <v>60</v>
      </c>
      <c r="C70" s="20" t="s">
        <v>58</v>
      </c>
      <c r="D70" s="21">
        <f t="shared" si="4"/>
        <v>4</v>
      </c>
    </row>
    <row r="71" spans="1:4" x14ac:dyDescent="0.25">
      <c r="A71" s="16"/>
      <c r="B71" s="16" t="s">
        <v>50</v>
      </c>
      <c r="C71" s="17" t="s">
        <v>54</v>
      </c>
      <c r="D71" s="18">
        <f t="shared" si="4"/>
        <v>4</v>
      </c>
    </row>
    <row r="72" spans="1:4" x14ac:dyDescent="0.25">
      <c r="A72" s="19"/>
      <c r="B72" s="19" t="s">
        <v>50</v>
      </c>
      <c r="C72" s="20" t="s">
        <v>56</v>
      </c>
      <c r="D72" s="21">
        <f t="shared" si="4"/>
        <v>4</v>
      </c>
    </row>
    <row r="73" spans="1:4" x14ac:dyDescent="0.25">
      <c r="A73" s="16"/>
      <c r="B73" s="16" t="s">
        <v>60</v>
      </c>
      <c r="C73" s="17" t="s">
        <v>97</v>
      </c>
      <c r="D73" s="18">
        <f t="shared" si="4"/>
        <v>4</v>
      </c>
    </row>
    <row r="74" spans="1:4" x14ac:dyDescent="0.25">
      <c r="A74" s="19"/>
      <c r="B74" s="19" t="s">
        <v>60</v>
      </c>
      <c r="C74" s="20" t="s">
        <v>98</v>
      </c>
      <c r="D74" s="21">
        <f t="shared" si="4"/>
        <v>4</v>
      </c>
    </row>
    <row r="75" spans="1:4" x14ac:dyDescent="0.25">
      <c r="A75" s="16"/>
      <c r="B75" s="16" t="s">
        <v>60</v>
      </c>
      <c r="C75" s="17" t="s">
        <v>99</v>
      </c>
      <c r="D75" s="18">
        <f t="shared" si="4"/>
        <v>4</v>
      </c>
    </row>
    <row r="76" spans="1:4" x14ac:dyDescent="0.25">
      <c r="A76" s="19"/>
      <c r="B76" s="19" t="s">
        <v>60</v>
      </c>
      <c r="C76" s="20" t="s">
        <v>100</v>
      </c>
      <c r="D76" s="21">
        <f t="shared" si="4"/>
        <v>4</v>
      </c>
    </row>
    <row r="77" spans="1:4" x14ac:dyDescent="0.25">
      <c r="A77" s="16"/>
      <c r="B77" s="16"/>
      <c r="C77" s="17"/>
      <c r="D77" s="18"/>
    </row>
    <row r="78" spans="1:4" x14ac:dyDescent="0.25">
      <c r="A78" s="19"/>
      <c r="B78" s="19" t="s">
        <v>59</v>
      </c>
      <c r="C78" s="20" t="s">
        <v>101</v>
      </c>
      <c r="D78" s="21">
        <f t="shared" si="4"/>
        <v>4</v>
      </c>
    </row>
    <row r="79" spans="1:4" x14ac:dyDescent="0.25">
      <c r="A79" s="16"/>
      <c r="B79" s="16" t="s">
        <v>59</v>
      </c>
      <c r="C79" s="17" t="s">
        <v>102</v>
      </c>
      <c r="D79" s="18">
        <f t="shared" si="4"/>
        <v>4</v>
      </c>
    </row>
    <row r="80" spans="1:4" x14ac:dyDescent="0.25">
      <c r="A80" s="19"/>
      <c r="B80" s="19" t="s">
        <v>59</v>
      </c>
      <c r="C80" s="20" t="s">
        <v>103</v>
      </c>
      <c r="D80" s="21">
        <f t="shared" si="4"/>
        <v>4</v>
      </c>
    </row>
    <row r="81" spans="1:4" x14ac:dyDescent="0.25">
      <c r="A81" s="16"/>
      <c r="B81" s="16" t="s">
        <v>59</v>
      </c>
      <c r="C81" s="17" t="s">
        <v>104</v>
      </c>
      <c r="D81" s="18">
        <f t="shared" si="4"/>
        <v>4</v>
      </c>
    </row>
    <row r="82" spans="1:4" x14ac:dyDescent="0.25">
      <c r="A82" s="19"/>
      <c r="B82" s="19" t="s">
        <v>59</v>
      </c>
      <c r="C82" s="20" t="s">
        <v>105</v>
      </c>
      <c r="D82" s="21">
        <f t="shared" si="4"/>
        <v>4</v>
      </c>
    </row>
    <row r="83" spans="1:4" x14ac:dyDescent="0.25">
      <c r="A83" s="16"/>
      <c r="B83" s="16" t="s">
        <v>59</v>
      </c>
      <c r="C83" s="17" t="s">
        <v>106</v>
      </c>
      <c r="D83" s="18">
        <f t="shared" si="4"/>
        <v>4</v>
      </c>
    </row>
    <row r="84" spans="1:4" x14ac:dyDescent="0.25">
      <c r="A84" s="19"/>
      <c r="B84" s="19" t="s">
        <v>59</v>
      </c>
      <c r="C84" s="20" t="s">
        <v>107</v>
      </c>
      <c r="D84" s="21">
        <f t="shared" si="4"/>
        <v>4</v>
      </c>
    </row>
    <row r="85" spans="1:4" x14ac:dyDescent="0.25">
      <c r="A85" s="16"/>
      <c r="B85" s="16" t="s">
        <v>59</v>
      </c>
      <c r="C85" s="17" t="s">
        <v>108</v>
      </c>
      <c r="D85" s="18">
        <f t="shared" si="4"/>
        <v>4</v>
      </c>
    </row>
    <row r="86" spans="1:4" x14ac:dyDescent="0.25">
      <c r="A86" s="19"/>
      <c r="B86" s="19" t="s">
        <v>50</v>
      </c>
      <c r="C86" s="20" t="s">
        <v>51</v>
      </c>
      <c r="D86" s="21">
        <f t="shared" si="4"/>
        <v>4</v>
      </c>
    </row>
    <row r="87" spans="1:4" x14ac:dyDescent="0.25">
      <c r="A87" s="16"/>
      <c r="B87" s="16" t="s">
        <v>50</v>
      </c>
      <c r="C87" s="17" t="s">
        <v>109</v>
      </c>
      <c r="D87" s="18">
        <f t="shared" si="4"/>
        <v>4</v>
      </c>
    </row>
    <row r="88" spans="1:4" x14ac:dyDescent="0.25">
      <c r="A88" s="19"/>
      <c r="B88" s="19"/>
      <c r="C88" s="23" t="s">
        <v>182</v>
      </c>
      <c r="D88" s="21">
        <f>SUM(D64:D87)</f>
        <v>92</v>
      </c>
    </row>
    <row r="89" spans="1:4" x14ac:dyDescent="0.25">
      <c r="A89" s="16" t="s">
        <v>46</v>
      </c>
      <c r="B89" s="16"/>
      <c r="C89" s="17"/>
      <c r="D89" s="18"/>
    </row>
    <row r="90" spans="1:4" x14ac:dyDescent="0.25">
      <c r="A90" s="19"/>
      <c r="B90" s="19" t="s">
        <v>60</v>
      </c>
      <c r="C90" s="20" t="s">
        <v>61</v>
      </c>
      <c r="D90" s="21">
        <f t="shared" si="4"/>
        <v>4</v>
      </c>
    </row>
    <row r="91" spans="1:4" x14ac:dyDescent="0.25">
      <c r="A91" s="16"/>
      <c r="B91" s="16" t="s">
        <v>50</v>
      </c>
      <c r="C91" s="17" t="s">
        <v>62</v>
      </c>
      <c r="D91" s="18">
        <f t="shared" si="4"/>
        <v>4</v>
      </c>
    </row>
    <row r="92" spans="1:4" x14ac:dyDescent="0.25">
      <c r="A92" s="19"/>
      <c r="B92" s="19" t="s">
        <v>60</v>
      </c>
      <c r="C92" s="20" t="s">
        <v>53</v>
      </c>
      <c r="D92" s="21">
        <f t="shared" si="4"/>
        <v>4</v>
      </c>
    </row>
    <row r="93" spans="1:4" x14ac:dyDescent="0.25">
      <c r="A93" s="16"/>
      <c r="B93" s="16" t="s">
        <v>50</v>
      </c>
      <c r="C93" s="17" t="s">
        <v>54</v>
      </c>
      <c r="D93" s="18">
        <f t="shared" si="4"/>
        <v>4</v>
      </c>
    </row>
    <row r="94" spans="1:4" x14ac:dyDescent="0.25">
      <c r="A94" s="19"/>
      <c r="B94" s="19" t="s">
        <v>50</v>
      </c>
      <c r="C94" s="20" t="s">
        <v>55</v>
      </c>
      <c r="D94" s="21">
        <f t="shared" si="4"/>
        <v>4</v>
      </c>
    </row>
    <row r="95" spans="1:4" x14ac:dyDescent="0.25">
      <c r="A95" s="16"/>
      <c r="B95" s="16" t="s">
        <v>50</v>
      </c>
      <c r="C95" s="17" t="s">
        <v>56</v>
      </c>
      <c r="D95" s="18">
        <f t="shared" si="4"/>
        <v>4</v>
      </c>
    </row>
    <row r="96" spans="1:4" x14ac:dyDescent="0.25">
      <c r="A96" s="19"/>
      <c r="B96" s="19" t="s">
        <v>60</v>
      </c>
      <c r="C96" s="20" t="s">
        <v>63</v>
      </c>
      <c r="D96" s="21">
        <f t="shared" si="4"/>
        <v>4</v>
      </c>
    </row>
    <row r="97" spans="1:4" x14ac:dyDescent="0.25">
      <c r="A97" s="16"/>
      <c r="B97" s="16" t="s">
        <v>60</v>
      </c>
      <c r="C97" s="17" t="s">
        <v>110</v>
      </c>
      <c r="D97" s="18">
        <f t="shared" si="4"/>
        <v>4</v>
      </c>
    </row>
    <row r="98" spans="1:4" x14ac:dyDescent="0.25">
      <c r="A98" s="19"/>
      <c r="B98" s="19" t="s">
        <v>60</v>
      </c>
      <c r="C98" s="20" t="s">
        <v>111</v>
      </c>
      <c r="D98" s="21">
        <f t="shared" si="4"/>
        <v>4</v>
      </c>
    </row>
    <row r="99" spans="1:4" x14ac:dyDescent="0.25">
      <c r="A99" s="16"/>
      <c r="B99" s="16" t="s">
        <v>50</v>
      </c>
      <c r="C99" s="17" t="s">
        <v>51</v>
      </c>
      <c r="D99" s="18">
        <f t="shared" si="4"/>
        <v>4</v>
      </c>
    </row>
    <row r="100" spans="1:4" x14ac:dyDescent="0.25">
      <c r="A100" s="19"/>
      <c r="B100" s="19" t="s">
        <v>50</v>
      </c>
      <c r="C100" s="20" t="s">
        <v>112</v>
      </c>
      <c r="D100" s="21">
        <f t="shared" si="4"/>
        <v>4</v>
      </c>
    </row>
    <row r="101" spans="1:4" x14ac:dyDescent="0.25">
      <c r="A101" s="16"/>
      <c r="B101" s="16" t="s">
        <v>60</v>
      </c>
      <c r="C101" s="17" t="s">
        <v>57</v>
      </c>
      <c r="D101" s="18">
        <f t="shared" si="4"/>
        <v>4</v>
      </c>
    </row>
    <row r="102" spans="1:4" x14ac:dyDescent="0.25">
      <c r="A102" s="19"/>
      <c r="B102" s="19" t="s">
        <v>60</v>
      </c>
      <c r="C102" s="20" t="s">
        <v>58</v>
      </c>
      <c r="D102" s="21">
        <f t="shared" si="4"/>
        <v>4</v>
      </c>
    </row>
    <row r="103" spans="1:4" x14ac:dyDescent="0.25">
      <c r="A103" s="16"/>
      <c r="B103" s="16" t="s">
        <v>59</v>
      </c>
      <c r="C103" s="17" t="s">
        <v>113</v>
      </c>
      <c r="D103" s="18">
        <f t="shared" si="4"/>
        <v>4</v>
      </c>
    </row>
    <row r="104" spans="1:4" x14ac:dyDescent="0.25">
      <c r="A104" s="19"/>
      <c r="B104" s="19" t="s">
        <v>59</v>
      </c>
      <c r="C104" s="20" t="s">
        <v>114</v>
      </c>
      <c r="D104" s="21">
        <f t="shared" si="4"/>
        <v>4</v>
      </c>
    </row>
    <row r="105" spans="1:4" x14ac:dyDescent="0.25">
      <c r="A105" s="16"/>
      <c r="B105" s="16" t="s">
        <v>59</v>
      </c>
      <c r="C105" s="17" t="s">
        <v>115</v>
      </c>
      <c r="D105" s="18">
        <f t="shared" si="4"/>
        <v>4</v>
      </c>
    </row>
    <row r="106" spans="1:4" x14ac:dyDescent="0.25">
      <c r="A106" s="19"/>
      <c r="B106" s="19" t="s">
        <v>59</v>
      </c>
      <c r="C106" s="20" t="s">
        <v>116</v>
      </c>
      <c r="D106" s="21">
        <f t="shared" si="4"/>
        <v>4</v>
      </c>
    </row>
    <row r="107" spans="1:4" x14ac:dyDescent="0.25">
      <c r="A107" s="16"/>
      <c r="B107" s="16"/>
      <c r="C107" s="22" t="s">
        <v>182</v>
      </c>
      <c r="D107" s="18">
        <f>SUM(D90:D106)</f>
        <v>68</v>
      </c>
    </row>
    <row r="108" spans="1:4" x14ac:dyDescent="0.25">
      <c r="A108" s="19" t="s">
        <v>49</v>
      </c>
      <c r="B108" s="19"/>
      <c r="C108" s="20"/>
      <c r="D108" s="21"/>
    </row>
    <row r="109" spans="1:4" x14ac:dyDescent="0.25">
      <c r="A109" s="16"/>
      <c r="B109" s="16" t="s">
        <v>50</v>
      </c>
      <c r="C109" s="17" t="s">
        <v>117</v>
      </c>
      <c r="D109" s="18">
        <f t="shared" si="4"/>
        <v>4</v>
      </c>
    </row>
    <row r="110" spans="1:4" x14ac:dyDescent="0.25">
      <c r="A110" s="19"/>
      <c r="B110" s="19" t="s">
        <v>60</v>
      </c>
      <c r="C110" s="20" t="s">
        <v>61</v>
      </c>
      <c r="D110" s="21">
        <f t="shared" si="4"/>
        <v>4</v>
      </c>
    </row>
    <row r="111" spans="1:4" x14ac:dyDescent="0.25">
      <c r="A111" s="16"/>
      <c r="B111" s="16" t="s">
        <v>60</v>
      </c>
      <c r="C111" s="17" t="s">
        <v>53</v>
      </c>
      <c r="D111" s="18">
        <f t="shared" si="4"/>
        <v>4</v>
      </c>
    </row>
    <row r="112" spans="1:4" x14ac:dyDescent="0.25">
      <c r="A112" s="19"/>
      <c r="B112" s="19" t="s">
        <v>60</v>
      </c>
      <c r="C112" s="20" t="s">
        <v>55</v>
      </c>
      <c r="D112" s="21">
        <f t="shared" si="4"/>
        <v>4</v>
      </c>
    </row>
    <row r="113" spans="1:4" x14ac:dyDescent="0.25">
      <c r="A113" s="16"/>
      <c r="B113" s="16" t="s">
        <v>60</v>
      </c>
      <c r="C113" s="17" t="s">
        <v>119</v>
      </c>
      <c r="D113" s="18">
        <f t="shared" si="4"/>
        <v>4</v>
      </c>
    </row>
    <row r="114" spans="1:4" x14ac:dyDescent="0.25">
      <c r="A114" s="19"/>
      <c r="B114" s="19" t="s">
        <v>60</v>
      </c>
      <c r="C114" s="20" t="s">
        <v>63</v>
      </c>
      <c r="D114" s="21">
        <f t="shared" si="4"/>
        <v>4</v>
      </c>
    </row>
    <row r="115" spans="1:4" x14ac:dyDescent="0.25">
      <c r="A115" s="16"/>
      <c r="B115" s="16" t="s">
        <v>60</v>
      </c>
      <c r="C115" s="17" t="s">
        <v>57</v>
      </c>
      <c r="D115" s="18">
        <f t="shared" si="4"/>
        <v>4</v>
      </c>
    </row>
    <row r="116" spans="1:4" x14ac:dyDescent="0.25">
      <c r="A116" s="19"/>
      <c r="B116" s="19" t="s">
        <v>60</v>
      </c>
      <c r="C116" s="20" t="s">
        <v>58</v>
      </c>
      <c r="D116" s="21">
        <f t="shared" si="4"/>
        <v>4</v>
      </c>
    </row>
    <row r="117" spans="1:4" x14ac:dyDescent="0.25">
      <c r="A117" s="16"/>
      <c r="B117" s="16" t="s">
        <v>60</v>
      </c>
      <c r="C117" s="17" t="s">
        <v>120</v>
      </c>
      <c r="D117" s="18">
        <f t="shared" si="4"/>
        <v>4</v>
      </c>
    </row>
    <row r="118" spans="1:4" x14ac:dyDescent="0.25">
      <c r="A118" s="19"/>
      <c r="B118" s="19" t="s">
        <v>50</v>
      </c>
      <c r="C118" s="20" t="s">
        <v>62</v>
      </c>
      <c r="D118" s="21">
        <f t="shared" si="4"/>
        <v>4</v>
      </c>
    </row>
    <row r="119" spans="1:4" x14ac:dyDescent="0.25">
      <c r="A119" s="16"/>
      <c r="B119" s="16" t="s">
        <v>50</v>
      </c>
      <c r="C119" s="17" t="s">
        <v>54</v>
      </c>
      <c r="D119" s="18">
        <f t="shared" si="4"/>
        <v>4</v>
      </c>
    </row>
    <row r="120" spans="1:4" x14ac:dyDescent="0.25">
      <c r="A120" s="19"/>
      <c r="B120" s="19" t="s">
        <v>50</v>
      </c>
      <c r="C120" s="20" t="s">
        <v>56</v>
      </c>
      <c r="D120" s="21">
        <f t="shared" si="4"/>
        <v>4</v>
      </c>
    </row>
    <row r="121" spans="1:4" x14ac:dyDescent="0.25">
      <c r="A121" s="16"/>
      <c r="B121" s="16" t="s">
        <v>50</v>
      </c>
      <c r="C121" s="17" t="s">
        <v>121</v>
      </c>
      <c r="D121" s="18">
        <f t="shared" si="4"/>
        <v>4</v>
      </c>
    </row>
    <row r="122" spans="1:4" x14ac:dyDescent="0.25">
      <c r="A122" s="19"/>
      <c r="B122" s="19" t="s">
        <v>50</v>
      </c>
      <c r="C122" s="20" t="s">
        <v>51</v>
      </c>
      <c r="D122" s="21">
        <f t="shared" si="4"/>
        <v>4</v>
      </c>
    </row>
    <row r="123" spans="1:4" x14ac:dyDescent="0.25">
      <c r="A123" s="16"/>
      <c r="B123" s="16"/>
      <c r="C123" s="22" t="s">
        <v>182</v>
      </c>
      <c r="D123" s="18">
        <f>SUM(D109:D122)</f>
        <v>56</v>
      </c>
    </row>
    <row r="124" spans="1:4" x14ac:dyDescent="0.25">
      <c r="A124" s="19" t="s">
        <v>47</v>
      </c>
      <c r="B124" s="19"/>
      <c r="C124" s="20"/>
      <c r="D124" s="21"/>
    </row>
    <row r="125" spans="1:4" x14ac:dyDescent="0.25">
      <c r="A125" s="16"/>
      <c r="B125" s="16" t="s">
        <v>50</v>
      </c>
      <c r="C125" s="17" t="s">
        <v>51</v>
      </c>
      <c r="D125" s="18">
        <f t="shared" si="4"/>
        <v>4</v>
      </c>
    </row>
    <row r="126" spans="1:4" x14ac:dyDescent="0.25">
      <c r="A126" s="19"/>
      <c r="B126" s="19" t="s">
        <v>50</v>
      </c>
      <c r="C126" s="20" t="s">
        <v>122</v>
      </c>
      <c r="D126" s="21">
        <f t="shared" si="4"/>
        <v>4</v>
      </c>
    </row>
    <row r="127" spans="1:4" x14ac:dyDescent="0.25">
      <c r="A127" s="16"/>
      <c r="B127" s="16" t="s">
        <v>118</v>
      </c>
      <c r="C127" s="17" t="s">
        <v>123</v>
      </c>
      <c r="D127" s="18"/>
    </row>
    <row r="128" spans="1:4" x14ac:dyDescent="0.25">
      <c r="A128" s="19"/>
      <c r="B128" s="19" t="s">
        <v>50</v>
      </c>
      <c r="C128" s="20" t="s">
        <v>124</v>
      </c>
      <c r="D128" s="21">
        <f t="shared" si="4"/>
        <v>4</v>
      </c>
    </row>
    <row r="129" spans="1:4" x14ac:dyDescent="0.25">
      <c r="A129" s="16"/>
      <c r="B129" s="16" t="s">
        <v>59</v>
      </c>
      <c r="C129" s="17" t="s">
        <v>125</v>
      </c>
      <c r="D129" s="18">
        <f t="shared" ref="D129:D149" si="5">_xlfn.IFS(B129="uint32_t",4,B129="int",4,B129="float",4,B129="bool",2,B129="int32_t",4)</f>
        <v>4</v>
      </c>
    </row>
    <row r="130" spans="1:4" x14ac:dyDescent="0.25">
      <c r="A130" s="19"/>
      <c r="B130" s="19" t="s">
        <v>60</v>
      </c>
      <c r="C130" s="20" t="s">
        <v>126</v>
      </c>
      <c r="D130" s="21">
        <f t="shared" si="5"/>
        <v>4</v>
      </c>
    </row>
    <row r="131" spans="1:4" x14ac:dyDescent="0.25">
      <c r="A131" s="16"/>
      <c r="B131" s="16" t="s">
        <v>60</v>
      </c>
      <c r="C131" s="17" t="s">
        <v>127</v>
      </c>
      <c r="D131" s="18">
        <f t="shared" si="5"/>
        <v>4</v>
      </c>
    </row>
    <row r="132" spans="1:4" x14ac:dyDescent="0.25">
      <c r="A132" s="19"/>
      <c r="B132" s="19" t="s">
        <v>59</v>
      </c>
      <c r="C132" s="20" t="s">
        <v>128</v>
      </c>
      <c r="D132" s="21">
        <f t="shared" si="5"/>
        <v>4</v>
      </c>
    </row>
    <row r="133" spans="1:4" x14ac:dyDescent="0.25">
      <c r="A133" s="16"/>
      <c r="B133" s="16" t="s">
        <v>118</v>
      </c>
      <c r="C133" s="17" t="s">
        <v>129</v>
      </c>
      <c r="D133" s="18"/>
    </row>
    <row r="134" spans="1:4" x14ac:dyDescent="0.25">
      <c r="A134" s="19"/>
      <c r="B134" s="19" t="s">
        <v>60</v>
      </c>
      <c r="C134" s="20" t="s">
        <v>130</v>
      </c>
      <c r="D134" s="21">
        <f t="shared" si="5"/>
        <v>4</v>
      </c>
    </row>
    <row r="135" spans="1:4" x14ac:dyDescent="0.25">
      <c r="A135" s="16"/>
      <c r="B135" s="16" t="s">
        <v>59</v>
      </c>
      <c r="C135" s="17" t="s">
        <v>131</v>
      </c>
      <c r="D135" s="18">
        <f t="shared" si="5"/>
        <v>4</v>
      </c>
    </row>
    <row r="136" spans="1:4" x14ac:dyDescent="0.25">
      <c r="A136" s="19"/>
      <c r="B136" s="19" t="s">
        <v>60</v>
      </c>
      <c r="C136" s="20" t="s">
        <v>132</v>
      </c>
      <c r="D136" s="21">
        <f t="shared" si="5"/>
        <v>4</v>
      </c>
    </row>
    <row r="137" spans="1:4" x14ac:dyDescent="0.25">
      <c r="A137" s="16"/>
      <c r="B137" s="16" t="s">
        <v>60</v>
      </c>
      <c r="C137" s="17" t="s">
        <v>133</v>
      </c>
      <c r="D137" s="18">
        <f t="shared" si="5"/>
        <v>4</v>
      </c>
    </row>
    <row r="138" spans="1:4" x14ac:dyDescent="0.25">
      <c r="A138" s="19"/>
      <c r="B138" s="19" t="s">
        <v>59</v>
      </c>
      <c r="C138" s="20" t="s">
        <v>134</v>
      </c>
      <c r="D138" s="21">
        <f t="shared" si="5"/>
        <v>4</v>
      </c>
    </row>
    <row r="139" spans="1:4" x14ac:dyDescent="0.25">
      <c r="A139" s="16"/>
      <c r="B139" s="16"/>
      <c r="C139" s="22" t="s">
        <v>182</v>
      </c>
      <c r="D139" s="18">
        <f>SUM(D125:D138)</f>
        <v>48</v>
      </c>
    </row>
    <row r="140" spans="1:4" x14ac:dyDescent="0.25">
      <c r="A140" s="19" t="s">
        <v>48</v>
      </c>
      <c r="B140" s="19"/>
      <c r="C140" s="20"/>
      <c r="D140" s="21"/>
    </row>
    <row r="141" spans="1:4" x14ac:dyDescent="0.25">
      <c r="A141" s="16"/>
      <c r="B141" s="16" t="s">
        <v>60</v>
      </c>
      <c r="C141" s="17" t="s">
        <v>135</v>
      </c>
      <c r="D141" s="18">
        <f t="shared" si="5"/>
        <v>4</v>
      </c>
    </row>
    <row r="142" spans="1:4" x14ac:dyDescent="0.25">
      <c r="A142" s="19"/>
      <c r="B142" s="19" t="s">
        <v>60</v>
      </c>
      <c r="C142" s="20" t="s">
        <v>95</v>
      </c>
      <c r="D142" s="21">
        <f t="shared" si="5"/>
        <v>4</v>
      </c>
    </row>
    <row r="143" spans="1:4" x14ac:dyDescent="0.25">
      <c r="A143" s="16"/>
      <c r="B143" s="16" t="s">
        <v>60</v>
      </c>
      <c r="C143" s="17" t="s">
        <v>136</v>
      </c>
      <c r="D143" s="18">
        <f t="shared" si="5"/>
        <v>4</v>
      </c>
    </row>
    <row r="144" spans="1:4" x14ac:dyDescent="0.25">
      <c r="A144" s="19"/>
      <c r="B144" s="19" t="s">
        <v>50</v>
      </c>
      <c r="C144" s="20" t="s">
        <v>96</v>
      </c>
      <c r="D144" s="21">
        <f t="shared" si="5"/>
        <v>4</v>
      </c>
    </row>
    <row r="145" spans="1:4" x14ac:dyDescent="0.25">
      <c r="A145" s="16"/>
      <c r="B145" s="16"/>
      <c r="C145" s="22" t="s">
        <v>182</v>
      </c>
      <c r="D145" s="18">
        <f>SUM(D141:D144)</f>
        <v>16</v>
      </c>
    </row>
    <row r="146" spans="1:4" x14ac:dyDescent="0.25">
      <c r="A146" s="19" t="s">
        <v>144</v>
      </c>
      <c r="B146" s="19"/>
      <c r="C146" s="20"/>
      <c r="D146" s="21"/>
    </row>
    <row r="147" spans="1:4" x14ac:dyDescent="0.25">
      <c r="A147" s="16"/>
      <c r="B147" s="16" t="s">
        <v>50</v>
      </c>
      <c r="C147" s="17" t="s">
        <v>137</v>
      </c>
      <c r="D147" s="18">
        <f t="shared" si="5"/>
        <v>4</v>
      </c>
    </row>
    <row r="148" spans="1:4" x14ac:dyDescent="0.25">
      <c r="A148" s="19"/>
      <c r="B148" s="19" t="s">
        <v>50</v>
      </c>
      <c r="C148" s="20" t="s">
        <v>139</v>
      </c>
      <c r="D148" s="21">
        <f t="shared" si="5"/>
        <v>4</v>
      </c>
    </row>
    <row r="149" spans="1:4" x14ac:dyDescent="0.25">
      <c r="A149" s="16"/>
      <c r="B149" s="16" t="s">
        <v>60</v>
      </c>
      <c r="C149" s="17" t="s">
        <v>140</v>
      </c>
      <c r="D149" s="18">
        <f t="shared" si="5"/>
        <v>4</v>
      </c>
    </row>
    <row r="150" spans="1:4" x14ac:dyDescent="0.25">
      <c r="A150" s="11"/>
      <c r="B150" s="11"/>
      <c r="C150" s="24" t="s">
        <v>182</v>
      </c>
      <c r="D150" s="12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5" x14ac:dyDescent="0.25"/>
  <sheetData>
    <row r="1" spans="1:3" x14ac:dyDescent="0.25">
      <c r="A1" t="s">
        <v>197</v>
      </c>
    </row>
    <row r="2" spans="1:3" x14ac:dyDescent="0.25">
      <c r="B2" s="31" t="s">
        <v>229</v>
      </c>
    </row>
    <row r="3" spans="1:3" x14ac:dyDescent="0.25">
      <c r="B3" s="31" t="s">
        <v>228</v>
      </c>
    </row>
    <row r="4" spans="1:3" x14ac:dyDescent="0.25">
      <c r="B4" s="31" t="s">
        <v>221</v>
      </c>
      <c r="C4" t="s">
        <v>234</v>
      </c>
    </row>
    <row r="5" spans="1:3" x14ac:dyDescent="0.25">
      <c r="B5" s="32" t="s">
        <v>220</v>
      </c>
    </row>
    <row r="6" spans="1:3" x14ac:dyDescent="0.25">
      <c r="B6" s="32" t="s">
        <v>595</v>
      </c>
      <c r="C6" t="s">
        <v>235</v>
      </c>
    </row>
    <row r="7" spans="1:3" x14ac:dyDescent="0.25">
      <c r="B7" s="31" t="s">
        <v>198</v>
      </c>
    </row>
    <row r="8" spans="1:3" x14ac:dyDescent="0.25">
      <c r="B8" s="31" t="s">
        <v>213</v>
      </c>
    </row>
    <row r="9" spans="1:3" x14ac:dyDescent="0.25">
      <c r="B9" s="31" t="s">
        <v>219</v>
      </c>
    </row>
    <row r="10" spans="1:3" x14ac:dyDescent="0.25">
      <c r="B10" s="31" t="s">
        <v>206</v>
      </c>
    </row>
    <row r="11" spans="1:3" x14ac:dyDescent="0.25">
      <c r="B11" s="31" t="s">
        <v>204</v>
      </c>
    </row>
    <row r="12" spans="1:3" x14ac:dyDescent="0.25">
      <c r="B12" s="31" t="s">
        <v>205</v>
      </c>
    </row>
    <row r="13" spans="1:3" x14ac:dyDescent="0.25">
      <c r="B13" s="31" t="s">
        <v>207</v>
      </c>
    </row>
    <row r="14" spans="1:3" x14ac:dyDescent="0.25">
      <c r="B14" s="31" t="s">
        <v>226</v>
      </c>
    </row>
    <row r="15" spans="1:3" x14ac:dyDescent="0.25">
      <c r="B15" s="31" t="s">
        <v>223</v>
      </c>
    </row>
    <row r="16" spans="1:3" x14ac:dyDescent="0.25">
      <c r="B16" s="32" t="s">
        <v>218</v>
      </c>
    </row>
    <row r="17" spans="2:10" x14ac:dyDescent="0.25">
      <c r="B17" t="s">
        <v>230</v>
      </c>
      <c r="C17" t="s">
        <v>227</v>
      </c>
      <c r="D17" t="s">
        <v>222</v>
      </c>
      <c r="E17" t="s">
        <v>41</v>
      </c>
      <c r="F17" t="s">
        <v>595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25">
      <c r="B18" s="32" t="s">
        <v>596</v>
      </c>
    </row>
    <row r="19" spans="2:10" x14ac:dyDescent="0.25">
      <c r="B19" s="32"/>
    </row>
    <row r="20" spans="2:10" x14ac:dyDescent="0.25">
      <c r="B20" s="31" t="s">
        <v>216</v>
      </c>
    </row>
    <row r="21" spans="2:10" x14ac:dyDescent="0.25">
      <c r="B21" s="31" t="s">
        <v>217</v>
      </c>
    </row>
    <row r="22" spans="2:10" x14ac:dyDescent="0.25">
      <c r="B22" s="31" t="s">
        <v>214</v>
      </c>
    </row>
    <row r="23" spans="2:10" x14ac:dyDescent="0.25">
      <c r="B23" s="31" t="s">
        <v>215</v>
      </c>
    </row>
    <row r="24" spans="2:10" x14ac:dyDescent="0.25">
      <c r="B24" s="31" t="s">
        <v>224</v>
      </c>
    </row>
    <row r="25" spans="2:10" x14ac:dyDescent="0.25">
      <c r="B25" s="31" t="s">
        <v>225</v>
      </c>
    </row>
    <row r="26" spans="2:10" x14ac:dyDescent="0.25">
      <c r="B26" s="33" t="s">
        <v>201</v>
      </c>
    </row>
    <row r="27" spans="2:10" x14ac:dyDescent="0.25">
      <c r="B27" s="33" t="s">
        <v>200</v>
      </c>
    </row>
    <row r="28" spans="2:10" x14ac:dyDescent="0.25">
      <c r="B28" s="33" t="s">
        <v>202</v>
      </c>
    </row>
    <row r="29" spans="2:10" x14ac:dyDescent="0.25">
      <c r="B29" s="33" t="s">
        <v>203</v>
      </c>
    </row>
    <row r="30" spans="2:10" x14ac:dyDescent="0.25">
      <c r="B30" s="33"/>
    </row>
    <row r="31" spans="2:10" x14ac:dyDescent="0.25">
      <c r="B31" s="31" t="s">
        <v>227</v>
      </c>
    </row>
    <row r="32" spans="2:10" x14ac:dyDescent="0.25">
      <c r="B32" s="31" t="s">
        <v>597</v>
      </c>
      <c r="C32" t="s">
        <v>41</v>
      </c>
      <c r="D32" t="s">
        <v>222</v>
      </c>
      <c r="E32" t="s">
        <v>221</v>
      </c>
      <c r="F32" t="s">
        <v>595</v>
      </c>
      <c r="G32" t="s">
        <v>227</v>
      </c>
    </row>
    <row r="33" spans="2:2" x14ac:dyDescent="0.25">
      <c r="B33" s="31"/>
    </row>
    <row r="34" spans="2:2" x14ac:dyDescent="0.25">
      <c r="B34" s="31" t="s">
        <v>212</v>
      </c>
    </row>
    <row r="35" spans="2:2" x14ac:dyDescent="0.25">
      <c r="B35" s="31" t="s">
        <v>209</v>
      </c>
    </row>
    <row r="36" spans="2:2" x14ac:dyDescent="0.25">
      <c r="B36" s="31" t="s">
        <v>211</v>
      </c>
    </row>
    <row r="37" spans="2:2" x14ac:dyDescent="0.25">
      <c r="B37" s="31" t="s">
        <v>208</v>
      </c>
    </row>
    <row r="38" spans="2:2" x14ac:dyDescent="0.25">
      <c r="B38" s="31" t="s">
        <v>210</v>
      </c>
    </row>
    <row r="39" spans="2:2" x14ac:dyDescent="0.25">
      <c r="B39" s="31" t="s">
        <v>199</v>
      </c>
    </row>
    <row r="40" spans="2:2" x14ac:dyDescent="0.25">
      <c r="B40" s="31" t="s">
        <v>199</v>
      </c>
    </row>
    <row r="41" spans="2:2" x14ac:dyDescent="0.25">
      <c r="B41" s="31" t="s">
        <v>222</v>
      </c>
    </row>
    <row r="42" spans="2:2" x14ac:dyDescent="0.25">
      <c r="B42" s="31"/>
    </row>
    <row r="43" spans="2:2" x14ac:dyDescent="0.25">
      <c r="B43" s="31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5" x14ac:dyDescent="0.25"/>
  <cols>
    <col min="6" max="6" width="11.85546875" bestFit="1" customWidth="1"/>
    <col min="12" max="12" width="30.85546875" bestFit="1" customWidth="1"/>
    <col min="17" max="17" width="20.570312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541</v>
      </c>
      <c r="O2" t="s">
        <v>533</v>
      </c>
      <c r="P2" t="s">
        <v>534</v>
      </c>
      <c r="Q2" t="s">
        <v>535</v>
      </c>
      <c r="R2" t="s">
        <v>41</v>
      </c>
      <c r="S2" t="s">
        <v>536</v>
      </c>
      <c r="T2" t="s">
        <v>222</v>
      </c>
      <c r="U2" t="s">
        <v>537</v>
      </c>
      <c r="V2" t="s">
        <v>234</v>
      </c>
      <c r="W2" t="s">
        <v>538</v>
      </c>
      <c r="X2" t="s">
        <v>235</v>
      </c>
      <c r="Y2" t="s">
        <v>539</v>
      </c>
      <c r="Z2" t="s">
        <v>533</v>
      </c>
      <c r="AA2" t="s">
        <v>542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25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25">
      <c r="F8">
        <v>325</v>
      </c>
      <c r="N8" t="s">
        <v>540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438</v>
      </c>
      <c r="U8" t="s">
        <v>194</v>
      </c>
      <c r="V8" t="s">
        <v>532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6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28" t="str">
        <f t="shared" ref="B12:B75" si="0">DEC2HEX(C12)</f>
        <v>24</v>
      </c>
      <c r="C12" s="28">
        <v>36</v>
      </c>
      <c r="D12" s="37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28" t="str">
        <f t="shared" si="0"/>
        <v>25</v>
      </c>
      <c r="C13" s="28">
        <v>37</v>
      </c>
      <c r="D13" s="37" t="str">
        <f t="shared" si="1"/>
        <v>%</v>
      </c>
      <c r="L13" t="s">
        <v>240</v>
      </c>
      <c r="M13" t="s">
        <v>249</v>
      </c>
    </row>
    <row r="14" spans="2:27" s="30" customFormat="1" x14ac:dyDescent="0.25">
      <c r="B14" s="76"/>
      <c r="C14" s="76"/>
      <c r="D14" s="77"/>
      <c r="N14" s="30" t="s">
        <v>541</v>
      </c>
      <c r="O14" s="30" t="s">
        <v>533</v>
      </c>
      <c r="P14" s="30" t="s">
        <v>535</v>
      </c>
      <c r="Q14" s="30" t="s">
        <v>534</v>
      </c>
      <c r="R14" s="30" t="s">
        <v>41</v>
      </c>
      <c r="S14" s="30" t="s">
        <v>536</v>
      </c>
      <c r="T14" s="30" t="s">
        <v>222</v>
      </c>
      <c r="U14" s="30" t="s">
        <v>537</v>
      </c>
      <c r="V14" s="30" t="s">
        <v>234</v>
      </c>
      <c r="W14" s="30" t="s">
        <v>538</v>
      </c>
      <c r="X14" s="30" t="s">
        <v>235</v>
      </c>
      <c r="Y14" s="30" t="s">
        <v>539</v>
      </c>
      <c r="Z14" s="30" t="s">
        <v>533</v>
      </c>
      <c r="AA14" s="30" t="s">
        <v>542</v>
      </c>
    </row>
    <row r="15" spans="2:27" x14ac:dyDescent="0.25">
      <c r="B15" s="28" t="str">
        <f t="shared" si="0"/>
        <v>27</v>
      </c>
      <c r="C15" s="28">
        <v>39</v>
      </c>
      <c r="D15" s="37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28" t="str">
        <f t="shared" si="0"/>
        <v>28</v>
      </c>
      <c r="C16" s="28">
        <v>40</v>
      </c>
      <c r="D16" s="37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28" t="str">
        <f t="shared" si="0"/>
        <v>29</v>
      </c>
      <c r="C17" s="28">
        <v>41</v>
      </c>
      <c r="D17" s="37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28" t="str">
        <f t="shared" si="0"/>
        <v>2A</v>
      </c>
      <c r="C18" s="28">
        <v>42</v>
      </c>
      <c r="D18" s="37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28" t="str">
        <f t="shared" si="0"/>
        <v>2B</v>
      </c>
      <c r="C19" s="28">
        <v>43</v>
      </c>
      <c r="D19" s="37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28" t="str">
        <f t="shared" si="0"/>
        <v>2C</v>
      </c>
      <c r="C20" s="28">
        <v>44</v>
      </c>
      <c r="D20" s="37" t="str">
        <f t="shared" si="1"/>
        <v>,</v>
      </c>
      <c r="F20" t="s">
        <v>9</v>
      </c>
      <c r="L20" t="s">
        <v>246</v>
      </c>
      <c r="M20" t="s">
        <v>255</v>
      </c>
      <c r="N20" t="s">
        <v>543</v>
      </c>
      <c r="O20" t="s">
        <v>544</v>
      </c>
      <c r="P20" t="s">
        <v>545</v>
      </c>
      <c r="Q20" t="s">
        <v>552</v>
      </c>
      <c r="S20" t="s">
        <v>553</v>
      </c>
      <c r="T20" t="s">
        <v>554</v>
      </c>
      <c r="U20" t="s">
        <v>555</v>
      </c>
    </row>
    <row r="21" spans="2:27" x14ac:dyDescent="0.25">
      <c r="B21" s="28" t="str">
        <f t="shared" si="0"/>
        <v>2D</v>
      </c>
      <c r="C21" s="28">
        <v>45</v>
      </c>
      <c r="D21" s="37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28" t="str">
        <f t="shared" si="0"/>
        <v>2E</v>
      </c>
      <c r="C22" s="28">
        <v>46</v>
      </c>
      <c r="D22" s="37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28" t="str">
        <f t="shared" si="0"/>
        <v>2F</v>
      </c>
      <c r="C23" s="28">
        <v>47</v>
      </c>
      <c r="D23" s="37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28" t="str">
        <f t="shared" si="0"/>
        <v>30</v>
      </c>
      <c r="C24" s="28">
        <v>48</v>
      </c>
      <c r="D24" s="37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28" t="str">
        <f t="shared" si="0"/>
        <v>31</v>
      </c>
      <c r="C25" s="28">
        <v>49</v>
      </c>
      <c r="D25" s="37" t="str">
        <f t="shared" si="1"/>
        <v>1</v>
      </c>
      <c r="F25">
        <v>140</v>
      </c>
      <c r="G25">
        <v>70</v>
      </c>
      <c r="P25" t="s">
        <v>546</v>
      </c>
      <c r="T25" t="s">
        <v>546</v>
      </c>
    </row>
    <row r="26" spans="2:27" x14ac:dyDescent="0.25">
      <c r="B26" s="28" t="str">
        <f t="shared" si="0"/>
        <v>32</v>
      </c>
      <c r="C26" s="28">
        <v>50</v>
      </c>
      <c r="D26" s="37" t="str">
        <f t="shared" si="1"/>
        <v>2</v>
      </c>
      <c r="F26">
        <v>18</v>
      </c>
      <c r="G26">
        <v>18</v>
      </c>
      <c r="L26" t="s">
        <v>259</v>
      </c>
      <c r="P26" t="s">
        <v>547</v>
      </c>
      <c r="T26" t="s">
        <v>547</v>
      </c>
    </row>
    <row r="27" spans="2:27" x14ac:dyDescent="0.25">
      <c r="B27" s="28" t="str">
        <f t="shared" si="0"/>
        <v>33</v>
      </c>
      <c r="C27" s="28">
        <v>51</v>
      </c>
      <c r="D27" s="37" t="str">
        <f t="shared" si="1"/>
        <v>3</v>
      </c>
      <c r="O27" t="s">
        <v>548</v>
      </c>
      <c r="P27">
        <v>95</v>
      </c>
      <c r="S27" t="s">
        <v>548</v>
      </c>
      <c r="T27">
        <v>95</v>
      </c>
    </row>
    <row r="28" spans="2:27" x14ac:dyDescent="0.25">
      <c r="B28" s="28" t="str">
        <f t="shared" si="0"/>
        <v>34</v>
      </c>
      <c r="C28" s="28">
        <v>52</v>
      </c>
      <c r="D28" s="37" t="str">
        <f t="shared" si="1"/>
        <v>4</v>
      </c>
      <c r="O28" t="s">
        <v>549</v>
      </c>
      <c r="P28">
        <v>15</v>
      </c>
      <c r="S28" t="s">
        <v>549</v>
      </c>
      <c r="T28">
        <v>15</v>
      </c>
    </row>
    <row r="29" spans="2:27" x14ac:dyDescent="0.25">
      <c r="B29" s="28" t="str">
        <f t="shared" si="0"/>
        <v>35</v>
      </c>
      <c r="C29" s="28">
        <v>53</v>
      </c>
      <c r="D29" s="37" t="str">
        <f t="shared" si="1"/>
        <v>5</v>
      </c>
      <c r="O29" t="s">
        <v>550</v>
      </c>
      <c r="P29">
        <v>0</v>
      </c>
      <c r="S29" t="s">
        <v>550</v>
      </c>
      <c r="T29">
        <v>0</v>
      </c>
    </row>
    <row r="30" spans="2:27" x14ac:dyDescent="0.25">
      <c r="B30" s="28" t="str">
        <f t="shared" si="0"/>
        <v>36</v>
      </c>
      <c r="C30" s="28">
        <v>54</v>
      </c>
      <c r="D30" s="37" t="str">
        <f t="shared" si="1"/>
        <v>6</v>
      </c>
      <c r="F30" t="s">
        <v>260</v>
      </c>
      <c r="G30" t="s">
        <v>267</v>
      </c>
      <c r="O30" t="s">
        <v>551</v>
      </c>
      <c r="P30">
        <v>100</v>
      </c>
      <c r="S30" t="s">
        <v>551</v>
      </c>
      <c r="T30">
        <v>100</v>
      </c>
    </row>
    <row r="31" spans="2:27" x14ac:dyDescent="0.25">
      <c r="B31" s="28" t="str">
        <f t="shared" si="0"/>
        <v>37</v>
      </c>
      <c r="C31" s="28">
        <v>55</v>
      </c>
      <c r="D31" s="37" t="str">
        <f t="shared" si="1"/>
        <v>7</v>
      </c>
      <c r="F31" t="s">
        <v>261</v>
      </c>
      <c r="G31" t="s">
        <v>268</v>
      </c>
    </row>
    <row r="32" spans="2:27" x14ac:dyDescent="0.25">
      <c r="B32" s="28" t="str">
        <f t="shared" si="0"/>
        <v>38</v>
      </c>
      <c r="C32" s="28">
        <v>56</v>
      </c>
      <c r="D32" s="37" t="str">
        <f t="shared" si="1"/>
        <v>8</v>
      </c>
      <c r="F32" t="s">
        <v>262</v>
      </c>
      <c r="G32" t="s">
        <v>259</v>
      </c>
      <c r="I32">
        <v>82</v>
      </c>
      <c r="O32" t="s">
        <v>556</v>
      </c>
      <c r="P32" t="s">
        <v>350</v>
      </c>
      <c r="Q32" t="s">
        <v>460</v>
      </c>
      <c r="R32" t="s">
        <v>557</v>
      </c>
    </row>
    <row r="33" spans="2:31" x14ac:dyDescent="0.25">
      <c r="B33" s="28" t="str">
        <f t="shared" si="0"/>
        <v>39</v>
      </c>
      <c r="C33" s="28">
        <v>57</v>
      </c>
      <c r="D33" s="37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28" t="str">
        <f t="shared" si="0"/>
        <v>3A</v>
      </c>
      <c r="C34" s="28">
        <v>58</v>
      </c>
      <c r="D34" s="37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28" t="str">
        <f t="shared" si="0"/>
        <v>3B</v>
      </c>
      <c r="C35" s="28">
        <v>59</v>
      </c>
      <c r="D35" s="37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28" t="str">
        <f t="shared" si="0"/>
        <v>3C</v>
      </c>
      <c r="C36" s="28">
        <v>60</v>
      </c>
      <c r="D36" s="37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29" customFormat="1" x14ac:dyDescent="0.25">
      <c r="B37" s="72" t="str">
        <f t="shared" si="0"/>
        <v>3D</v>
      </c>
      <c r="C37" s="72">
        <v>61</v>
      </c>
      <c r="D37" s="73" t="str">
        <f t="shared" si="1"/>
        <v>=</v>
      </c>
      <c r="F37" s="29" t="s">
        <v>266</v>
      </c>
      <c r="G37" s="29" t="s">
        <v>273</v>
      </c>
    </row>
    <row r="38" spans="2:31" x14ac:dyDescent="0.25">
      <c r="B38" s="28" t="str">
        <f t="shared" si="0"/>
        <v>3E</v>
      </c>
      <c r="C38" s="28">
        <v>62</v>
      </c>
      <c r="D38" s="37" t="str">
        <f t="shared" si="1"/>
        <v>&gt;</v>
      </c>
    </row>
    <row r="39" spans="2:31" x14ac:dyDescent="0.25">
      <c r="B39" s="28" t="str">
        <f t="shared" si="0"/>
        <v>3F</v>
      </c>
      <c r="C39" s="28">
        <v>63</v>
      </c>
      <c r="D39" s="37" t="str">
        <f t="shared" si="1"/>
        <v>?</v>
      </c>
      <c r="O39" t="s">
        <v>8</v>
      </c>
      <c r="P39" t="s">
        <v>558</v>
      </c>
      <c r="Q39" t="s">
        <v>531</v>
      </c>
      <c r="R39" t="s">
        <v>234</v>
      </c>
      <c r="S39" t="s">
        <v>235</v>
      </c>
      <c r="T39" t="s">
        <v>183</v>
      </c>
      <c r="U39" t="s">
        <v>184</v>
      </c>
      <c r="X39" t="s">
        <v>559</v>
      </c>
      <c r="Y39" t="s">
        <v>560</v>
      </c>
      <c r="Z39" t="s">
        <v>185</v>
      </c>
      <c r="AA39" t="s">
        <v>532</v>
      </c>
      <c r="AB39" t="s">
        <v>433</v>
      </c>
      <c r="AC39" t="s">
        <v>561</v>
      </c>
      <c r="AD39" t="s">
        <v>562</v>
      </c>
    </row>
    <row r="40" spans="2:31" x14ac:dyDescent="0.25">
      <c r="B40" s="28" t="str">
        <f t="shared" si="0"/>
        <v>40</v>
      </c>
      <c r="C40" s="28">
        <v>64</v>
      </c>
      <c r="D40" s="37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28" t="str">
        <f t="shared" si="0"/>
        <v>41</v>
      </c>
      <c r="C41" s="28">
        <v>65</v>
      </c>
      <c r="D41" s="37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28" t="str">
        <f t="shared" si="0"/>
        <v>42</v>
      </c>
      <c r="C42" s="28">
        <v>66</v>
      </c>
      <c r="D42" s="37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28" t="str">
        <f t="shared" si="0"/>
        <v>43</v>
      </c>
      <c r="C43" s="28">
        <v>67</v>
      </c>
      <c r="D43" s="37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28" t="str">
        <f t="shared" si="0"/>
        <v>44</v>
      </c>
      <c r="C44" s="28">
        <v>68</v>
      </c>
      <c r="D44" s="37" t="str">
        <f t="shared" si="1"/>
        <v>D</v>
      </c>
    </row>
    <row r="45" spans="2:31" s="30" customFormat="1" x14ac:dyDescent="0.25">
      <c r="B45" s="76" t="str">
        <f t="shared" si="0"/>
        <v>45</v>
      </c>
      <c r="C45" s="76">
        <v>69</v>
      </c>
      <c r="D45" s="77" t="str">
        <f t="shared" si="1"/>
        <v>E</v>
      </c>
    </row>
    <row r="46" spans="2:31" x14ac:dyDescent="0.25">
      <c r="B46" s="28" t="str">
        <f t="shared" si="0"/>
        <v>46</v>
      </c>
      <c r="C46" s="28">
        <v>70</v>
      </c>
      <c r="D46" s="37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28" t="str">
        <f t="shared" si="0"/>
        <v>47</v>
      </c>
      <c r="C47" s="28">
        <v>71</v>
      </c>
      <c r="D47" s="37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0" customFormat="1" x14ac:dyDescent="0.25">
      <c r="B48" s="76" t="str">
        <f t="shared" si="0"/>
        <v>48</v>
      </c>
      <c r="C48" s="76">
        <v>72</v>
      </c>
      <c r="D48" s="77" t="str">
        <f t="shared" si="1"/>
        <v>H</v>
      </c>
      <c r="N48" s="30">
        <v>480</v>
      </c>
      <c r="O48" s="30">
        <v>272</v>
      </c>
      <c r="Q48" s="30">
        <v>160</v>
      </c>
    </row>
    <row r="49" spans="2:23" x14ac:dyDescent="0.25">
      <c r="B49" s="28" t="str">
        <f t="shared" si="0"/>
        <v>49</v>
      </c>
      <c r="C49" s="28">
        <v>73</v>
      </c>
      <c r="D49" s="37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438</v>
      </c>
      <c r="U49" t="s">
        <v>532</v>
      </c>
      <c r="V49" t="s">
        <v>196</v>
      </c>
      <c r="W49" t="s">
        <v>563</v>
      </c>
    </row>
    <row r="50" spans="2:23" x14ac:dyDescent="0.25">
      <c r="B50" s="28" t="str">
        <f t="shared" si="0"/>
        <v>4A</v>
      </c>
      <c r="C50" s="28">
        <v>74</v>
      </c>
      <c r="D50" s="37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28" t="str">
        <f t="shared" si="0"/>
        <v>4B</v>
      </c>
      <c r="C51" s="28">
        <v>75</v>
      </c>
      <c r="D51" s="37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28" t="str">
        <f t="shared" si="0"/>
        <v>4C</v>
      </c>
      <c r="C52" s="28">
        <v>76</v>
      </c>
      <c r="D52" s="37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28" t="str">
        <f t="shared" si="0"/>
        <v>4D</v>
      </c>
      <c r="C53" s="28">
        <v>77</v>
      </c>
      <c r="D53" s="37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28" t="str">
        <f t="shared" si="0"/>
        <v>4E</v>
      </c>
      <c r="C54" s="28">
        <v>78</v>
      </c>
      <c r="D54" s="37" t="str">
        <f t="shared" si="1"/>
        <v>N</v>
      </c>
    </row>
    <row r="55" spans="2:23" x14ac:dyDescent="0.25">
      <c r="B55" s="28" t="str">
        <f t="shared" si="0"/>
        <v>4F</v>
      </c>
      <c r="C55" s="28">
        <v>79</v>
      </c>
      <c r="D55" s="37" t="str">
        <f t="shared" si="1"/>
        <v>O</v>
      </c>
    </row>
    <row r="56" spans="2:23" x14ac:dyDescent="0.25">
      <c r="B56" s="28" t="str">
        <f t="shared" si="0"/>
        <v>50</v>
      </c>
      <c r="C56" s="28">
        <v>80</v>
      </c>
      <c r="D56" s="37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532</v>
      </c>
      <c r="T56" t="s">
        <v>196</v>
      </c>
      <c r="U56" t="s">
        <v>563</v>
      </c>
    </row>
    <row r="57" spans="2:23" x14ac:dyDescent="0.25">
      <c r="B57" s="28" t="str">
        <f t="shared" si="0"/>
        <v>51</v>
      </c>
      <c r="C57" s="28">
        <v>81</v>
      </c>
      <c r="D57" s="37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28" t="str">
        <f t="shared" si="0"/>
        <v>52</v>
      </c>
      <c r="C58" s="28">
        <v>82</v>
      </c>
      <c r="D58" s="37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28" t="str">
        <f t="shared" si="0"/>
        <v>53</v>
      </c>
      <c r="C59" s="28">
        <v>83</v>
      </c>
      <c r="D59" s="37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28" t="str">
        <f t="shared" si="0"/>
        <v>54</v>
      </c>
      <c r="C60" s="28">
        <v>84</v>
      </c>
      <c r="D60" s="37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28" t="str">
        <f t="shared" si="0"/>
        <v>55</v>
      </c>
      <c r="C61" s="28">
        <v>85</v>
      </c>
      <c r="D61" s="37" t="str">
        <f t="shared" si="1"/>
        <v>U</v>
      </c>
    </row>
    <row r="62" spans="2:23" x14ac:dyDescent="0.25">
      <c r="B62" s="28" t="str">
        <f t="shared" si="0"/>
        <v>56</v>
      </c>
      <c r="C62" s="28">
        <v>86</v>
      </c>
      <c r="D62" s="37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28" t="str">
        <f t="shared" si="0"/>
        <v>57</v>
      </c>
      <c r="C63" s="28">
        <v>87</v>
      </c>
      <c r="D63" s="37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28" t="str">
        <f t="shared" si="0"/>
        <v>58</v>
      </c>
      <c r="C64" s="28">
        <v>88</v>
      </c>
      <c r="D64" s="37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28" t="str">
        <f t="shared" si="0"/>
        <v>59</v>
      </c>
      <c r="C65" s="28">
        <v>89</v>
      </c>
      <c r="D65" s="37" t="str">
        <f t="shared" si="1"/>
        <v>Y</v>
      </c>
      <c r="O65">
        <v>40</v>
      </c>
      <c r="R65">
        <v>40</v>
      </c>
    </row>
    <row r="66" spans="2:18" x14ac:dyDescent="0.25">
      <c r="B66" s="28" t="str">
        <f t="shared" si="0"/>
        <v>5A</v>
      </c>
      <c r="C66" s="28">
        <v>90</v>
      </c>
      <c r="D66" s="37" t="str">
        <f t="shared" si="1"/>
        <v>Z</v>
      </c>
    </row>
    <row r="67" spans="2:18" x14ac:dyDescent="0.25">
      <c r="B67" s="28" t="str">
        <f t="shared" si="0"/>
        <v>5B</v>
      </c>
      <c r="C67" s="28">
        <v>91</v>
      </c>
      <c r="D67" s="37" t="str">
        <f t="shared" si="1"/>
        <v>[</v>
      </c>
    </row>
    <row r="68" spans="2:18" x14ac:dyDescent="0.25">
      <c r="B68" s="28" t="str">
        <f t="shared" si="0"/>
        <v>5C</v>
      </c>
      <c r="C68" s="28">
        <v>92</v>
      </c>
      <c r="D68" s="37" t="str">
        <f t="shared" si="1"/>
        <v>\</v>
      </c>
    </row>
    <row r="69" spans="2:18" x14ac:dyDescent="0.25">
      <c r="B69" s="28" t="str">
        <f t="shared" si="0"/>
        <v>5D</v>
      </c>
      <c r="C69" s="28">
        <v>93</v>
      </c>
      <c r="D69" s="37" t="str">
        <f t="shared" si="1"/>
        <v>]</v>
      </c>
      <c r="O69" s="49" t="str">
        <f>DEC2HEX(P69)</f>
        <v>1C</v>
      </c>
      <c r="P69" s="27">
        <v>28</v>
      </c>
      <c r="Q69" s="27" t="str">
        <f>CHAR(P69)</f>
        <v>_x001C_</v>
      </c>
    </row>
    <row r="70" spans="2:18" x14ac:dyDescent="0.25">
      <c r="B70" s="28" t="str">
        <f t="shared" si="0"/>
        <v>5E</v>
      </c>
      <c r="C70" s="28">
        <v>94</v>
      </c>
      <c r="D70" s="37" t="str">
        <f t="shared" si="1"/>
        <v>^</v>
      </c>
      <c r="O70" s="49" t="str">
        <f>DEC2HEX(P70)</f>
        <v>FF</v>
      </c>
      <c r="P70" s="27">
        <v>255</v>
      </c>
      <c r="Q70" s="27" t="str">
        <f>CHAR(P70)</f>
        <v>ÿ</v>
      </c>
    </row>
    <row r="71" spans="2:18" x14ac:dyDescent="0.25">
      <c r="B71" s="28" t="str">
        <f t="shared" si="0"/>
        <v>5F</v>
      </c>
      <c r="C71" s="28">
        <v>95</v>
      </c>
      <c r="D71" s="37" t="str">
        <f t="shared" si="1"/>
        <v>_</v>
      </c>
      <c r="Q71" s="84" t="s">
        <v>579</v>
      </c>
      <c r="R71">
        <f>CODE(Q71)</f>
        <v>236</v>
      </c>
    </row>
    <row r="72" spans="2:18" x14ac:dyDescent="0.25">
      <c r="B72" s="28" t="str">
        <f t="shared" si="0"/>
        <v>60</v>
      </c>
      <c r="C72" s="28">
        <v>96</v>
      </c>
      <c r="D72" s="37" t="str">
        <f t="shared" si="1"/>
        <v>`</v>
      </c>
      <c r="Q72" t="s">
        <v>594</v>
      </c>
      <c r="R72">
        <f>CODE(Q72)</f>
        <v>3</v>
      </c>
    </row>
    <row r="73" spans="2:18" x14ac:dyDescent="0.25">
      <c r="B73" s="28" t="str">
        <f t="shared" si="0"/>
        <v>61</v>
      </c>
      <c r="C73" s="28">
        <v>97</v>
      </c>
      <c r="D73" s="37" t="str">
        <f t="shared" si="1"/>
        <v>a</v>
      </c>
    </row>
    <row r="74" spans="2:18" x14ac:dyDescent="0.25">
      <c r="B74" s="28" t="str">
        <f t="shared" si="0"/>
        <v>62</v>
      </c>
      <c r="C74" s="28">
        <v>98</v>
      </c>
      <c r="D74" s="37" t="str">
        <f t="shared" si="1"/>
        <v>b</v>
      </c>
    </row>
    <row r="75" spans="2:18" x14ac:dyDescent="0.25">
      <c r="B75" s="28" t="str">
        <f t="shared" si="0"/>
        <v>63</v>
      </c>
      <c r="C75" s="28">
        <v>99</v>
      </c>
      <c r="D75" s="37" t="str">
        <f t="shared" si="1"/>
        <v>c</v>
      </c>
      <c r="O75" t="s">
        <v>601</v>
      </c>
      <c r="P75" t="s">
        <v>611</v>
      </c>
      <c r="Q75" t="s">
        <v>618</v>
      </c>
    </row>
    <row r="76" spans="2:18" x14ac:dyDescent="0.25">
      <c r="B76" s="28" t="str">
        <f t="shared" ref="B76:B140" si="2">DEC2HEX(C76)</f>
        <v>64</v>
      </c>
      <c r="C76" s="28">
        <v>100</v>
      </c>
      <c r="D76" s="37" t="str">
        <f t="shared" ref="D76:D140" si="3">CHAR(C76)</f>
        <v>d</v>
      </c>
      <c r="O76" t="s">
        <v>237</v>
      </c>
      <c r="P76" t="s">
        <v>615</v>
      </c>
      <c r="Q76" t="s">
        <v>617</v>
      </c>
    </row>
    <row r="77" spans="2:18" x14ac:dyDescent="0.25">
      <c r="B77" s="28" t="str">
        <f t="shared" si="2"/>
        <v>65</v>
      </c>
      <c r="C77" s="28">
        <v>101</v>
      </c>
      <c r="D77" s="37" t="str">
        <f t="shared" si="3"/>
        <v>e</v>
      </c>
      <c r="O77" t="s">
        <v>602</v>
      </c>
      <c r="P77" t="s">
        <v>624</v>
      </c>
      <c r="Q77" t="s">
        <v>619</v>
      </c>
    </row>
    <row r="78" spans="2:18" x14ac:dyDescent="0.25">
      <c r="B78" s="28" t="str">
        <f t="shared" si="2"/>
        <v>66</v>
      </c>
      <c r="C78" s="28">
        <v>102</v>
      </c>
      <c r="D78" s="37" t="str">
        <f t="shared" si="3"/>
        <v>f</v>
      </c>
      <c r="O78" t="s">
        <v>554</v>
      </c>
      <c r="P78" t="s">
        <v>612</v>
      </c>
      <c r="Q78" t="s">
        <v>620</v>
      </c>
    </row>
    <row r="79" spans="2:18" x14ac:dyDescent="0.25">
      <c r="B79" s="28" t="str">
        <f t="shared" si="2"/>
        <v>67</v>
      </c>
      <c r="C79" s="28">
        <v>103</v>
      </c>
      <c r="D79" s="37" t="str">
        <f t="shared" si="3"/>
        <v>g</v>
      </c>
      <c r="O79" t="s">
        <v>603</v>
      </c>
      <c r="P79" t="s">
        <v>613</v>
      </c>
      <c r="Q79" t="s">
        <v>616</v>
      </c>
    </row>
    <row r="80" spans="2:18" x14ac:dyDescent="0.25">
      <c r="B80" s="28" t="str">
        <f t="shared" si="2"/>
        <v>68</v>
      </c>
      <c r="C80" s="28">
        <v>104</v>
      </c>
      <c r="D80" s="37" t="str">
        <f t="shared" si="3"/>
        <v>h</v>
      </c>
      <c r="O80" t="s">
        <v>606</v>
      </c>
      <c r="P80" t="s">
        <v>614</v>
      </c>
      <c r="Q80" t="s">
        <v>625</v>
      </c>
    </row>
    <row r="81" spans="2:21" x14ac:dyDescent="0.25">
      <c r="B81" s="28" t="str">
        <f t="shared" si="2"/>
        <v>69</v>
      </c>
      <c r="C81" s="28">
        <v>105</v>
      </c>
      <c r="D81" s="37" t="str">
        <f t="shared" si="3"/>
        <v>i</v>
      </c>
      <c r="O81" t="s">
        <v>599</v>
      </c>
      <c r="P81" t="s">
        <v>621</v>
      </c>
    </row>
    <row r="82" spans="2:21" x14ac:dyDescent="0.25">
      <c r="B82" s="28" t="str">
        <f t="shared" si="2"/>
        <v>6A</v>
      </c>
      <c r="C82" s="28">
        <v>106</v>
      </c>
      <c r="D82" s="37" t="str">
        <f t="shared" si="3"/>
        <v>j</v>
      </c>
      <c r="O82" t="s">
        <v>604</v>
      </c>
      <c r="P82" t="s">
        <v>622</v>
      </c>
    </row>
    <row r="83" spans="2:21" x14ac:dyDescent="0.25">
      <c r="B83" s="28" t="str">
        <f t="shared" si="2"/>
        <v>6B</v>
      </c>
      <c r="C83" s="28">
        <v>107</v>
      </c>
      <c r="D83" s="37" t="str">
        <f t="shared" si="3"/>
        <v>k</v>
      </c>
      <c r="O83" t="s">
        <v>605</v>
      </c>
      <c r="P83" t="s">
        <v>623</v>
      </c>
    </row>
    <row r="84" spans="2:21" x14ac:dyDescent="0.25">
      <c r="B84" s="28" t="str">
        <f t="shared" si="2"/>
        <v>6C</v>
      </c>
      <c r="C84" s="28">
        <v>108</v>
      </c>
      <c r="D84" s="37" t="str">
        <f t="shared" si="3"/>
        <v>l</v>
      </c>
      <c r="O84" t="s">
        <v>607</v>
      </c>
    </row>
    <row r="85" spans="2:21" x14ac:dyDescent="0.25">
      <c r="B85" s="28" t="str">
        <f t="shared" si="2"/>
        <v>6D</v>
      </c>
      <c r="C85" s="28">
        <v>109</v>
      </c>
      <c r="D85" s="37" t="str">
        <f t="shared" si="3"/>
        <v>m</v>
      </c>
      <c r="O85" t="s">
        <v>609</v>
      </c>
    </row>
    <row r="86" spans="2:21" x14ac:dyDescent="0.25">
      <c r="B86" s="28" t="str">
        <f t="shared" si="2"/>
        <v>6E</v>
      </c>
      <c r="C86" s="28">
        <v>110</v>
      </c>
      <c r="D86" s="37" t="str">
        <f t="shared" si="3"/>
        <v>n</v>
      </c>
      <c r="O86" t="s">
        <v>598</v>
      </c>
    </row>
    <row r="87" spans="2:21" x14ac:dyDescent="0.25">
      <c r="B87" s="28" t="str">
        <f t="shared" si="2"/>
        <v>6F</v>
      </c>
      <c r="C87" s="28">
        <v>111</v>
      </c>
      <c r="D87" s="37" t="str">
        <f t="shared" si="3"/>
        <v>o</v>
      </c>
      <c r="O87" t="s">
        <v>610</v>
      </c>
    </row>
    <row r="88" spans="2:21" x14ac:dyDescent="0.25">
      <c r="B88" s="28" t="str">
        <f t="shared" si="2"/>
        <v>70</v>
      </c>
      <c r="C88" s="28">
        <v>112</v>
      </c>
      <c r="D88" s="37" t="str">
        <f t="shared" si="3"/>
        <v>p</v>
      </c>
      <c r="O88" t="s">
        <v>600</v>
      </c>
      <c r="R88" s="90" t="s">
        <v>8</v>
      </c>
      <c r="S88" s="91" t="s">
        <v>629</v>
      </c>
      <c r="T88" s="90" t="s">
        <v>8</v>
      </c>
      <c r="U88" s="91" t="s">
        <v>629</v>
      </c>
    </row>
    <row r="89" spans="2:21" x14ac:dyDescent="0.25">
      <c r="B89" s="28" t="str">
        <f t="shared" si="2"/>
        <v>71</v>
      </c>
      <c r="C89" s="28">
        <v>113</v>
      </c>
      <c r="D89" s="37" t="str">
        <f t="shared" si="3"/>
        <v>q</v>
      </c>
      <c r="O89" t="s">
        <v>608</v>
      </c>
      <c r="Q89" s="89" t="s">
        <v>634</v>
      </c>
      <c r="R89" s="98" t="s">
        <v>635</v>
      </c>
      <c r="S89" s="99"/>
      <c r="T89" s="98" t="s">
        <v>636</v>
      </c>
      <c r="U89" s="99"/>
    </row>
    <row r="90" spans="2:21" x14ac:dyDescent="0.25">
      <c r="B90" s="28" t="str">
        <f t="shared" si="2"/>
        <v>72</v>
      </c>
      <c r="C90" s="28">
        <v>114</v>
      </c>
      <c r="D90" s="37" t="str">
        <f t="shared" si="3"/>
        <v>r</v>
      </c>
      <c r="P90" t="s">
        <v>626</v>
      </c>
      <c r="Q90" s="93" t="s">
        <v>627</v>
      </c>
      <c r="R90" s="85" t="s">
        <v>630</v>
      </c>
      <c r="S90" s="86" t="s">
        <v>631</v>
      </c>
      <c r="T90" s="85" t="s">
        <v>632</v>
      </c>
      <c r="U90" s="86" t="s">
        <v>631</v>
      </c>
    </row>
    <row r="91" spans="2:21" x14ac:dyDescent="0.25">
      <c r="B91" s="28" t="str">
        <f t="shared" si="2"/>
        <v>73</v>
      </c>
      <c r="C91" s="28">
        <v>115</v>
      </c>
      <c r="D91" s="37" t="str">
        <f t="shared" si="3"/>
        <v>s</v>
      </c>
      <c r="Q91" s="94" t="s">
        <v>628</v>
      </c>
      <c r="R91" s="87" t="s">
        <v>632</v>
      </c>
      <c r="S91" s="88" t="s">
        <v>633</v>
      </c>
      <c r="T91" s="87" t="s">
        <v>630</v>
      </c>
      <c r="U91" s="88" t="s">
        <v>633</v>
      </c>
    </row>
    <row r="92" spans="2:21" x14ac:dyDescent="0.25">
      <c r="B92" s="28" t="str">
        <f t="shared" si="2"/>
        <v>74</v>
      </c>
      <c r="C92" s="28">
        <v>116</v>
      </c>
      <c r="D92" s="37" t="str">
        <f t="shared" si="3"/>
        <v>t</v>
      </c>
    </row>
    <row r="93" spans="2:21" x14ac:dyDescent="0.25">
      <c r="B93" s="28" t="str">
        <f t="shared" si="2"/>
        <v>75</v>
      </c>
      <c r="C93" s="28">
        <v>117</v>
      </c>
      <c r="D93" s="37" t="str">
        <f t="shared" si="3"/>
        <v>u</v>
      </c>
      <c r="R93" s="90" t="s">
        <v>8</v>
      </c>
      <c r="S93" s="92" t="s">
        <v>629</v>
      </c>
      <c r="T93" s="92" t="s">
        <v>8</v>
      </c>
      <c r="U93" s="91" t="s">
        <v>629</v>
      </c>
    </row>
    <row r="94" spans="2:21" x14ac:dyDescent="0.25">
      <c r="B94" s="28" t="str">
        <f t="shared" si="2"/>
        <v>76</v>
      </c>
      <c r="C94" s="28">
        <v>118</v>
      </c>
      <c r="D94" s="37" t="str">
        <f t="shared" si="3"/>
        <v>v</v>
      </c>
      <c r="Q94" s="89" t="s">
        <v>637</v>
      </c>
      <c r="R94" s="100" t="s">
        <v>635</v>
      </c>
      <c r="S94" s="100"/>
      <c r="T94" s="100" t="s">
        <v>636</v>
      </c>
      <c r="U94" s="101"/>
    </row>
    <row r="95" spans="2:21" x14ac:dyDescent="0.25">
      <c r="B95" s="28" t="str">
        <f t="shared" si="2"/>
        <v>77</v>
      </c>
      <c r="C95" s="28">
        <v>119</v>
      </c>
      <c r="D95" s="37" t="str">
        <f t="shared" si="3"/>
        <v>w</v>
      </c>
      <c r="Q95" s="93" t="s">
        <v>627</v>
      </c>
      <c r="R95" s="85" t="s">
        <v>632</v>
      </c>
      <c r="S95" s="86" t="s">
        <v>630</v>
      </c>
      <c r="T95" s="85" t="s">
        <v>630</v>
      </c>
      <c r="U95" s="86" t="s">
        <v>630</v>
      </c>
    </row>
    <row r="96" spans="2:21" x14ac:dyDescent="0.25">
      <c r="B96" s="28" t="str">
        <f t="shared" si="2"/>
        <v>78</v>
      </c>
      <c r="C96" s="28">
        <v>120</v>
      </c>
      <c r="D96" s="37" t="str">
        <f t="shared" si="3"/>
        <v>x</v>
      </c>
      <c r="Q96" s="94" t="s">
        <v>628</v>
      </c>
      <c r="R96" s="87" t="s">
        <v>630</v>
      </c>
      <c r="S96" s="88" t="s">
        <v>632</v>
      </c>
      <c r="T96" s="87" t="s">
        <v>632</v>
      </c>
      <c r="U96" s="88" t="s">
        <v>632</v>
      </c>
    </row>
    <row r="97" spans="2:4" x14ac:dyDescent="0.25">
      <c r="B97" s="28" t="str">
        <f t="shared" si="2"/>
        <v>79</v>
      </c>
      <c r="C97" s="28">
        <v>121</v>
      </c>
      <c r="D97" s="37" t="str">
        <f t="shared" si="3"/>
        <v>y</v>
      </c>
    </row>
    <row r="98" spans="2:4" x14ac:dyDescent="0.25">
      <c r="B98" s="28" t="str">
        <f t="shared" si="2"/>
        <v>7A</v>
      </c>
      <c r="C98" s="28">
        <v>122</v>
      </c>
      <c r="D98" s="37" t="str">
        <f t="shared" si="3"/>
        <v>z</v>
      </c>
    </row>
    <row r="99" spans="2:4" x14ac:dyDescent="0.25">
      <c r="B99" s="28" t="str">
        <f t="shared" si="2"/>
        <v>7B</v>
      </c>
      <c r="C99" s="28">
        <v>123</v>
      </c>
      <c r="D99" s="37" t="str">
        <f t="shared" si="3"/>
        <v>{</v>
      </c>
    </row>
    <row r="100" spans="2:4" x14ac:dyDescent="0.25">
      <c r="B100" s="28" t="str">
        <f t="shared" si="2"/>
        <v>7C</v>
      </c>
      <c r="C100" s="28">
        <v>124</v>
      </c>
      <c r="D100" s="28" t="str">
        <f t="shared" si="3"/>
        <v>|</v>
      </c>
    </row>
    <row r="101" spans="2:4" x14ac:dyDescent="0.25">
      <c r="B101" s="28" t="str">
        <f t="shared" si="2"/>
        <v>7D</v>
      </c>
      <c r="C101" s="28">
        <v>125</v>
      </c>
      <c r="D101" s="37" t="str">
        <f t="shared" si="3"/>
        <v>}</v>
      </c>
    </row>
    <row r="102" spans="2:4" x14ac:dyDescent="0.25">
      <c r="B102" s="28" t="str">
        <f t="shared" si="2"/>
        <v>7E</v>
      </c>
      <c r="C102" s="28">
        <v>126</v>
      </c>
      <c r="D102" s="37" t="str">
        <f t="shared" si="3"/>
        <v>~</v>
      </c>
    </row>
    <row r="103" spans="2:4" x14ac:dyDescent="0.25">
      <c r="B103" s="28"/>
      <c r="C103" s="28"/>
      <c r="D103" s="37"/>
    </row>
    <row r="104" spans="2:4" x14ac:dyDescent="0.25">
      <c r="B104" s="28" t="str">
        <f t="shared" si="2"/>
        <v>7F</v>
      </c>
      <c r="C104" s="28">
        <v>127</v>
      </c>
      <c r="D104" s="37" t="str">
        <f t="shared" si="3"/>
        <v></v>
      </c>
    </row>
    <row r="105" spans="2:4" x14ac:dyDescent="0.25">
      <c r="B105" s="28" t="str">
        <f t="shared" si="2"/>
        <v>80</v>
      </c>
      <c r="C105" s="28">
        <v>128</v>
      </c>
      <c r="D105" s="37" t="str">
        <f t="shared" si="3"/>
        <v>€</v>
      </c>
    </row>
    <row r="106" spans="2:4" x14ac:dyDescent="0.25">
      <c r="B106" s="28" t="str">
        <f t="shared" si="2"/>
        <v>81</v>
      </c>
      <c r="C106" s="28">
        <v>129</v>
      </c>
      <c r="D106" s="37" t="str">
        <f t="shared" si="3"/>
        <v></v>
      </c>
    </row>
    <row r="107" spans="2:4" x14ac:dyDescent="0.25">
      <c r="B107" s="28" t="str">
        <f t="shared" si="2"/>
        <v>82</v>
      </c>
      <c r="C107" s="28">
        <v>130</v>
      </c>
      <c r="D107" s="37" t="str">
        <f t="shared" si="3"/>
        <v>‚</v>
      </c>
    </row>
    <row r="108" spans="2:4" x14ac:dyDescent="0.25">
      <c r="B108" s="28" t="str">
        <f t="shared" si="2"/>
        <v>83</v>
      </c>
      <c r="C108" s="28">
        <v>131</v>
      </c>
      <c r="D108" s="37" t="str">
        <f t="shared" si="3"/>
        <v>ƒ</v>
      </c>
    </row>
    <row r="109" spans="2:4" x14ac:dyDescent="0.25">
      <c r="B109" s="28" t="str">
        <f t="shared" si="2"/>
        <v>84</v>
      </c>
      <c r="C109" s="28">
        <v>132</v>
      </c>
      <c r="D109" s="37" t="str">
        <f t="shared" si="3"/>
        <v>„</v>
      </c>
    </row>
    <row r="110" spans="2:4" x14ac:dyDescent="0.25">
      <c r="B110" s="28" t="str">
        <f t="shared" si="2"/>
        <v>85</v>
      </c>
      <c r="C110" s="28">
        <v>133</v>
      </c>
      <c r="D110" s="37" t="str">
        <f t="shared" si="3"/>
        <v>…</v>
      </c>
    </row>
    <row r="111" spans="2:4" x14ac:dyDescent="0.25">
      <c r="B111" s="28" t="str">
        <f t="shared" si="2"/>
        <v>86</v>
      </c>
      <c r="C111" s="28">
        <v>134</v>
      </c>
      <c r="D111" s="37" t="str">
        <f t="shared" si="3"/>
        <v>†</v>
      </c>
    </row>
    <row r="112" spans="2:4" x14ac:dyDescent="0.25">
      <c r="B112" s="28" t="str">
        <f t="shared" si="2"/>
        <v>87</v>
      </c>
      <c r="C112" s="28">
        <v>135</v>
      </c>
      <c r="D112" s="37" t="str">
        <f t="shared" si="3"/>
        <v>‡</v>
      </c>
    </row>
    <row r="113" spans="2:4" x14ac:dyDescent="0.25">
      <c r="B113" s="28" t="str">
        <f t="shared" si="2"/>
        <v>88</v>
      </c>
      <c r="C113" s="28">
        <v>136</v>
      </c>
      <c r="D113" s="37" t="str">
        <f t="shared" si="3"/>
        <v>ˆ</v>
      </c>
    </row>
    <row r="114" spans="2:4" x14ac:dyDescent="0.25">
      <c r="B114" s="28" t="str">
        <f t="shared" si="2"/>
        <v>89</v>
      </c>
      <c r="C114" s="28">
        <v>137</v>
      </c>
      <c r="D114" s="37" t="str">
        <f t="shared" si="3"/>
        <v>‰</v>
      </c>
    </row>
    <row r="115" spans="2:4" x14ac:dyDescent="0.25">
      <c r="B115" s="28" t="str">
        <f t="shared" si="2"/>
        <v>8A</v>
      </c>
      <c r="C115" s="28">
        <v>138</v>
      </c>
      <c r="D115" s="37" t="str">
        <f t="shared" si="3"/>
        <v>Š</v>
      </c>
    </row>
    <row r="116" spans="2:4" x14ac:dyDescent="0.25">
      <c r="B116" s="28" t="str">
        <f t="shared" si="2"/>
        <v>8B</v>
      </c>
      <c r="C116" s="28">
        <v>139</v>
      </c>
      <c r="D116" s="37" t="str">
        <f t="shared" si="3"/>
        <v>‹</v>
      </c>
    </row>
    <row r="117" spans="2:4" x14ac:dyDescent="0.25">
      <c r="B117" s="28" t="str">
        <f t="shared" si="2"/>
        <v>8C</v>
      </c>
      <c r="C117" s="28">
        <v>140</v>
      </c>
      <c r="D117" s="37" t="str">
        <f t="shared" si="3"/>
        <v>Œ</v>
      </c>
    </row>
    <row r="118" spans="2:4" x14ac:dyDescent="0.25">
      <c r="B118" s="28" t="str">
        <f t="shared" si="2"/>
        <v>8D</v>
      </c>
      <c r="C118" s="28">
        <v>141</v>
      </c>
      <c r="D118" s="37" t="str">
        <f t="shared" si="3"/>
        <v></v>
      </c>
    </row>
    <row r="119" spans="2:4" x14ac:dyDescent="0.25">
      <c r="B119" s="28" t="str">
        <f t="shared" si="2"/>
        <v>8E</v>
      </c>
      <c r="C119" s="28">
        <v>142</v>
      </c>
      <c r="D119" s="37" t="str">
        <f t="shared" si="3"/>
        <v>Ž</v>
      </c>
    </row>
    <row r="120" spans="2:4" x14ac:dyDescent="0.25">
      <c r="B120" s="28" t="str">
        <f t="shared" si="2"/>
        <v>8F</v>
      </c>
      <c r="C120" s="28">
        <v>143</v>
      </c>
      <c r="D120" s="37" t="str">
        <f t="shared" si="3"/>
        <v></v>
      </c>
    </row>
    <row r="121" spans="2:4" x14ac:dyDescent="0.25">
      <c r="B121" s="28" t="str">
        <f t="shared" si="2"/>
        <v>90</v>
      </c>
      <c r="C121" s="28">
        <v>144</v>
      </c>
      <c r="D121" s="37" t="str">
        <f t="shared" si="3"/>
        <v></v>
      </c>
    </row>
    <row r="122" spans="2:4" x14ac:dyDescent="0.25">
      <c r="B122" s="28" t="str">
        <f t="shared" si="2"/>
        <v>91</v>
      </c>
      <c r="C122" s="28">
        <v>145</v>
      </c>
      <c r="D122" s="37" t="str">
        <f t="shared" si="3"/>
        <v>‘</v>
      </c>
    </row>
    <row r="123" spans="2:4" x14ac:dyDescent="0.25">
      <c r="B123" s="28" t="str">
        <f t="shared" si="2"/>
        <v>92</v>
      </c>
      <c r="C123" s="28">
        <v>146</v>
      </c>
      <c r="D123" s="37" t="str">
        <f t="shared" si="3"/>
        <v>’</v>
      </c>
    </row>
    <row r="124" spans="2:4" x14ac:dyDescent="0.25">
      <c r="B124" s="28" t="str">
        <f t="shared" si="2"/>
        <v>93</v>
      </c>
      <c r="C124" s="28">
        <v>147</v>
      </c>
      <c r="D124" s="37" t="str">
        <f t="shared" si="3"/>
        <v>“</v>
      </c>
    </row>
    <row r="125" spans="2:4" x14ac:dyDescent="0.25">
      <c r="B125" s="28" t="str">
        <f t="shared" si="2"/>
        <v>94</v>
      </c>
      <c r="C125" s="28">
        <v>148</v>
      </c>
      <c r="D125" s="37" t="str">
        <f t="shared" si="3"/>
        <v>”</v>
      </c>
    </row>
    <row r="126" spans="2:4" x14ac:dyDescent="0.25">
      <c r="B126" s="28" t="str">
        <f t="shared" si="2"/>
        <v>95</v>
      </c>
      <c r="C126" s="28">
        <v>149</v>
      </c>
      <c r="D126" s="37" t="str">
        <f t="shared" si="3"/>
        <v>•</v>
      </c>
    </row>
    <row r="127" spans="2:4" x14ac:dyDescent="0.25">
      <c r="B127" s="28" t="str">
        <f t="shared" si="2"/>
        <v>96</v>
      </c>
      <c r="C127" s="28">
        <v>150</v>
      </c>
      <c r="D127" s="37" t="str">
        <f t="shared" si="3"/>
        <v>–</v>
      </c>
    </row>
    <row r="128" spans="2:4" x14ac:dyDescent="0.25">
      <c r="B128" s="28" t="str">
        <f t="shared" si="2"/>
        <v>97</v>
      </c>
      <c r="C128" s="28">
        <v>151</v>
      </c>
      <c r="D128" s="37" t="str">
        <f t="shared" si="3"/>
        <v>—</v>
      </c>
    </row>
    <row r="129" spans="2:4" x14ac:dyDescent="0.25">
      <c r="B129" s="28" t="str">
        <f t="shared" si="2"/>
        <v>98</v>
      </c>
      <c r="C129" s="28">
        <v>152</v>
      </c>
      <c r="D129" s="37" t="str">
        <f t="shared" si="3"/>
        <v>˜</v>
      </c>
    </row>
    <row r="130" spans="2:4" x14ac:dyDescent="0.25">
      <c r="B130" s="28" t="str">
        <f t="shared" si="2"/>
        <v>99</v>
      </c>
      <c r="C130" s="28">
        <v>153</v>
      </c>
      <c r="D130" s="37" t="str">
        <f t="shared" si="3"/>
        <v>™</v>
      </c>
    </row>
    <row r="131" spans="2:4" x14ac:dyDescent="0.25">
      <c r="B131" s="28" t="str">
        <f t="shared" si="2"/>
        <v>9A</v>
      </c>
      <c r="C131" s="28">
        <v>154</v>
      </c>
      <c r="D131" s="37" t="str">
        <f t="shared" si="3"/>
        <v>š</v>
      </c>
    </row>
    <row r="132" spans="2:4" x14ac:dyDescent="0.25">
      <c r="B132" s="28" t="str">
        <f t="shared" si="2"/>
        <v>9B</v>
      </c>
      <c r="C132" s="28">
        <v>155</v>
      </c>
      <c r="D132" s="37" t="str">
        <f t="shared" si="3"/>
        <v>›</v>
      </c>
    </row>
    <row r="133" spans="2:4" x14ac:dyDescent="0.25">
      <c r="B133" s="28" t="str">
        <f t="shared" si="2"/>
        <v>9C</v>
      </c>
      <c r="C133" s="28">
        <v>156</v>
      </c>
      <c r="D133" s="37" t="str">
        <f t="shared" si="3"/>
        <v>œ</v>
      </c>
    </row>
    <row r="134" spans="2:4" x14ac:dyDescent="0.25">
      <c r="B134" s="28" t="str">
        <f t="shared" si="2"/>
        <v>9D</v>
      </c>
      <c r="C134" s="28">
        <v>157</v>
      </c>
      <c r="D134" s="37" t="str">
        <f t="shared" si="3"/>
        <v></v>
      </c>
    </row>
    <row r="135" spans="2:4" x14ac:dyDescent="0.25">
      <c r="B135" s="28" t="str">
        <f t="shared" si="2"/>
        <v>9E</v>
      </c>
      <c r="C135" s="28">
        <v>158</v>
      </c>
      <c r="D135" s="37" t="str">
        <f t="shared" si="3"/>
        <v>ž</v>
      </c>
    </row>
    <row r="136" spans="2:4" x14ac:dyDescent="0.25">
      <c r="B136" s="28" t="str">
        <f t="shared" si="2"/>
        <v>9F</v>
      </c>
      <c r="C136" s="28">
        <v>159</v>
      </c>
      <c r="D136" s="37" t="str">
        <f t="shared" si="3"/>
        <v>Ÿ</v>
      </c>
    </row>
    <row r="137" spans="2:4" x14ac:dyDescent="0.25">
      <c r="B137" s="28" t="str">
        <f t="shared" si="2"/>
        <v>A0</v>
      </c>
      <c r="C137" s="28">
        <v>160</v>
      </c>
      <c r="D137" s="37" t="str">
        <f t="shared" si="3"/>
        <v> </v>
      </c>
    </row>
    <row r="138" spans="2:4" x14ac:dyDescent="0.25">
      <c r="B138" s="28" t="str">
        <f t="shared" si="2"/>
        <v>A1</v>
      </c>
      <c r="C138" s="28">
        <v>161</v>
      </c>
      <c r="D138" s="37" t="str">
        <f t="shared" si="3"/>
        <v>¡</v>
      </c>
    </row>
    <row r="139" spans="2:4" x14ac:dyDescent="0.25">
      <c r="B139" s="28" t="str">
        <f t="shared" si="2"/>
        <v>A2</v>
      </c>
      <c r="C139" s="28">
        <v>162</v>
      </c>
      <c r="D139" s="37" t="str">
        <f t="shared" si="3"/>
        <v>¢</v>
      </c>
    </row>
    <row r="140" spans="2:4" x14ac:dyDescent="0.25">
      <c r="B140" s="28" t="str">
        <f t="shared" si="2"/>
        <v>A3</v>
      </c>
      <c r="C140" s="28">
        <v>163</v>
      </c>
      <c r="D140" s="37" t="str">
        <f t="shared" si="3"/>
        <v>£</v>
      </c>
    </row>
    <row r="141" spans="2:4" x14ac:dyDescent="0.25">
      <c r="B141" s="28" t="str">
        <f t="shared" ref="B141:B204" si="4">DEC2HEX(C141)</f>
        <v>A4</v>
      </c>
      <c r="C141" s="28">
        <v>164</v>
      </c>
      <c r="D141" s="37" t="str">
        <f t="shared" ref="D141:D204" si="5">CHAR(C141)</f>
        <v>¤</v>
      </c>
    </row>
    <row r="142" spans="2:4" x14ac:dyDescent="0.25">
      <c r="B142" s="28" t="str">
        <f t="shared" si="4"/>
        <v>A5</v>
      </c>
      <c r="C142" s="28">
        <v>165</v>
      </c>
      <c r="D142" s="37" t="str">
        <f t="shared" si="5"/>
        <v>¥</v>
      </c>
    </row>
    <row r="143" spans="2:4" x14ac:dyDescent="0.25">
      <c r="B143" s="28" t="str">
        <f t="shared" si="4"/>
        <v>A6</v>
      </c>
      <c r="C143" s="28">
        <v>166</v>
      </c>
      <c r="D143" s="37" t="str">
        <f t="shared" si="5"/>
        <v>¦</v>
      </c>
    </row>
    <row r="144" spans="2:4" x14ac:dyDescent="0.25">
      <c r="B144" s="28" t="str">
        <f t="shared" si="4"/>
        <v>A7</v>
      </c>
      <c r="C144" s="28">
        <v>167</v>
      </c>
      <c r="D144" s="37" t="str">
        <f t="shared" si="5"/>
        <v>§</v>
      </c>
    </row>
    <row r="145" spans="2:4" x14ac:dyDescent="0.25">
      <c r="B145" s="28" t="str">
        <f t="shared" si="4"/>
        <v>A8</v>
      </c>
      <c r="C145" s="28">
        <v>168</v>
      </c>
      <c r="D145" s="37" t="str">
        <f t="shared" si="5"/>
        <v>¨</v>
      </c>
    </row>
    <row r="146" spans="2:4" x14ac:dyDescent="0.25">
      <c r="B146" s="28" t="str">
        <f t="shared" si="4"/>
        <v>A9</v>
      </c>
      <c r="C146" s="28">
        <v>169</v>
      </c>
      <c r="D146" s="37" t="str">
        <f t="shared" si="5"/>
        <v>©</v>
      </c>
    </row>
    <row r="147" spans="2:4" x14ac:dyDescent="0.25">
      <c r="B147" s="28" t="str">
        <f t="shared" si="4"/>
        <v>AA</v>
      </c>
      <c r="C147" s="28">
        <v>170</v>
      </c>
      <c r="D147" s="37" t="str">
        <f t="shared" si="5"/>
        <v>ª</v>
      </c>
    </row>
    <row r="148" spans="2:4" x14ac:dyDescent="0.25">
      <c r="B148" s="28" t="str">
        <f t="shared" si="4"/>
        <v>AB</v>
      </c>
      <c r="C148" s="28">
        <v>171</v>
      </c>
      <c r="D148" s="37" t="str">
        <f t="shared" si="5"/>
        <v>«</v>
      </c>
    </row>
    <row r="149" spans="2:4" x14ac:dyDescent="0.25">
      <c r="B149" s="28" t="str">
        <f t="shared" si="4"/>
        <v>AC</v>
      </c>
      <c r="C149" s="28">
        <v>172</v>
      </c>
      <c r="D149" s="37" t="str">
        <f t="shared" si="5"/>
        <v>¬</v>
      </c>
    </row>
    <row r="150" spans="2:4" x14ac:dyDescent="0.25">
      <c r="B150" s="28" t="str">
        <f t="shared" si="4"/>
        <v>AD</v>
      </c>
      <c r="C150" s="28">
        <v>173</v>
      </c>
      <c r="D150" s="28" t="str">
        <f t="shared" si="5"/>
        <v>­</v>
      </c>
    </row>
    <row r="151" spans="2:4" x14ac:dyDescent="0.25">
      <c r="B151" s="28" t="str">
        <f t="shared" si="4"/>
        <v>AE</v>
      </c>
      <c r="C151" s="28">
        <v>174</v>
      </c>
      <c r="D151" s="37" t="str">
        <f t="shared" si="5"/>
        <v>®</v>
      </c>
    </row>
    <row r="152" spans="2:4" x14ac:dyDescent="0.25">
      <c r="B152" s="28" t="str">
        <f t="shared" si="4"/>
        <v>AF</v>
      </c>
      <c r="C152" s="28">
        <v>175</v>
      </c>
      <c r="D152" s="37" t="str">
        <f t="shared" si="5"/>
        <v>¯</v>
      </c>
    </row>
    <row r="153" spans="2:4" x14ac:dyDescent="0.25">
      <c r="B153" s="28" t="str">
        <f t="shared" si="4"/>
        <v>B0</v>
      </c>
      <c r="C153" s="28">
        <v>176</v>
      </c>
      <c r="D153" s="37" t="str">
        <f t="shared" si="5"/>
        <v>°</v>
      </c>
    </row>
    <row r="154" spans="2:4" x14ac:dyDescent="0.25">
      <c r="B154" s="28" t="str">
        <f t="shared" si="4"/>
        <v>B1</v>
      </c>
      <c r="C154" s="28">
        <v>177</v>
      </c>
      <c r="D154" s="37" t="str">
        <f t="shared" si="5"/>
        <v>±</v>
      </c>
    </row>
    <row r="155" spans="2:4" x14ac:dyDescent="0.25">
      <c r="B155" s="28" t="str">
        <f t="shared" si="4"/>
        <v>B2</v>
      </c>
      <c r="C155" s="28">
        <v>178</v>
      </c>
      <c r="D155" s="37" t="str">
        <f t="shared" si="5"/>
        <v>²</v>
      </c>
    </row>
    <row r="156" spans="2:4" x14ac:dyDescent="0.25">
      <c r="B156" s="28" t="str">
        <f t="shared" si="4"/>
        <v>B3</v>
      </c>
      <c r="C156" s="28">
        <v>179</v>
      </c>
      <c r="D156" s="37" t="str">
        <f t="shared" si="5"/>
        <v>³</v>
      </c>
    </row>
    <row r="157" spans="2:4" x14ac:dyDescent="0.25">
      <c r="B157" s="28" t="str">
        <f t="shared" si="4"/>
        <v>B4</v>
      </c>
      <c r="C157" s="28">
        <v>180</v>
      </c>
      <c r="D157" s="37" t="str">
        <f t="shared" si="5"/>
        <v>´</v>
      </c>
    </row>
    <row r="158" spans="2:4" x14ac:dyDescent="0.25">
      <c r="B158" s="28" t="str">
        <f t="shared" si="4"/>
        <v>B5</v>
      </c>
      <c r="C158" s="28">
        <v>181</v>
      </c>
      <c r="D158" s="37" t="str">
        <f t="shared" si="5"/>
        <v>µ</v>
      </c>
    </row>
    <row r="159" spans="2:4" x14ac:dyDescent="0.25">
      <c r="B159" s="28" t="str">
        <f t="shared" si="4"/>
        <v>B6</v>
      </c>
      <c r="C159" s="28">
        <v>182</v>
      </c>
      <c r="D159" s="37" t="str">
        <f t="shared" si="5"/>
        <v>¶</v>
      </c>
    </row>
    <row r="160" spans="2:4" x14ac:dyDescent="0.25">
      <c r="B160" s="28" t="str">
        <f t="shared" si="4"/>
        <v>B7</v>
      </c>
      <c r="C160" s="28">
        <v>183</v>
      </c>
      <c r="D160" s="37" t="str">
        <f t="shared" si="5"/>
        <v>·</v>
      </c>
    </row>
    <row r="161" spans="2:4" x14ac:dyDescent="0.25">
      <c r="B161" s="28" t="str">
        <f t="shared" si="4"/>
        <v>B8</v>
      </c>
      <c r="C161" s="28">
        <v>184</v>
      </c>
      <c r="D161" s="37" t="str">
        <f t="shared" si="5"/>
        <v>¸</v>
      </c>
    </row>
    <row r="162" spans="2:4" x14ac:dyDescent="0.25">
      <c r="B162" s="28" t="str">
        <f t="shared" si="4"/>
        <v>B9</v>
      </c>
      <c r="C162" s="28">
        <v>185</v>
      </c>
      <c r="D162" s="37" t="str">
        <f t="shared" si="5"/>
        <v>¹</v>
      </c>
    </row>
    <row r="163" spans="2:4" x14ac:dyDescent="0.25">
      <c r="B163" s="28" t="str">
        <f t="shared" si="4"/>
        <v>BA</v>
      </c>
      <c r="C163" s="28">
        <v>186</v>
      </c>
      <c r="D163" s="37" t="str">
        <f t="shared" si="5"/>
        <v>º</v>
      </c>
    </row>
    <row r="164" spans="2:4" x14ac:dyDescent="0.25">
      <c r="B164" s="28" t="str">
        <f t="shared" si="4"/>
        <v>BB</v>
      </c>
      <c r="C164" s="28">
        <v>187</v>
      </c>
      <c r="D164" s="37" t="str">
        <f t="shared" si="5"/>
        <v>»</v>
      </c>
    </row>
    <row r="165" spans="2:4" x14ac:dyDescent="0.25">
      <c r="B165" s="28" t="str">
        <f t="shared" si="4"/>
        <v>BC</v>
      </c>
      <c r="C165" s="28">
        <v>188</v>
      </c>
      <c r="D165" s="37" t="str">
        <f t="shared" si="5"/>
        <v>¼</v>
      </c>
    </row>
    <row r="166" spans="2:4" x14ac:dyDescent="0.25">
      <c r="B166" s="28" t="str">
        <f t="shared" si="4"/>
        <v>BD</v>
      </c>
      <c r="C166" s="28">
        <v>189</v>
      </c>
      <c r="D166" s="37" t="str">
        <f t="shared" si="5"/>
        <v>½</v>
      </c>
    </row>
    <row r="167" spans="2:4" x14ac:dyDescent="0.25">
      <c r="B167" s="28" t="str">
        <f t="shared" si="4"/>
        <v>BE</v>
      </c>
      <c r="C167" s="28">
        <v>190</v>
      </c>
      <c r="D167" s="37" t="str">
        <f t="shared" si="5"/>
        <v>¾</v>
      </c>
    </row>
    <row r="168" spans="2:4" x14ac:dyDescent="0.25">
      <c r="B168" s="28" t="str">
        <f t="shared" si="4"/>
        <v>BF</v>
      </c>
      <c r="C168" s="28">
        <v>191</v>
      </c>
      <c r="D168" s="37" t="str">
        <f t="shared" si="5"/>
        <v>¿</v>
      </c>
    </row>
    <row r="169" spans="2:4" x14ac:dyDescent="0.25">
      <c r="B169" s="28" t="str">
        <f t="shared" si="4"/>
        <v>C0</v>
      </c>
      <c r="C169" s="28">
        <v>192</v>
      </c>
      <c r="D169" s="37" t="str">
        <f t="shared" si="5"/>
        <v>À</v>
      </c>
    </row>
    <row r="170" spans="2:4" x14ac:dyDescent="0.25">
      <c r="B170" s="28" t="str">
        <f t="shared" si="4"/>
        <v>C1</v>
      </c>
      <c r="C170" s="28">
        <v>193</v>
      </c>
      <c r="D170" s="37" t="str">
        <f t="shared" si="5"/>
        <v>Á</v>
      </c>
    </row>
    <row r="171" spans="2:4" x14ac:dyDescent="0.25">
      <c r="B171" s="28" t="str">
        <f t="shared" si="4"/>
        <v>C2</v>
      </c>
      <c r="C171" s="28">
        <v>194</v>
      </c>
      <c r="D171" s="37" t="str">
        <f t="shared" si="5"/>
        <v>Â</v>
      </c>
    </row>
    <row r="172" spans="2:4" x14ac:dyDescent="0.25">
      <c r="B172" s="28" t="str">
        <f t="shared" si="4"/>
        <v>C3</v>
      </c>
      <c r="C172" s="28">
        <v>195</v>
      </c>
      <c r="D172" s="37" t="str">
        <f t="shared" si="5"/>
        <v>Ã</v>
      </c>
    </row>
    <row r="173" spans="2:4" x14ac:dyDescent="0.25">
      <c r="B173" s="28" t="str">
        <f t="shared" si="4"/>
        <v>C4</v>
      </c>
      <c r="C173" s="28">
        <v>196</v>
      </c>
      <c r="D173" s="37" t="str">
        <f t="shared" si="5"/>
        <v>Ä</v>
      </c>
    </row>
    <row r="174" spans="2:4" x14ac:dyDescent="0.25">
      <c r="B174" s="28" t="str">
        <f t="shared" si="4"/>
        <v>C5</v>
      </c>
      <c r="C174" s="28">
        <v>197</v>
      </c>
      <c r="D174" s="37" t="str">
        <f t="shared" si="5"/>
        <v>Å</v>
      </c>
    </row>
    <row r="175" spans="2:4" x14ac:dyDescent="0.25">
      <c r="B175" s="28" t="str">
        <f t="shared" si="4"/>
        <v>C6</v>
      </c>
      <c r="C175" s="28">
        <v>198</v>
      </c>
      <c r="D175" s="37" t="str">
        <f t="shared" si="5"/>
        <v>Æ</v>
      </c>
    </row>
    <row r="176" spans="2:4" x14ac:dyDescent="0.25">
      <c r="B176" s="28" t="str">
        <f t="shared" si="4"/>
        <v>C7</v>
      </c>
      <c r="C176" s="28">
        <v>199</v>
      </c>
      <c r="D176" s="37" t="str">
        <f t="shared" si="5"/>
        <v>Ç</v>
      </c>
    </row>
    <row r="177" spans="2:4" x14ac:dyDescent="0.25">
      <c r="B177" s="28" t="str">
        <f t="shared" si="4"/>
        <v>C8</v>
      </c>
      <c r="C177" s="28">
        <v>200</v>
      </c>
      <c r="D177" s="37" t="str">
        <f t="shared" si="5"/>
        <v>È</v>
      </c>
    </row>
    <row r="178" spans="2:4" x14ac:dyDescent="0.25">
      <c r="B178" s="28" t="str">
        <f t="shared" si="4"/>
        <v>C9</v>
      </c>
      <c r="C178" s="28">
        <v>201</v>
      </c>
      <c r="D178" s="37" t="str">
        <f t="shared" si="5"/>
        <v>É</v>
      </c>
    </row>
    <row r="179" spans="2:4" x14ac:dyDescent="0.25">
      <c r="B179" s="28" t="str">
        <f t="shared" si="4"/>
        <v>CA</v>
      </c>
      <c r="C179" s="28">
        <v>202</v>
      </c>
      <c r="D179" s="37" t="str">
        <f t="shared" si="5"/>
        <v>Ê</v>
      </c>
    </row>
    <row r="180" spans="2:4" x14ac:dyDescent="0.25">
      <c r="B180" s="28" t="str">
        <f t="shared" si="4"/>
        <v>CB</v>
      </c>
      <c r="C180" s="28">
        <v>203</v>
      </c>
      <c r="D180" s="37" t="str">
        <f t="shared" si="5"/>
        <v>Ë</v>
      </c>
    </row>
    <row r="181" spans="2:4" x14ac:dyDescent="0.25">
      <c r="B181" s="28" t="str">
        <f t="shared" si="4"/>
        <v>CC</v>
      </c>
      <c r="C181" s="28">
        <v>204</v>
      </c>
      <c r="D181" s="37" t="str">
        <f t="shared" si="5"/>
        <v>Ì</v>
      </c>
    </row>
    <row r="182" spans="2:4" x14ac:dyDescent="0.25">
      <c r="B182" s="28" t="str">
        <f t="shared" si="4"/>
        <v>CD</v>
      </c>
      <c r="C182" s="28">
        <v>205</v>
      </c>
      <c r="D182" s="37" t="str">
        <f t="shared" si="5"/>
        <v>Í</v>
      </c>
    </row>
    <row r="183" spans="2:4" x14ac:dyDescent="0.25">
      <c r="B183" s="28" t="str">
        <f t="shared" si="4"/>
        <v>CE</v>
      </c>
      <c r="C183" s="28">
        <v>206</v>
      </c>
      <c r="D183" s="37" t="str">
        <f t="shared" si="5"/>
        <v>Î</v>
      </c>
    </row>
    <row r="184" spans="2:4" x14ac:dyDescent="0.25">
      <c r="B184" s="28" t="str">
        <f t="shared" si="4"/>
        <v>CF</v>
      </c>
      <c r="C184" s="28">
        <v>207</v>
      </c>
      <c r="D184" s="37" t="str">
        <f t="shared" si="5"/>
        <v>Ï</v>
      </c>
    </row>
    <row r="185" spans="2:4" x14ac:dyDescent="0.25">
      <c r="B185" s="28" t="str">
        <f t="shared" si="4"/>
        <v>D0</v>
      </c>
      <c r="C185" s="28">
        <v>208</v>
      </c>
      <c r="D185" s="37" t="str">
        <f t="shared" si="5"/>
        <v>Ð</v>
      </c>
    </row>
    <row r="186" spans="2:4" x14ac:dyDescent="0.25">
      <c r="B186" s="28" t="str">
        <f t="shared" si="4"/>
        <v>D1</v>
      </c>
      <c r="C186" s="28">
        <v>209</v>
      </c>
      <c r="D186" s="37" t="str">
        <f t="shared" si="5"/>
        <v>Ñ</v>
      </c>
    </row>
    <row r="187" spans="2:4" x14ac:dyDescent="0.25">
      <c r="B187" s="28" t="str">
        <f t="shared" si="4"/>
        <v>D2</v>
      </c>
      <c r="C187" s="28">
        <v>210</v>
      </c>
      <c r="D187" s="37" t="str">
        <f t="shared" si="5"/>
        <v>Ò</v>
      </c>
    </row>
    <row r="188" spans="2:4" x14ac:dyDescent="0.25">
      <c r="B188" s="28" t="str">
        <f t="shared" si="4"/>
        <v>D3</v>
      </c>
      <c r="C188" s="28">
        <v>211</v>
      </c>
      <c r="D188" s="37" t="str">
        <f t="shared" si="5"/>
        <v>Ó</v>
      </c>
    </row>
    <row r="189" spans="2:4" x14ac:dyDescent="0.25">
      <c r="B189" s="28" t="str">
        <f t="shared" si="4"/>
        <v>D4</v>
      </c>
      <c r="C189" s="28">
        <v>212</v>
      </c>
      <c r="D189" s="37" t="str">
        <f t="shared" si="5"/>
        <v>Ô</v>
      </c>
    </row>
    <row r="190" spans="2:4" x14ac:dyDescent="0.25">
      <c r="B190" s="28" t="str">
        <f t="shared" si="4"/>
        <v>D5</v>
      </c>
      <c r="C190" s="28">
        <v>213</v>
      </c>
      <c r="D190" s="37" t="str">
        <f t="shared" si="5"/>
        <v>Õ</v>
      </c>
    </row>
    <row r="191" spans="2:4" x14ac:dyDescent="0.25">
      <c r="B191" s="28" t="str">
        <f t="shared" si="4"/>
        <v>D6</v>
      </c>
      <c r="C191" s="28">
        <v>214</v>
      </c>
      <c r="D191" s="37" t="str">
        <f t="shared" si="5"/>
        <v>Ö</v>
      </c>
    </row>
    <row r="192" spans="2:4" x14ac:dyDescent="0.25">
      <c r="B192" s="28" t="str">
        <f t="shared" si="4"/>
        <v>D7</v>
      </c>
      <c r="C192" s="28">
        <v>215</v>
      </c>
      <c r="D192" s="37" t="str">
        <f t="shared" si="5"/>
        <v>×</v>
      </c>
    </row>
    <row r="193" spans="2:4" x14ac:dyDescent="0.25">
      <c r="B193" s="28" t="str">
        <f t="shared" si="4"/>
        <v>D8</v>
      </c>
      <c r="C193" s="28">
        <v>216</v>
      </c>
      <c r="D193" s="28" t="str">
        <f t="shared" si="5"/>
        <v>Ø</v>
      </c>
    </row>
    <row r="194" spans="2:4" x14ac:dyDescent="0.25">
      <c r="B194" s="28" t="str">
        <f t="shared" si="4"/>
        <v>D9</v>
      </c>
      <c r="C194" s="28">
        <v>217</v>
      </c>
      <c r="D194" s="37" t="str">
        <f t="shared" si="5"/>
        <v>Ù</v>
      </c>
    </row>
    <row r="195" spans="2:4" x14ac:dyDescent="0.25">
      <c r="B195" s="28" t="str">
        <f t="shared" si="4"/>
        <v>DA</v>
      </c>
      <c r="C195" s="28">
        <v>218</v>
      </c>
      <c r="D195" s="37" t="str">
        <f t="shared" si="5"/>
        <v>Ú</v>
      </c>
    </row>
    <row r="196" spans="2:4" x14ac:dyDescent="0.25">
      <c r="B196" s="28" t="str">
        <f t="shared" si="4"/>
        <v>DB</v>
      </c>
      <c r="C196" s="28">
        <v>219</v>
      </c>
      <c r="D196" s="37" t="str">
        <f t="shared" si="5"/>
        <v>Û</v>
      </c>
    </row>
    <row r="197" spans="2:4" x14ac:dyDescent="0.25">
      <c r="B197" s="28" t="str">
        <f t="shared" si="4"/>
        <v>DC</v>
      </c>
      <c r="C197" s="28">
        <v>220</v>
      </c>
      <c r="D197" s="37" t="str">
        <f t="shared" si="5"/>
        <v>Ü</v>
      </c>
    </row>
    <row r="198" spans="2:4" x14ac:dyDescent="0.25">
      <c r="B198" s="28" t="str">
        <f t="shared" si="4"/>
        <v>DD</v>
      </c>
      <c r="C198" s="28">
        <v>221</v>
      </c>
      <c r="D198" s="37" t="str">
        <f t="shared" si="5"/>
        <v>Ý</v>
      </c>
    </row>
    <row r="199" spans="2:4" x14ac:dyDescent="0.25">
      <c r="B199" s="28" t="str">
        <f t="shared" si="4"/>
        <v>DE</v>
      </c>
      <c r="C199" s="28">
        <v>222</v>
      </c>
      <c r="D199" s="37" t="str">
        <f t="shared" si="5"/>
        <v>Þ</v>
      </c>
    </row>
    <row r="200" spans="2:4" x14ac:dyDescent="0.25">
      <c r="B200" s="28" t="str">
        <f t="shared" si="4"/>
        <v>DF</v>
      </c>
      <c r="C200" s="28">
        <v>223</v>
      </c>
      <c r="D200" s="37" t="str">
        <f t="shared" si="5"/>
        <v>ß</v>
      </c>
    </row>
    <row r="201" spans="2:4" x14ac:dyDescent="0.25">
      <c r="B201" s="28" t="str">
        <f t="shared" si="4"/>
        <v>E0</v>
      </c>
      <c r="C201" s="28">
        <v>224</v>
      </c>
      <c r="D201" s="37" t="str">
        <f t="shared" si="5"/>
        <v>à</v>
      </c>
    </row>
    <row r="202" spans="2:4" x14ac:dyDescent="0.25">
      <c r="B202" s="28" t="str">
        <f t="shared" si="4"/>
        <v>E1</v>
      </c>
      <c r="C202" s="28">
        <v>225</v>
      </c>
      <c r="D202" s="37" t="str">
        <f t="shared" si="5"/>
        <v>á</v>
      </c>
    </row>
    <row r="203" spans="2:4" x14ac:dyDescent="0.25">
      <c r="B203" s="28" t="str">
        <f t="shared" si="4"/>
        <v>E2</v>
      </c>
      <c r="C203" s="28">
        <v>226</v>
      </c>
      <c r="D203" s="37" t="str">
        <f t="shared" si="5"/>
        <v>â</v>
      </c>
    </row>
    <row r="204" spans="2:4" x14ac:dyDescent="0.25">
      <c r="B204" s="28" t="str">
        <f t="shared" si="4"/>
        <v>E3</v>
      </c>
      <c r="C204" s="28">
        <v>227</v>
      </c>
      <c r="D204" s="37" t="str">
        <f t="shared" si="5"/>
        <v>ã</v>
      </c>
    </row>
    <row r="205" spans="2:4" x14ac:dyDescent="0.25">
      <c r="B205" s="28" t="str">
        <f t="shared" ref="B205:B268" si="6">DEC2HEX(C205)</f>
        <v>E4</v>
      </c>
      <c r="C205" s="28">
        <v>228</v>
      </c>
      <c r="D205" s="37" t="str">
        <f t="shared" ref="D205:D268" si="7">CHAR(C205)</f>
        <v>ä</v>
      </c>
    </row>
    <row r="206" spans="2:4" x14ac:dyDescent="0.25">
      <c r="B206" s="28" t="str">
        <f t="shared" si="6"/>
        <v>E5</v>
      </c>
      <c r="C206" s="28">
        <v>229</v>
      </c>
      <c r="D206" s="37" t="str">
        <f t="shared" si="7"/>
        <v>å</v>
      </c>
    </row>
    <row r="207" spans="2:4" x14ac:dyDescent="0.25">
      <c r="B207" s="28" t="str">
        <f t="shared" si="6"/>
        <v>E6</v>
      </c>
      <c r="C207" s="28">
        <v>230</v>
      </c>
      <c r="D207" s="37" t="str">
        <f t="shared" si="7"/>
        <v>æ</v>
      </c>
    </row>
    <row r="208" spans="2:4" x14ac:dyDescent="0.25">
      <c r="B208" s="28" t="str">
        <f t="shared" si="6"/>
        <v>E7</v>
      </c>
      <c r="C208" s="28">
        <v>231</v>
      </c>
      <c r="D208" s="37" t="str">
        <f t="shared" si="7"/>
        <v>ç</v>
      </c>
    </row>
    <row r="209" spans="2:4" x14ac:dyDescent="0.25">
      <c r="B209" s="28" t="str">
        <f t="shared" si="6"/>
        <v>E8</v>
      </c>
      <c r="C209" s="28">
        <v>232</v>
      </c>
      <c r="D209" s="37" t="str">
        <f t="shared" si="7"/>
        <v>è</v>
      </c>
    </row>
    <row r="210" spans="2:4" x14ac:dyDescent="0.25">
      <c r="B210" s="28" t="str">
        <f t="shared" si="6"/>
        <v>E9</v>
      </c>
      <c r="C210" s="28">
        <v>233</v>
      </c>
      <c r="D210" s="37" t="str">
        <f t="shared" si="7"/>
        <v>é</v>
      </c>
    </row>
    <row r="211" spans="2:4" x14ac:dyDescent="0.25">
      <c r="B211" s="28" t="str">
        <f t="shared" si="6"/>
        <v>EA</v>
      </c>
      <c r="C211" s="28">
        <v>234</v>
      </c>
      <c r="D211" s="37" t="str">
        <f t="shared" si="7"/>
        <v>ê</v>
      </c>
    </row>
    <row r="212" spans="2:4" x14ac:dyDescent="0.25">
      <c r="B212" s="28" t="str">
        <f t="shared" si="6"/>
        <v>EB</v>
      </c>
      <c r="C212" s="28">
        <v>235</v>
      </c>
      <c r="D212" s="37" t="str">
        <f t="shared" si="7"/>
        <v>ë</v>
      </c>
    </row>
    <row r="213" spans="2:4" x14ac:dyDescent="0.25">
      <c r="B213" s="28" t="str">
        <f t="shared" si="6"/>
        <v>EC</v>
      </c>
      <c r="C213" s="28">
        <v>236</v>
      </c>
      <c r="D213" s="37" t="str">
        <f t="shared" si="7"/>
        <v>ì</v>
      </c>
    </row>
    <row r="214" spans="2:4" x14ac:dyDescent="0.25">
      <c r="B214" s="28" t="str">
        <f t="shared" si="6"/>
        <v>ED</v>
      </c>
      <c r="C214" s="28">
        <v>237</v>
      </c>
      <c r="D214" s="37" t="str">
        <f t="shared" si="7"/>
        <v>í</v>
      </c>
    </row>
    <row r="215" spans="2:4" x14ac:dyDescent="0.25">
      <c r="B215" s="28" t="str">
        <f t="shared" si="6"/>
        <v>EE</v>
      </c>
      <c r="C215" s="28">
        <v>238</v>
      </c>
      <c r="D215" s="37" t="str">
        <f t="shared" si="7"/>
        <v>î</v>
      </c>
    </row>
    <row r="216" spans="2:4" x14ac:dyDescent="0.25">
      <c r="B216" s="28" t="str">
        <f t="shared" si="6"/>
        <v>EF</v>
      </c>
      <c r="C216" s="28">
        <v>239</v>
      </c>
      <c r="D216" s="37" t="str">
        <f t="shared" si="7"/>
        <v>ï</v>
      </c>
    </row>
    <row r="217" spans="2:4" x14ac:dyDescent="0.25">
      <c r="B217" s="28" t="str">
        <f t="shared" si="6"/>
        <v>F0</v>
      </c>
      <c r="C217" s="28">
        <v>240</v>
      </c>
      <c r="D217" s="37" t="str">
        <f t="shared" si="7"/>
        <v>ð</v>
      </c>
    </row>
    <row r="218" spans="2:4" x14ac:dyDescent="0.25">
      <c r="B218" s="28" t="str">
        <f t="shared" si="6"/>
        <v>F1</v>
      </c>
      <c r="C218" s="28">
        <v>241</v>
      </c>
      <c r="D218" s="37" t="str">
        <f t="shared" si="7"/>
        <v>ñ</v>
      </c>
    </row>
    <row r="219" spans="2:4" x14ac:dyDescent="0.25">
      <c r="B219" s="28" t="str">
        <f t="shared" si="6"/>
        <v>F2</v>
      </c>
      <c r="C219" s="28">
        <v>242</v>
      </c>
      <c r="D219" s="37" t="str">
        <f t="shared" si="7"/>
        <v>ò</v>
      </c>
    </row>
    <row r="220" spans="2:4" x14ac:dyDescent="0.25">
      <c r="B220" s="28" t="str">
        <f t="shared" si="6"/>
        <v>F3</v>
      </c>
      <c r="C220" s="28">
        <v>243</v>
      </c>
      <c r="D220" s="37" t="str">
        <f t="shared" si="7"/>
        <v>ó</v>
      </c>
    </row>
    <row r="221" spans="2:4" x14ac:dyDescent="0.25">
      <c r="B221" s="28" t="str">
        <f t="shared" si="6"/>
        <v>F4</v>
      </c>
      <c r="C221" s="28">
        <v>244</v>
      </c>
      <c r="D221" s="37" t="str">
        <f t="shared" si="7"/>
        <v>ô</v>
      </c>
    </row>
    <row r="222" spans="2:4" x14ac:dyDescent="0.25">
      <c r="B222" s="28" t="str">
        <f t="shared" si="6"/>
        <v>F5</v>
      </c>
      <c r="C222" s="28">
        <v>245</v>
      </c>
      <c r="D222" s="37" t="str">
        <f t="shared" si="7"/>
        <v>õ</v>
      </c>
    </row>
    <row r="223" spans="2:4" x14ac:dyDescent="0.25">
      <c r="B223" s="28" t="str">
        <f t="shared" si="6"/>
        <v>F6</v>
      </c>
      <c r="C223" s="28">
        <v>246</v>
      </c>
      <c r="D223" s="37" t="str">
        <f t="shared" si="7"/>
        <v>ö</v>
      </c>
    </row>
    <row r="224" spans="2:4" x14ac:dyDescent="0.25">
      <c r="B224" s="28" t="str">
        <f t="shared" si="6"/>
        <v>F7</v>
      </c>
      <c r="C224" s="28">
        <v>247</v>
      </c>
      <c r="D224" s="37" t="str">
        <f t="shared" si="7"/>
        <v>÷</v>
      </c>
    </row>
    <row r="225" spans="2:4" x14ac:dyDescent="0.25">
      <c r="B225" s="28" t="str">
        <f t="shared" si="6"/>
        <v>F8</v>
      </c>
      <c r="C225" s="28">
        <v>248</v>
      </c>
      <c r="D225" s="37" t="str">
        <f t="shared" si="7"/>
        <v>ø</v>
      </c>
    </row>
    <row r="226" spans="2:4" x14ac:dyDescent="0.25">
      <c r="B226" s="28" t="str">
        <f t="shared" si="6"/>
        <v>F9</v>
      </c>
      <c r="C226" s="28">
        <v>249</v>
      </c>
      <c r="D226" s="37" t="str">
        <f t="shared" si="7"/>
        <v>ù</v>
      </c>
    </row>
    <row r="227" spans="2:4" x14ac:dyDescent="0.25">
      <c r="B227" s="28" t="str">
        <f t="shared" si="6"/>
        <v>FA</v>
      </c>
      <c r="C227" s="28">
        <v>250</v>
      </c>
      <c r="D227" s="37" t="str">
        <f t="shared" si="7"/>
        <v>ú</v>
      </c>
    </row>
    <row r="228" spans="2:4" x14ac:dyDescent="0.25">
      <c r="B228" s="28" t="str">
        <f t="shared" si="6"/>
        <v>FB</v>
      </c>
      <c r="C228" s="28">
        <v>251</v>
      </c>
      <c r="D228" s="37" t="str">
        <f t="shared" si="7"/>
        <v>û</v>
      </c>
    </row>
    <row r="229" spans="2:4" x14ac:dyDescent="0.25">
      <c r="B229" s="28" t="str">
        <f t="shared" si="6"/>
        <v>FC</v>
      </c>
      <c r="C229" s="28">
        <v>252</v>
      </c>
      <c r="D229" s="28" t="str">
        <f t="shared" si="7"/>
        <v>ü</v>
      </c>
    </row>
    <row r="230" spans="2:4" x14ac:dyDescent="0.25">
      <c r="B230" s="28" t="str">
        <f t="shared" si="6"/>
        <v>FD</v>
      </c>
      <c r="C230" s="28">
        <v>253</v>
      </c>
      <c r="D230" s="37" t="str">
        <f t="shared" si="7"/>
        <v>ý</v>
      </c>
    </row>
    <row r="231" spans="2:4" x14ac:dyDescent="0.25">
      <c r="B231" s="28" t="str">
        <f t="shared" si="6"/>
        <v>FE</v>
      </c>
      <c r="C231" s="28">
        <v>254</v>
      </c>
      <c r="D231" s="37" t="str">
        <f t="shared" si="7"/>
        <v>þ</v>
      </c>
    </row>
    <row r="232" spans="2:4" x14ac:dyDescent="0.25">
      <c r="B232" s="28" t="str">
        <f t="shared" si="6"/>
        <v>FF</v>
      </c>
      <c r="C232" s="28">
        <v>255</v>
      </c>
      <c r="D232" s="37" t="str">
        <f t="shared" si="7"/>
        <v>ÿ</v>
      </c>
    </row>
    <row r="233" spans="2:4" x14ac:dyDescent="0.25">
      <c r="B233" s="28" t="str">
        <f t="shared" si="6"/>
        <v>100</v>
      </c>
      <c r="C233" s="28">
        <v>256</v>
      </c>
      <c r="D233" s="37" t="e">
        <f t="shared" si="7"/>
        <v>#VALUE!</v>
      </c>
    </row>
    <row r="234" spans="2:4" x14ac:dyDescent="0.25">
      <c r="B234" s="28" t="str">
        <f t="shared" si="6"/>
        <v>101</v>
      </c>
      <c r="C234" s="28">
        <v>257</v>
      </c>
      <c r="D234" s="37" t="e">
        <f t="shared" si="7"/>
        <v>#VALUE!</v>
      </c>
    </row>
    <row r="235" spans="2:4" x14ac:dyDescent="0.25">
      <c r="B235" s="28" t="str">
        <f t="shared" si="6"/>
        <v>102</v>
      </c>
      <c r="C235" s="28">
        <v>258</v>
      </c>
      <c r="D235" s="37" t="e">
        <f t="shared" si="7"/>
        <v>#VALUE!</v>
      </c>
    </row>
    <row r="236" spans="2:4" x14ac:dyDescent="0.25">
      <c r="B236" s="28" t="str">
        <f t="shared" si="6"/>
        <v>103</v>
      </c>
      <c r="C236" s="28">
        <v>259</v>
      </c>
      <c r="D236" s="37" t="e">
        <f t="shared" si="7"/>
        <v>#VALUE!</v>
      </c>
    </row>
    <row r="237" spans="2:4" x14ac:dyDescent="0.25">
      <c r="B237" s="28" t="str">
        <f t="shared" si="6"/>
        <v>104</v>
      </c>
      <c r="C237" s="28">
        <v>260</v>
      </c>
      <c r="D237" s="37" t="e">
        <f t="shared" si="7"/>
        <v>#VALUE!</v>
      </c>
    </row>
    <row r="238" spans="2:4" x14ac:dyDescent="0.25">
      <c r="B238" s="28" t="str">
        <f t="shared" si="6"/>
        <v>105</v>
      </c>
      <c r="C238" s="28">
        <v>261</v>
      </c>
      <c r="D238" s="37" t="e">
        <f t="shared" si="7"/>
        <v>#VALUE!</v>
      </c>
    </row>
    <row r="239" spans="2:4" x14ac:dyDescent="0.25">
      <c r="B239" s="28" t="str">
        <f t="shared" si="6"/>
        <v>106</v>
      </c>
      <c r="C239" s="28">
        <v>262</v>
      </c>
      <c r="D239" s="37" t="e">
        <f t="shared" si="7"/>
        <v>#VALUE!</v>
      </c>
    </row>
    <row r="240" spans="2:4" x14ac:dyDescent="0.25">
      <c r="B240" s="28" t="str">
        <f t="shared" si="6"/>
        <v>107</v>
      </c>
      <c r="C240" s="28">
        <v>263</v>
      </c>
      <c r="D240" s="37" t="e">
        <f t="shared" si="7"/>
        <v>#VALUE!</v>
      </c>
    </row>
    <row r="241" spans="2:4" x14ac:dyDescent="0.25">
      <c r="B241" s="28" t="str">
        <f t="shared" si="6"/>
        <v>108</v>
      </c>
      <c r="C241" s="28">
        <v>264</v>
      </c>
      <c r="D241" s="37" t="e">
        <f t="shared" si="7"/>
        <v>#VALUE!</v>
      </c>
    </row>
    <row r="242" spans="2:4" x14ac:dyDescent="0.25">
      <c r="B242" s="28" t="str">
        <f t="shared" si="6"/>
        <v>109</v>
      </c>
      <c r="C242" s="28">
        <v>265</v>
      </c>
      <c r="D242" s="37" t="e">
        <f t="shared" si="7"/>
        <v>#VALUE!</v>
      </c>
    </row>
    <row r="243" spans="2:4" x14ac:dyDescent="0.25">
      <c r="B243" s="28" t="str">
        <f t="shared" si="6"/>
        <v>10A</v>
      </c>
      <c r="C243" s="28">
        <v>266</v>
      </c>
      <c r="D243" s="37" t="e">
        <f t="shared" si="7"/>
        <v>#VALUE!</v>
      </c>
    </row>
    <row r="244" spans="2:4" x14ac:dyDescent="0.25">
      <c r="B244" s="28" t="str">
        <f t="shared" si="6"/>
        <v>10B</v>
      </c>
      <c r="C244" s="28">
        <v>267</v>
      </c>
      <c r="D244" s="37" t="e">
        <f t="shared" si="7"/>
        <v>#VALUE!</v>
      </c>
    </row>
    <row r="245" spans="2:4" x14ac:dyDescent="0.25">
      <c r="B245" s="28" t="str">
        <f t="shared" si="6"/>
        <v>10C</v>
      </c>
      <c r="C245" s="28">
        <v>268</v>
      </c>
      <c r="D245" s="37" t="e">
        <f t="shared" si="7"/>
        <v>#VALUE!</v>
      </c>
    </row>
    <row r="246" spans="2:4" x14ac:dyDescent="0.25">
      <c r="B246" s="28" t="str">
        <f t="shared" si="6"/>
        <v>10D</v>
      </c>
      <c r="C246" s="28">
        <v>269</v>
      </c>
      <c r="D246" s="37" t="e">
        <f t="shared" si="7"/>
        <v>#VALUE!</v>
      </c>
    </row>
    <row r="247" spans="2:4" x14ac:dyDescent="0.25">
      <c r="B247" s="28" t="str">
        <f t="shared" si="6"/>
        <v>10E</v>
      </c>
      <c r="C247" s="28">
        <v>270</v>
      </c>
      <c r="D247" s="37" t="e">
        <f t="shared" si="7"/>
        <v>#VALUE!</v>
      </c>
    </row>
    <row r="248" spans="2:4" x14ac:dyDescent="0.25">
      <c r="B248" s="28" t="str">
        <f t="shared" si="6"/>
        <v>10F</v>
      </c>
      <c r="C248" s="28">
        <v>271</v>
      </c>
      <c r="D248" s="37" t="e">
        <f t="shared" si="7"/>
        <v>#VALUE!</v>
      </c>
    </row>
    <row r="249" spans="2:4" x14ac:dyDescent="0.25">
      <c r="B249" s="28" t="str">
        <f t="shared" si="6"/>
        <v>110</v>
      </c>
      <c r="C249" s="28">
        <v>272</v>
      </c>
      <c r="D249" s="37" t="e">
        <f t="shared" si="7"/>
        <v>#VALUE!</v>
      </c>
    </row>
    <row r="250" spans="2:4" x14ac:dyDescent="0.25">
      <c r="B250" s="28" t="str">
        <f t="shared" si="6"/>
        <v>111</v>
      </c>
      <c r="C250" s="28">
        <v>273</v>
      </c>
      <c r="D250" s="37" t="e">
        <f t="shared" si="7"/>
        <v>#VALUE!</v>
      </c>
    </row>
    <row r="251" spans="2:4" x14ac:dyDescent="0.25">
      <c r="B251" s="28" t="str">
        <f t="shared" si="6"/>
        <v>112</v>
      </c>
      <c r="C251" s="28">
        <v>274</v>
      </c>
      <c r="D251" s="37" t="e">
        <f t="shared" si="7"/>
        <v>#VALUE!</v>
      </c>
    </row>
    <row r="252" spans="2:4" x14ac:dyDescent="0.25">
      <c r="B252" s="28" t="str">
        <f t="shared" si="6"/>
        <v>113</v>
      </c>
      <c r="C252" s="28">
        <v>275</v>
      </c>
      <c r="D252" s="37" t="e">
        <f t="shared" si="7"/>
        <v>#VALUE!</v>
      </c>
    </row>
    <row r="253" spans="2:4" x14ac:dyDescent="0.25">
      <c r="B253" s="28" t="str">
        <f t="shared" si="6"/>
        <v>114</v>
      </c>
      <c r="C253" s="28">
        <v>276</v>
      </c>
      <c r="D253" s="37" t="e">
        <f t="shared" si="7"/>
        <v>#VALUE!</v>
      </c>
    </row>
    <row r="254" spans="2:4" x14ac:dyDescent="0.25">
      <c r="B254" s="28" t="str">
        <f t="shared" si="6"/>
        <v>115</v>
      </c>
      <c r="C254" s="28">
        <v>277</v>
      </c>
      <c r="D254" s="37" t="e">
        <f t="shared" si="7"/>
        <v>#VALUE!</v>
      </c>
    </row>
    <row r="255" spans="2:4" x14ac:dyDescent="0.25">
      <c r="B255" s="28" t="str">
        <f t="shared" si="6"/>
        <v>116</v>
      </c>
      <c r="C255" s="28">
        <v>278</v>
      </c>
      <c r="D255" s="37" t="e">
        <f t="shared" si="7"/>
        <v>#VALUE!</v>
      </c>
    </row>
    <row r="256" spans="2:4" x14ac:dyDescent="0.25">
      <c r="B256" s="28" t="str">
        <f t="shared" si="6"/>
        <v>117</v>
      </c>
      <c r="C256" s="28">
        <v>279</v>
      </c>
      <c r="D256" s="37" t="e">
        <f t="shared" si="7"/>
        <v>#VALUE!</v>
      </c>
    </row>
    <row r="257" spans="2:4" x14ac:dyDescent="0.25">
      <c r="B257" s="28" t="str">
        <f t="shared" si="6"/>
        <v>118</v>
      </c>
      <c r="C257" s="28">
        <v>280</v>
      </c>
      <c r="D257" s="37" t="e">
        <f t="shared" si="7"/>
        <v>#VALUE!</v>
      </c>
    </row>
    <row r="258" spans="2:4" x14ac:dyDescent="0.25">
      <c r="B258" s="28" t="str">
        <f t="shared" si="6"/>
        <v>119</v>
      </c>
      <c r="C258" s="28">
        <v>281</v>
      </c>
      <c r="D258" s="37" t="e">
        <f t="shared" si="7"/>
        <v>#VALUE!</v>
      </c>
    </row>
    <row r="259" spans="2:4" x14ac:dyDescent="0.25">
      <c r="B259" s="28" t="str">
        <f t="shared" si="6"/>
        <v>11A</v>
      </c>
      <c r="C259" s="28">
        <v>282</v>
      </c>
      <c r="D259" s="37" t="e">
        <f t="shared" si="7"/>
        <v>#VALUE!</v>
      </c>
    </row>
    <row r="260" spans="2:4" x14ac:dyDescent="0.25">
      <c r="B260" s="28" t="str">
        <f t="shared" si="6"/>
        <v>11B</v>
      </c>
      <c r="C260" s="28">
        <v>283</v>
      </c>
      <c r="D260" s="37" t="e">
        <f t="shared" si="7"/>
        <v>#VALUE!</v>
      </c>
    </row>
    <row r="261" spans="2:4" x14ac:dyDescent="0.25">
      <c r="B261" s="28" t="str">
        <f t="shared" si="6"/>
        <v>11C</v>
      </c>
      <c r="C261" s="28">
        <v>284</v>
      </c>
      <c r="D261" s="37" t="e">
        <f t="shared" si="7"/>
        <v>#VALUE!</v>
      </c>
    </row>
    <row r="262" spans="2:4" x14ac:dyDescent="0.25">
      <c r="B262" s="28" t="str">
        <f t="shared" si="6"/>
        <v>11D</v>
      </c>
      <c r="C262" s="28">
        <v>285</v>
      </c>
      <c r="D262" s="37" t="e">
        <f t="shared" si="7"/>
        <v>#VALUE!</v>
      </c>
    </row>
    <row r="263" spans="2:4" x14ac:dyDescent="0.25">
      <c r="B263" s="28" t="str">
        <f t="shared" si="6"/>
        <v>11E</v>
      </c>
      <c r="C263" s="28">
        <v>286</v>
      </c>
      <c r="D263" s="37" t="e">
        <f t="shared" si="7"/>
        <v>#VALUE!</v>
      </c>
    </row>
    <row r="264" spans="2:4" x14ac:dyDescent="0.25">
      <c r="B264" s="28" t="str">
        <f t="shared" si="6"/>
        <v>11F</v>
      </c>
      <c r="C264" s="28">
        <v>287</v>
      </c>
      <c r="D264" s="37" t="e">
        <f t="shared" si="7"/>
        <v>#VALUE!</v>
      </c>
    </row>
    <row r="265" spans="2:4" x14ac:dyDescent="0.25">
      <c r="B265" s="28" t="str">
        <f t="shared" si="6"/>
        <v>120</v>
      </c>
      <c r="C265" s="28">
        <v>288</v>
      </c>
      <c r="D265" s="37" t="e">
        <f t="shared" si="7"/>
        <v>#VALUE!</v>
      </c>
    </row>
    <row r="266" spans="2:4" x14ac:dyDescent="0.25">
      <c r="B266" s="28" t="str">
        <f t="shared" si="6"/>
        <v>121</v>
      </c>
      <c r="C266" s="28">
        <v>289</v>
      </c>
      <c r="D266" s="37" t="e">
        <f t="shared" si="7"/>
        <v>#VALUE!</v>
      </c>
    </row>
    <row r="267" spans="2:4" x14ac:dyDescent="0.25">
      <c r="B267" s="28" t="str">
        <f t="shared" si="6"/>
        <v>122</v>
      </c>
      <c r="C267" s="28">
        <v>290</v>
      </c>
      <c r="D267" s="37" t="e">
        <f t="shared" si="7"/>
        <v>#VALUE!</v>
      </c>
    </row>
    <row r="268" spans="2:4" x14ac:dyDescent="0.25">
      <c r="B268" s="28" t="str">
        <f t="shared" si="6"/>
        <v>123</v>
      </c>
      <c r="C268" s="28">
        <v>291</v>
      </c>
      <c r="D268" s="37" t="e">
        <f t="shared" si="7"/>
        <v>#VALUE!</v>
      </c>
    </row>
    <row r="269" spans="2:4" x14ac:dyDescent="0.25">
      <c r="B269" s="28" t="str">
        <f t="shared" ref="B269:B283" si="8">DEC2HEX(C269)</f>
        <v>124</v>
      </c>
      <c r="C269" s="28">
        <v>292</v>
      </c>
      <c r="D269" s="37" t="e">
        <f t="shared" ref="D269:D283" si="9">CHAR(C269)</f>
        <v>#VALUE!</v>
      </c>
    </row>
    <row r="270" spans="2:4" x14ac:dyDescent="0.25">
      <c r="B270" s="28" t="str">
        <f t="shared" si="8"/>
        <v>125</v>
      </c>
      <c r="C270" s="28">
        <v>293</v>
      </c>
      <c r="D270" s="37" t="e">
        <f t="shared" si="9"/>
        <v>#VALUE!</v>
      </c>
    </row>
    <row r="271" spans="2:4" x14ac:dyDescent="0.25">
      <c r="B271" s="28" t="str">
        <f t="shared" si="8"/>
        <v>126</v>
      </c>
      <c r="C271" s="28">
        <v>294</v>
      </c>
      <c r="D271" s="37" t="e">
        <f t="shared" si="9"/>
        <v>#VALUE!</v>
      </c>
    </row>
    <row r="272" spans="2:4" x14ac:dyDescent="0.25">
      <c r="B272" s="28" t="str">
        <f t="shared" si="8"/>
        <v>127</v>
      </c>
      <c r="C272" s="28">
        <v>295</v>
      </c>
      <c r="D272" s="37" t="e">
        <f t="shared" si="9"/>
        <v>#VALUE!</v>
      </c>
    </row>
    <row r="273" spans="2:4" x14ac:dyDescent="0.25">
      <c r="B273" s="28" t="str">
        <f t="shared" si="8"/>
        <v>128</v>
      </c>
      <c r="C273" s="28">
        <v>296</v>
      </c>
      <c r="D273" s="37" t="e">
        <f t="shared" si="9"/>
        <v>#VALUE!</v>
      </c>
    </row>
    <row r="274" spans="2:4" x14ac:dyDescent="0.25">
      <c r="B274" s="28" t="str">
        <f t="shared" si="8"/>
        <v>129</v>
      </c>
      <c r="C274" s="28">
        <v>297</v>
      </c>
      <c r="D274" s="37" t="e">
        <f t="shared" si="9"/>
        <v>#VALUE!</v>
      </c>
    </row>
    <row r="275" spans="2:4" x14ac:dyDescent="0.25">
      <c r="B275" s="28" t="str">
        <f t="shared" si="8"/>
        <v>12A</v>
      </c>
      <c r="C275" s="28">
        <v>298</v>
      </c>
      <c r="D275" s="37" t="e">
        <f t="shared" si="9"/>
        <v>#VALUE!</v>
      </c>
    </row>
    <row r="276" spans="2:4" x14ac:dyDescent="0.25">
      <c r="B276" s="28" t="str">
        <f t="shared" si="8"/>
        <v>12B</v>
      </c>
      <c r="C276" s="28">
        <v>299</v>
      </c>
      <c r="D276" s="37" t="e">
        <f t="shared" si="9"/>
        <v>#VALUE!</v>
      </c>
    </row>
    <row r="277" spans="2:4" x14ac:dyDescent="0.25">
      <c r="B277" s="28" t="str">
        <f t="shared" si="8"/>
        <v>12C</v>
      </c>
      <c r="C277" s="28">
        <v>300</v>
      </c>
      <c r="D277" s="37" t="e">
        <f t="shared" si="9"/>
        <v>#VALUE!</v>
      </c>
    </row>
    <row r="278" spans="2:4" x14ac:dyDescent="0.25">
      <c r="B278" s="28" t="str">
        <f t="shared" si="8"/>
        <v>12D</v>
      </c>
      <c r="C278" s="28">
        <v>301</v>
      </c>
      <c r="D278" s="37" t="e">
        <f t="shared" si="9"/>
        <v>#VALUE!</v>
      </c>
    </row>
    <row r="279" spans="2:4" x14ac:dyDescent="0.25">
      <c r="B279" s="28" t="str">
        <f t="shared" si="8"/>
        <v>12E</v>
      </c>
      <c r="C279" s="28">
        <v>302</v>
      </c>
      <c r="D279" s="37" t="e">
        <f t="shared" si="9"/>
        <v>#VALUE!</v>
      </c>
    </row>
    <row r="280" spans="2:4" x14ac:dyDescent="0.25">
      <c r="B280" s="28" t="str">
        <f t="shared" si="8"/>
        <v>12F</v>
      </c>
      <c r="C280" s="28">
        <v>303</v>
      </c>
      <c r="D280" s="37" t="e">
        <f t="shared" si="9"/>
        <v>#VALUE!</v>
      </c>
    </row>
    <row r="281" spans="2:4" x14ac:dyDescent="0.25">
      <c r="B281" s="28" t="str">
        <f t="shared" si="8"/>
        <v>130</v>
      </c>
      <c r="C281" s="28">
        <v>304</v>
      </c>
      <c r="D281" s="37" t="e">
        <f t="shared" si="9"/>
        <v>#VALUE!</v>
      </c>
    </row>
    <row r="282" spans="2:4" x14ac:dyDescent="0.25">
      <c r="B282" s="28" t="str">
        <f t="shared" si="8"/>
        <v>131</v>
      </c>
      <c r="C282" s="28">
        <v>305</v>
      </c>
      <c r="D282" s="37" t="e">
        <f t="shared" si="9"/>
        <v>#VALUE!</v>
      </c>
    </row>
    <row r="283" spans="2:4" x14ac:dyDescent="0.25">
      <c r="B283" s="28" t="str">
        <f t="shared" si="8"/>
        <v>132</v>
      </c>
      <c r="C283" s="28">
        <v>306</v>
      </c>
      <c r="D283" s="37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2024-04-24T01:53:49Z</dcterms:modified>
</cp:coreProperties>
</file>