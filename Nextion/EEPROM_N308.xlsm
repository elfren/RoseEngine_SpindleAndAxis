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RE_307\"/>
    </mc:Choice>
  </mc:AlternateContent>
  <xr:revisionPtr revIDLastSave="0" documentId="13_ncr:1_{E7BC1DF8-72E3-47C4-A6F3-7E28722C4DC3}" xr6:coauthVersionLast="47" xr6:coauthVersionMax="47" xr10:uidLastSave="{00000000-0000-0000-0000-000000000000}"/>
  <bookViews>
    <workbookView xWindow="30660" yWindow="1560" windowWidth="22845" windowHeight="13650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File'!$A$1:$Q$556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13" l="1"/>
  <c r="H4" i="13"/>
  <c r="J5" i="13"/>
  <c r="H5" i="13"/>
  <c r="O69" i="10"/>
  <c r="Q69" i="10"/>
  <c r="R72" i="10"/>
  <c r="L146" i="13"/>
  <c r="M146" i="13"/>
  <c r="V337" i="13"/>
  <c r="V411" i="13"/>
  <c r="V295" i="13"/>
  <c r="V377" i="13"/>
  <c r="V4" i="13"/>
  <c r="V349" i="13"/>
  <c r="V350" i="13"/>
  <c r="V50" i="13"/>
  <c r="V112" i="13"/>
  <c r="V341" i="13"/>
  <c r="V67" i="13"/>
  <c r="V35" i="13"/>
  <c r="V82" i="13"/>
  <c r="V291" i="13"/>
  <c r="V130" i="13"/>
  <c r="V398" i="13"/>
  <c r="V66" i="13"/>
  <c r="V133" i="13"/>
  <c r="V142" i="13"/>
  <c r="V131" i="13"/>
  <c r="V329" i="13"/>
  <c r="V79" i="13"/>
  <c r="V391" i="13"/>
  <c r="V64" i="13"/>
  <c r="V151" i="13"/>
  <c r="V137" i="13"/>
  <c r="V138" i="13"/>
  <c r="V62" i="13"/>
  <c r="V78" i="13"/>
  <c r="V345" i="13"/>
  <c r="V152" i="13"/>
  <c r="V68" i="13"/>
  <c r="V71" i="13"/>
  <c r="V61" i="13"/>
  <c r="V76" i="13"/>
  <c r="V361" i="13"/>
  <c r="V41" i="13"/>
  <c r="V147" i="13"/>
  <c r="V148" i="13"/>
  <c r="V110" i="13"/>
  <c r="V108" i="13"/>
  <c r="V111" i="13"/>
  <c r="V175" i="13"/>
  <c r="V77" i="13"/>
  <c r="V369" i="13"/>
  <c r="V42" i="13"/>
  <c r="V107" i="13"/>
  <c r="V104" i="13"/>
  <c r="V128" i="13"/>
  <c r="V162" i="13"/>
  <c r="V129" i="13"/>
  <c r="V172" i="13"/>
  <c r="V81" i="13"/>
  <c r="V296" i="13"/>
  <c r="V407" i="13"/>
  <c r="V297" i="13"/>
  <c r="V359" i="13"/>
  <c r="V360" i="13"/>
  <c r="V117" i="13"/>
  <c r="V115" i="13"/>
  <c r="V116" i="13"/>
  <c r="V114" i="13"/>
  <c r="V155" i="13"/>
  <c r="V154" i="13"/>
  <c r="V101" i="13"/>
  <c r="V100" i="13"/>
  <c r="V388" i="13"/>
  <c r="V157" i="13"/>
  <c r="V156" i="13"/>
  <c r="V378" i="13"/>
  <c r="V109" i="13"/>
  <c r="V298" i="13"/>
  <c r="V414" i="13"/>
  <c r="V299" i="13"/>
  <c r="V380" i="13"/>
  <c r="V327" i="13"/>
  <c r="V190" i="13"/>
  <c r="V191" i="13"/>
  <c r="V192" i="13"/>
  <c r="V193" i="13"/>
  <c r="V196" i="13"/>
  <c r="V197" i="13"/>
  <c r="V194" i="13"/>
  <c r="V195" i="13"/>
  <c r="V28" i="13"/>
  <c r="V36" i="13"/>
  <c r="V300" i="13"/>
  <c r="V408" i="13"/>
  <c r="V301" i="13"/>
  <c r="V347" i="13"/>
  <c r="V320" i="13"/>
  <c r="V404" i="13"/>
  <c r="V397" i="13"/>
  <c r="V367" i="13"/>
  <c r="V375" i="13"/>
  <c r="V386" i="13"/>
  <c r="V321" i="13"/>
  <c r="V2" i="13"/>
  <c r="V382" i="13"/>
  <c r="V212" i="13"/>
  <c r="V222" i="13"/>
  <c r="V3" i="13"/>
  <c r="V399" i="13"/>
  <c r="V230" i="13"/>
  <c r="V235" i="13"/>
  <c r="V10" i="13"/>
  <c r="V392" i="13"/>
  <c r="V240" i="13"/>
  <c r="V243" i="13"/>
  <c r="V9" i="13"/>
  <c r="V362" i="13"/>
  <c r="V246" i="13"/>
  <c r="V247" i="13"/>
  <c r="V7" i="13"/>
  <c r="V370" i="13"/>
  <c r="V223" i="13"/>
  <c r="V224" i="13"/>
  <c r="V8" i="13"/>
  <c r="V302" i="13"/>
  <c r="V410" i="13"/>
  <c r="V303" i="13"/>
  <c r="V338" i="13"/>
  <c r="V37" i="13"/>
  <c r="V332" i="13"/>
  <c r="V38" i="13"/>
  <c r="V383" i="13"/>
  <c r="V136" i="13"/>
  <c r="V169" i="13"/>
  <c r="V39" i="13"/>
  <c r="V105" i="13"/>
  <c r="V328" i="13"/>
  <c r="V179" i="13"/>
  <c r="V400" i="13"/>
  <c r="V55" i="13"/>
  <c r="V119" i="13"/>
  <c r="V34" i="13"/>
  <c r="V170" i="13"/>
  <c r="V335" i="13"/>
  <c r="V180" i="13"/>
  <c r="V393" i="13"/>
  <c r="V59" i="13"/>
  <c r="V127" i="13"/>
  <c r="V33" i="13"/>
  <c r="V54" i="13"/>
  <c r="V336" i="13"/>
  <c r="V181" i="13"/>
  <c r="V363" i="13"/>
  <c r="V51" i="13"/>
  <c r="V135" i="13"/>
  <c r="V31" i="13"/>
  <c r="V75" i="13"/>
  <c r="V333" i="13"/>
  <c r="V182" i="13"/>
  <c r="V371" i="13"/>
  <c r="V103" i="13"/>
  <c r="V168" i="13"/>
  <c r="V32" i="13"/>
  <c r="V80" i="13"/>
  <c r="V334" i="13"/>
  <c r="V183" i="13"/>
  <c r="V304" i="13"/>
  <c r="V406" i="13"/>
  <c r="V305" i="13"/>
  <c r="V348" i="13"/>
  <c r="V322" i="13"/>
  <c r="V368" i="13"/>
  <c r="V376" i="13"/>
  <c r="V387" i="13"/>
  <c r="V323" i="13"/>
  <c r="V47" i="13"/>
  <c r="V48" i="13"/>
  <c r="V342" i="13"/>
  <c r="V220" i="13"/>
  <c r="V228" i="13"/>
  <c r="V49" i="13"/>
  <c r="V330" i="13"/>
  <c r="V17" i="13"/>
  <c r="V19" i="13"/>
  <c r="V98" i="13"/>
  <c r="V331" i="13"/>
  <c r="V141" i="13"/>
  <c r="V150" i="13"/>
  <c r="V99" i="13"/>
  <c r="V324" i="13"/>
  <c r="V351" i="13"/>
  <c r="V353" i="13"/>
  <c r="V325" i="13"/>
  <c r="V354" i="13"/>
  <c r="V65" i="13"/>
  <c r="V153" i="13"/>
  <c r="V96" i="13"/>
  <c r="V355" i="13"/>
  <c r="V58" i="13"/>
  <c r="V178" i="13"/>
  <c r="V97" i="13"/>
  <c r="V356" i="13"/>
  <c r="V56" i="13"/>
  <c r="V160" i="13"/>
  <c r="V158" i="13"/>
  <c r="V357" i="13"/>
  <c r="V118" i="13"/>
  <c r="V159" i="13"/>
  <c r="V173" i="13"/>
  <c r="V358" i="13"/>
  <c r="V124" i="13"/>
  <c r="V145" i="13"/>
  <c r="V174" i="13"/>
  <c r="V389" i="13"/>
  <c r="V57" i="13"/>
  <c r="V63" i="13"/>
  <c r="V306" i="13"/>
  <c r="V409" i="13"/>
  <c r="V307" i="13"/>
  <c r="V121" i="13"/>
  <c r="V401" i="13"/>
  <c r="V234" i="13"/>
  <c r="V239" i="13"/>
  <c r="V95" i="13"/>
  <c r="V60" i="13"/>
  <c r="V106" i="13"/>
  <c r="V394" i="13"/>
  <c r="V242" i="13"/>
  <c r="V245" i="13"/>
  <c r="V94" i="13"/>
  <c r="V91" i="13"/>
  <c r="V88" i="13"/>
  <c r="V364" i="13"/>
  <c r="V216" i="13"/>
  <c r="V217" i="13"/>
  <c r="V92" i="13"/>
  <c r="V90" i="13"/>
  <c r="V140" i="13"/>
  <c r="V372" i="13"/>
  <c r="V70" i="13"/>
  <c r="V113" i="13"/>
  <c r="V93" i="13"/>
  <c r="V11" i="13"/>
  <c r="V18" i="13"/>
  <c r="V308" i="13"/>
  <c r="V416" i="13"/>
  <c r="V309" i="13"/>
  <c r="V339" i="13"/>
  <c r="V390" i="13"/>
  <c r="V6" i="13"/>
  <c r="V16" i="13"/>
  <c r="V340" i="13"/>
  <c r="V12" i="13"/>
  <c r="V13" i="13"/>
  <c r="V384" i="13"/>
  <c r="V218" i="13"/>
  <c r="V226" i="13"/>
  <c r="V14" i="13"/>
  <c r="V402" i="13"/>
  <c r="V241" i="13"/>
  <c r="V244" i="13"/>
  <c r="V23" i="13"/>
  <c r="V395" i="13"/>
  <c r="V232" i="13"/>
  <c r="V237" i="13"/>
  <c r="V22" i="13"/>
  <c r="V365" i="13"/>
  <c r="V199" i="13"/>
  <c r="V200" i="13"/>
  <c r="V20" i="13"/>
  <c r="V373" i="13"/>
  <c r="V233" i="13"/>
  <c r="V236" i="13"/>
  <c r="V21" i="13"/>
  <c r="V310" i="13"/>
  <c r="V417" i="13"/>
  <c r="V311" i="13"/>
  <c r="V15" i="13"/>
  <c r="V164" i="13"/>
  <c r="V166" i="13"/>
  <c r="V312" i="13"/>
  <c r="V413" i="13"/>
  <c r="V313" i="13"/>
  <c r="V326" i="13"/>
  <c r="V123" i="13"/>
  <c r="V379" i="13"/>
  <c r="V149" i="13"/>
  <c r="V87" i="13"/>
  <c r="V73" i="13"/>
  <c r="V346" i="13"/>
  <c r="V186" i="13"/>
  <c r="V187" i="13"/>
  <c r="V89" i="13"/>
  <c r="V314" i="13"/>
  <c r="V405" i="13"/>
  <c r="V315" i="13"/>
  <c r="V344" i="13"/>
  <c r="V120" i="13"/>
  <c r="V102" i="13"/>
  <c r="V139" i="13"/>
  <c r="V165" i="13"/>
  <c r="V316" i="13"/>
  <c r="V412" i="13"/>
  <c r="V317" i="13"/>
  <c r="V167" i="13"/>
  <c r="V189" i="13"/>
  <c r="V86" i="13"/>
  <c r="V381" i="13"/>
  <c r="V122" i="13"/>
  <c r="V318" i="13"/>
  <c r="V415" i="13"/>
  <c r="V319" i="13"/>
  <c r="V43" i="13"/>
  <c r="V74" i="13"/>
  <c r="V45" i="13"/>
  <c r="V44" i="13"/>
  <c r="V385" i="13"/>
  <c r="V176" i="13"/>
  <c r="V204" i="13"/>
  <c r="V205" i="13"/>
  <c r="V46" i="13"/>
  <c r="V403" i="13"/>
  <c r="V214" i="13"/>
  <c r="V229" i="13"/>
  <c r="V27" i="13"/>
  <c r="V83" i="13"/>
  <c r="V85" i="13"/>
  <c r="V396" i="13"/>
  <c r="V213" i="13"/>
  <c r="V211" i="13"/>
  <c r="V26" i="13"/>
  <c r="V84" i="13"/>
  <c r="V72" i="13"/>
  <c r="V366" i="13"/>
  <c r="V203" i="13"/>
  <c r="V202" i="13"/>
  <c r="V24" i="13"/>
  <c r="V143" i="13"/>
  <c r="V144" i="13"/>
  <c r="V374" i="13"/>
  <c r="V126" i="13"/>
  <c r="V69" i="13"/>
  <c r="V25" i="13"/>
  <c r="V30" i="13"/>
  <c r="V29" i="13"/>
  <c r="V352" i="13"/>
  <c r="V5" i="13"/>
  <c r="J285" i="13"/>
  <c r="H285" i="13"/>
  <c r="M52" i="13"/>
  <c r="L29" i="13"/>
  <c r="L30" i="13"/>
  <c r="L144" i="13"/>
  <c r="L24" i="13"/>
  <c r="L202" i="13"/>
  <c r="L26" i="13"/>
  <c r="Q213" i="13"/>
  <c r="L214" i="13"/>
  <c r="L46" i="13"/>
  <c r="L205" i="13"/>
  <c r="M45" i="13"/>
  <c r="L43" i="13"/>
  <c r="L86" i="13"/>
  <c r="L167" i="13"/>
  <c r="L102" i="13"/>
  <c r="Q315" i="13"/>
  <c r="L186" i="13"/>
  <c r="Q87" i="13"/>
  <c r="Q326" i="13"/>
  <c r="Q313" i="13"/>
  <c r="L166" i="13"/>
  <c r="Q310" i="13"/>
  <c r="L233" i="13"/>
  <c r="Q365" i="13"/>
  <c r="L232" i="13"/>
  <c r="Q402" i="13"/>
  <c r="L226" i="13"/>
  <c r="L218" i="13"/>
  <c r="L16" i="13"/>
  <c r="Q339" i="13"/>
  <c r="M11" i="13"/>
  <c r="Q113" i="13"/>
  <c r="L70" i="13"/>
  <c r="L217" i="13"/>
  <c r="Q364" i="13"/>
  <c r="L88" i="13"/>
  <c r="Q60" i="13"/>
  <c r="L95" i="13"/>
  <c r="Q306" i="13"/>
  <c r="L63" i="13"/>
  <c r="L124" i="13"/>
  <c r="M173" i="13"/>
  <c r="L159" i="13"/>
  <c r="M56" i="13"/>
  <c r="L97" i="13"/>
  <c r="L178" i="13"/>
  <c r="Q65" i="13"/>
  <c r="Q353" i="13"/>
  <c r="M141" i="13"/>
  <c r="L98" i="13"/>
  <c r="M19" i="13"/>
  <c r="L220" i="13"/>
  <c r="L48" i="13"/>
  <c r="M47" i="13"/>
  <c r="Q406" i="13"/>
  <c r="L32" i="13"/>
  <c r="M103" i="13"/>
  <c r="Q371" i="13"/>
  <c r="L135" i="13"/>
  <c r="M181" i="13"/>
  <c r="Q59" i="13"/>
  <c r="L180" i="13"/>
  <c r="Q335" i="13"/>
  <c r="Q328" i="13"/>
  <c r="L105" i="13"/>
  <c r="Q38" i="13"/>
  <c r="L37" i="13"/>
  <c r="L224" i="13"/>
  <c r="L7" i="13"/>
  <c r="M243" i="13"/>
  <c r="M10" i="13"/>
  <c r="L222" i="13"/>
  <c r="L2" i="13"/>
  <c r="Q347" i="13"/>
  <c r="L28" i="13"/>
  <c r="L194" i="13"/>
  <c r="L197" i="13"/>
  <c r="L190" i="13"/>
  <c r="Q299" i="13"/>
  <c r="M156" i="13"/>
  <c r="M100" i="13"/>
  <c r="L116" i="13"/>
  <c r="L117" i="13"/>
  <c r="Q360" i="13"/>
  <c r="Q81" i="13"/>
  <c r="L129" i="13"/>
  <c r="L162" i="13"/>
  <c r="Q369" i="13"/>
  <c r="L175" i="13"/>
  <c r="Q111" i="13"/>
  <c r="Q41" i="13"/>
  <c r="L76" i="13"/>
  <c r="L61" i="13"/>
  <c r="M78" i="13"/>
  <c r="L138" i="13"/>
  <c r="Q137" i="13"/>
  <c r="Q329" i="13"/>
  <c r="L142" i="13"/>
  <c r="T334" i="13"/>
  <c r="Q334" i="13"/>
  <c r="T333" i="13"/>
  <c r="Q333" i="13"/>
  <c r="T336" i="13"/>
  <c r="Q336" i="13"/>
  <c r="T335" i="13"/>
  <c r="T328" i="13"/>
  <c r="R71" i="10"/>
  <c r="Q70" i="10"/>
  <c r="O70" i="10"/>
  <c r="T411" i="13"/>
  <c r="T295" i="13"/>
  <c r="T377" i="13"/>
  <c r="T5" i="13"/>
  <c r="T4" i="13"/>
  <c r="T349" i="13"/>
  <c r="T350" i="13"/>
  <c r="T50" i="13"/>
  <c r="T112" i="13"/>
  <c r="T341" i="13"/>
  <c r="T67" i="13"/>
  <c r="T35" i="13"/>
  <c r="T82" i="13"/>
  <c r="T291" i="13"/>
  <c r="T130" i="13"/>
  <c r="T398" i="13"/>
  <c r="T66" i="13"/>
  <c r="T133" i="13"/>
  <c r="T142" i="13"/>
  <c r="T131" i="13"/>
  <c r="T329" i="13"/>
  <c r="T79" i="13"/>
  <c r="T391" i="13"/>
  <c r="T64" i="13"/>
  <c r="T151" i="13"/>
  <c r="T137" i="13"/>
  <c r="T138" i="13"/>
  <c r="T62" i="13"/>
  <c r="T78" i="13"/>
  <c r="T345" i="13"/>
  <c r="T152" i="13"/>
  <c r="T68" i="13"/>
  <c r="T71" i="13"/>
  <c r="T61" i="13"/>
  <c r="T76" i="13"/>
  <c r="T361" i="13"/>
  <c r="T41" i="13"/>
  <c r="T147" i="13"/>
  <c r="T148" i="13"/>
  <c r="T110" i="13"/>
  <c r="T108" i="13"/>
  <c r="T111" i="13"/>
  <c r="T175" i="13"/>
  <c r="T77" i="13"/>
  <c r="T369" i="13"/>
  <c r="T42" i="13"/>
  <c r="T107" i="13"/>
  <c r="T104" i="13"/>
  <c r="T128" i="13"/>
  <c r="T162" i="13"/>
  <c r="T129" i="13"/>
  <c r="T172" i="13"/>
  <c r="T81" i="13"/>
  <c r="T296" i="13"/>
  <c r="T407" i="13"/>
  <c r="T297" i="13"/>
  <c r="T359" i="13"/>
  <c r="T360" i="13"/>
  <c r="T117" i="13"/>
  <c r="T115" i="13"/>
  <c r="T116" i="13"/>
  <c r="T114" i="13"/>
  <c r="T155" i="13"/>
  <c r="T154" i="13"/>
  <c r="T101" i="13"/>
  <c r="T100" i="13"/>
  <c r="T388" i="13"/>
  <c r="T157" i="13"/>
  <c r="T156" i="13"/>
  <c r="T378" i="13"/>
  <c r="T109" i="13"/>
  <c r="T298" i="13"/>
  <c r="T414" i="13"/>
  <c r="T299" i="13"/>
  <c r="T380" i="13"/>
  <c r="T327" i="13"/>
  <c r="T190" i="13"/>
  <c r="T191" i="13"/>
  <c r="T192" i="13"/>
  <c r="T193" i="13"/>
  <c r="T196" i="13"/>
  <c r="T197" i="13"/>
  <c r="T194" i="13"/>
  <c r="T195" i="13"/>
  <c r="T28" i="13"/>
  <c r="T36" i="13"/>
  <c r="T300" i="13"/>
  <c r="T408" i="13"/>
  <c r="T301" i="13"/>
  <c r="T347" i="13"/>
  <c r="T320" i="13"/>
  <c r="T404" i="13"/>
  <c r="T397" i="13"/>
  <c r="T367" i="13"/>
  <c r="T375" i="13"/>
  <c r="T386" i="13"/>
  <c r="T321" i="13"/>
  <c r="T2" i="13"/>
  <c r="T382" i="13"/>
  <c r="T212" i="13"/>
  <c r="T222" i="13"/>
  <c r="T3" i="13"/>
  <c r="T399" i="13"/>
  <c r="T230" i="13"/>
  <c r="T235" i="13"/>
  <c r="T10" i="13"/>
  <c r="T392" i="13"/>
  <c r="T240" i="13"/>
  <c r="T243" i="13"/>
  <c r="T9" i="13"/>
  <c r="T362" i="13"/>
  <c r="T246" i="13"/>
  <c r="T247" i="13"/>
  <c r="T7" i="13"/>
  <c r="T370" i="13"/>
  <c r="T223" i="13"/>
  <c r="T224" i="13"/>
  <c r="T8" i="13"/>
  <c r="T302" i="13"/>
  <c r="T410" i="13"/>
  <c r="T303" i="13"/>
  <c r="T338" i="13"/>
  <c r="T37" i="13"/>
  <c r="T332" i="13"/>
  <c r="T38" i="13"/>
  <c r="T383" i="13"/>
  <c r="T136" i="13"/>
  <c r="T169" i="13"/>
  <c r="T39" i="13"/>
  <c r="T105" i="13"/>
  <c r="T179" i="13"/>
  <c r="T400" i="13"/>
  <c r="T55" i="13"/>
  <c r="T119" i="13"/>
  <c r="T34" i="13"/>
  <c r="T170" i="13"/>
  <c r="T180" i="13"/>
  <c r="T393" i="13"/>
  <c r="T59" i="13"/>
  <c r="T127" i="13"/>
  <c r="T33" i="13"/>
  <c r="T54" i="13"/>
  <c r="T181" i="13"/>
  <c r="T363" i="13"/>
  <c r="T51" i="13"/>
  <c r="T135" i="13"/>
  <c r="T31" i="13"/>
  <c r="T75" i="13"/>
  <c r="T182" i="13"/>
  <c r="T371" i="13"/>
  <c r="T103" i="13"/>
  <c r="T168" i="13"/>
  <c r="T32" i="13"/>
  <c r="T80" i="13"/>
  <c r="T183" i="13"/>
  <c r="T304" i="13"/>
  <c r="T406" i="13"/>
  <c r="T305" i="13"/>
  <c r="T348" i="13"/>
  <c r="T322" i="13"/>
  <c r="T368" i="13"/>
  <c r="T376" i="13"/>
  <c r="T387" i="13"/>
  <c r="T323" i="13"/>
  <c r="T47" i="13"/>
  <c r="T48" i="13"/>
  <c r="T342" i="13"/>
  <c r="T220" i="13"/>
  <c r="T228" i="13"/>
  <c r="T49" i="13"/>
  <c r="T330" i="13"/>
  <c r="T17" i="13"/>
  <c r="T19" i="13"/>
  <c r="T98" i="13"/>
  <c r="T331" i="13"/>
  <c r="T141" i="13"/>
  <c r="T150" i="13"/>
  <c r="T99" i="13"/>
  <c r="T324" i="13"/>
  <c r="T351" i="13"/>
  <c r="T353" i="13"/>
  <c r="T325" i="13"/>
  <c r="T354" i="13"/>
  <c r="T65" i="13"/>
  <c r="T153" i="13"/>
  <c r="T96" i="13"/>
  <c r="T355" i="13"/>
  <c r="T58" i="13"/>
  <c r="T178" i="13"/>
  <c r="T97" i="13"/>
  <c r="T356" i="13"/>
  <c r="T56" i="13"/>
  <c r="T160" i="13"/>
  <c r="T158" i="13"/>
  <c r="T357" i="13"/>
  <c r="T118" i="13"/>
  <c r="T159" i="13"/>
  <c r="T173" i="13"/>
  <c r="T358" i="13"/>
  <c r="T124" i="13"/>
  <c r="T145" i="13"/>
  <c r="T174" i="13"/>
  <c r="T389" i="13"/>
  <c r="T57" i="13"/>
  <c r="T63" i="13"/>
  <c r="T306" i="13"/>
  <c r="T409" i="13"/>
  <c r="T307" i="13"/>
  <c r="T121" i="13"/>
  <c r="T401" i="13"/>
  <c r="T234" i="13"/>
  <c r="T239" i="13"/>
  <c r="T95" i="13"/>
  <c r="T60" i="13"/>
  <c r="T106" i="13"/>
  <c r="T394" i="13"/>
  <c r="T242" i="13"/>
  <c r="T245" i="13"/>
  <c r="T94" i="13"/>
  <c r="T91" i="13"/>
  <c r="T88" i="13"/>
  <c r="T364" i="13"/>
  <c r="T216" i="13"/>
  <c r="T217" i="13"/>
  <c r="T92" i="13"/>
  <c r="T90" i="13"/>
  <c r="T140" i="13"/>
  <c r="T372" i="13"/>
  <c r="T70" i="13"/>
  <c r="T113" i="13"/>
  <c r="T93" i="13"/>
  <c r="T11" i="13"/>
  <c r="T18" i="13"/>
  <c r="T308" i="13"/>
  <c r="T416" i="13"/>
  <c r="T309" i="13"/>
  <c r="T339" i="13"/>
  <c r="T390" i="13"/>
  <c r="T6" i="13"/>
  <c r="T16" i="13"/>
  <c r="T340" i="13"/>
  <c r="T12" i="13"/>
  <c r="T13" i="13"/>
  <c r="T384" i="13"/>
  <c r="T218" i="13"/>
  <c r="T226" i="13"/>
  <c r="T14" i="13"/>
  <c r="T402" i="13"/>
  <c r="T241" i="13"/>
  <c r="T244" i="13"/>
  <c r="T23" i="13"/>
  <c r="T395" i="13"/>
  <c r="T232" i="13"/>
  <c r="T237" i="13"/>
  <c r="T22" i="13"/>
  <c r="T365" i="13"/>
  <c r="T199" i="13"/>
  <c r="T200" i="13"/>
  <c r="T20" i="13"/>
  <c r="T373" i="13"/>
  <c r="T233" i="13"/>
  <c r="T236" i="13"/>
  <c r="T21" i="13"/>
  <c r="T310" i="13"/>
  <c r="T417" i="13"/>
  <c r="T311" i="13"/>
  <c r="T15" i="13"/>
  <c r="T164" i="13"/>
  <c r="T166" i="13"/>
  <c r="T312" i="13"/>
  <c r="T413" i="13"/>
  <c r="T313" i="13"/>
  <c r="T326" i="13"/>
  <c r="T123" i="13"/>
  <c r="T379" i="13"/>
  <c r="T149" i="13"/>
  <c r="T87" i="13"/>
  <c r="T73" i="13"/>
  <c r="T346" i="13"/>
  <c r="T186" i="13"/>
  <c r="T187" i="13"/>
  <c r="T89" i="13"/>
  <c r="T314" i="13"/>
  <c r="T405" i="13"/>
  <c r="T315" i="13"/>
  <c r="T344" i="13"/>
  <c r="T120" i="13"/>
  <c r="T102" i="13"/>
  <c r="T139" i="13"/>
  <c r="T165" i="13"/>
  <c r="T316" i="13"/>
  <c r="T412" i="13"/>
  <c r="T317" i="13"/>
  <c r="T167" i="13"/>
  <c r="T189" i="13"/>
  <c r="T86" i="13"/>
  <c r="T381" i="13"/>
  <c r="T122" i="13"/>
  <c r="T318" i="13"/>
  <c r="T415" i="13"/>
  <c r="T319" i="13"/>
  <c r="T43" i="13"/>
  <c r="T74" i="13"/>
  <c r="T45" i="13"/>
  <c r="T44" i="13"/>
  <c r="T385" i="13"/>
  <c r="T176" i="13"/>
  <c r="T204" i="13"/>
  <c r="T205" i="13"/>
  <c r="T46" i="13"/>
  <c r="T403" i="13"/>
  <c r="T214" i="13"/>
  <c r="T229" i="13"/>
  <c r="T27" i="13"/>
  <c r="T83" i="13"/>
  <c r="T85" i="13"/>
  <c r="T396" i="13"/>
  <c r="T213" i="13"/>
  <c r="T211" i="13"/>
  <c r="T26" i="13"/>
  <c r="T84" i="13"/>
  <c r="T72" i="13"/>
  <c r="T366" i="13"/>
  <c r="T203" i="13"/>
  <c r="T202" i="13"/>
  <c r="T24" i="13"/>
  <c r="T143" i="13"/>
  <c r="T144" i="13"/>
  <c r="T374" i="13"/>
  <c r="T126" i="13"/>
  <c r="T69" i="13"/>
  <c r="T25" i="13"/>
  <c r="T30" i="13"/>
  <c r="T29" i="13"/>
  <c r="T352" i="13"/>
  <c r="T337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83" i="13"/>
  <c r="H183" i="13"/>
  <c r="J182" i="13"/>
  <c r="H182" i="13"/>
  <c r="J181" i="13"/>
  <c r="H181" i="13"/>
  <c r="J180" i="13"/>
  <c r="H180" i="13"/>
  <c r="J179" i="13"/>
  <c r="H179" i="13"/>
  <c r="M180" i="13"/>
  <c r="Q180" i="13"/>
  <c r="L182" i="13"/>
  <c r="M182" i="13"/>
  <c r="Q182" i="13"/>
  <c r="L183" i="13"/>
  <c r="M183" i="13"/>
  <c r="Q183" i="13"/>
  <c r="L179" i="13"/>
  <c r="M179" i="13"/>
  <c r="Q179" i="13"/>
  <c r="Q338" i="13"/>
  <c r="Q79" i="13"/>
  <c r="Q391" i="13"/>
  <c r="Q78" i="13"/>
  <c r="M76" i="13"/>
  <c r="Q76" i="13"/>
  <c r="L77" i="13"/>
  <c r="M77" i="13"/>
  <c r="Q77" i="13"/>
  <c r="Q316" i="13"/>
  <c r="Q309" i="13"/>
  <c r="Q416" i="13"/>
  <c r="Q390" i="13"/>
  <c r="L184" i="13"/>
  <c r="M184" i="13"/>
  <c r="J262" i="13"/>
  <c r="H262" i="13"/>
  <c r="J261" i="13"/>
  <c r="H261" i="13"/>
  <c r="Q291" i="13"/>
  <c r="J268" i="13"/>
  <c r="H268" i="13"/>
  <c r="J267" i="13"/>
  <c r="H267" i="13"/>
  <c r="L132" i="13"/>
  <c r="M132" i="13"/>
  <c r="L134" i="13"/>
  <c r="M134" i="13"/>
  <c r="M144" i="13"/>
  <c r="L145" i="13"/>
  <c r="M145" i="13"/>
  <c r="L112" i="13"/>
  <c r="M112" i="13"/>
  <c r="L110" i="13"/>
  <c r="M110" i="13"/>
  <c r="L109" i="13"/>
  <c r="M109" i="13"/>
  <c r="L147" i="13"/>
  <c r="M147" i="13"/>
  <c r="L148" i="13"/>
  <c r="M148" i="13"/>
  <c r="L149" i="13"/>
  <c r="M149" i="13"/>
  <c r="L150" i="13"/>
  <c r="M150" i="13"/>
  <c r="L151" i="13"/>
  <c r="M151" i="13"/>
  <c r="L4" i="13"/>
  <c r="M4" i="13"/>
  <c r="M2" i="13"/>
  <c r="L3" i="13"/>
  <c r="M3" i="13"/>
  <c r="L6" i="13"/>
  <c r="M6" i="13"/>
  <c r="L10" i="13"/>
  <c r="L9" i="13"/>
  <c r="M9" i="13"/>
  <c r="M7" i="13"/>
  <c r="L8" i="13"/>
  <c r="M8" i="13"/>
  <c r="L11" i="13"/>
  <c r="L12" i="13"/>
  <c r="M12" i="13"/>
  <c r="L13" i="13"/>
  <c r="M13" i="13"/>
  <c r="L14" i="13"/>
  <c r="M14" i="13"/>
  <c r="L15" i="13"/>
  <c r="M15" i="13"/>
  <c r="M16" i="13"/>
  <c r="L17" i="13"/>
  <c r="M17" i="13"/>
  <c r="L18" i="13"/>
  <c r="M18" i="13"/>
  <c r="L19" i="13"/>
  <c r="L23" i="13"/>
  <c r="M23" i="13"/>
  <c r="L22" i="13"/>
  <c r="M22" i="13"/>
  <c r="L20" i="13"/>
  <c r="M20" i="13"/>
  <c r="L21" i="13"/>
  <c r="M21" i="13"/>
  <c r="L27" i="13"/>
  <c r="M27" i="13"/>
  <c r="M26" i="13"/>
  <c r="M24" i="13"/>
  <c r="L25" i="13"/>
  <c r="M25" i="13"/>
  <c r="M29" i="13"/>
  <c r="L34" i="13"/>
  <c r="M34" i="13"/>
  <c r="L33" i="13"/>
  <c r="M33" i="13"/>
  <c r="L31" i="13"/>
  <c r="M31" i="13"/>
  <c r="L35" i="13"/>
  <c r="M35" i="13"/>
  <c r="L36" i="13"/>
  <c r="M36" i="13"/>
  <c r="M37" i="13"/>
  <c r="L39" i="13"/>
  <c r="M39" i="13"/>
  <c r="L42" i="13"/>
  <c r="M42" i="13"/>
  <c r="M43" i="13"/>
  <c r="L45" i="13"/>
  <c r="L44" i="13"/>
  <c r="M44" i="13"/>
  <c r="M46" i="13"/>
  <c r="L50" i="13"/>
  <c r="M50" i="13"/>
  <c r="L47" i="13"/>
  <c r="M48" i="13"/>
  <c r="L49" i="13"/>
  <c r="M49" i="13"/>
  <c r="L51" i="13"/>
  <c r="M51" i="13"/>
  <c r="L52" i="13"/>
  <c r="L53" i="13"/>
  <c r="M53" i="13"/>
  <c r="L54" i="13"/>
  <c r="M54" i="13"/>
  <c r="L55" i="13"/>
  <c r="M55" i="13"/>
  <c r="L56" i="13"/>
  <c r="L57" i="13"/>
  <c r="M57" i="13"/>
  <c r="L58" i="13"/>
  <c r="M58" i="13"/>
  <c r="L60" i="13"/>
  <c r="L62" i="13"/>
  <c r="M62" i="13"/>
  <c r="M61" i="13"/>
  <c r="L64" i="13"/>
  <c r="M64" i="13"/>
  <c r="L66" i="13"/>
  <c r="M66" i="13"/>
  <c r="L67" i="13"/>
  <c r="M67" i="13"/>
  <c r="L68" i="13"/>
  <c r="M68" i="13"/>
  <c r="L69" i="13"/>
  <c r="M69" i="13"/>
  <c r="M70" i="13"/>
  <c r="L71" i="13"/>
  <c r="M71" i="13"/>
  <c r="L72" i="13"/>
  <c r="M72" i="13"/>
  <c r="L73" i="13"/>
  <c r="M73" i="13"/>
  <c r="L74" i="13"/>
  <c r="M74" i="13"/>
  <c r="L75" i="13"/>
  <c r="M75" i="13"/>
  <c r="L79" i="13"/>
  <c r="M79" i="13"/>
  <c r="L80" i="13"/>
  <c r="M80" i="13"/>
  <c r="M81" i="13"/>
  <c r="L82" i="13"/>
  <c r="M82" i="13"/>
  <c r="L83" i="13"/>
  <c r="M83" i="13"/>
  <c r="L84" i="13"/>
  <c r="M84" i="13"/>
  <c r="L85" i="13"/>
  <c r="M85" i="13"/>
  <c r="L87" i="13"/>
  <c r="M88" i="13"/>
  <c r="L89" i="13"/>
  <c r="M89" i="13"/>
  <c r="L90" i="13"/>
  <c r="M90" i="13"/>
  <c r="L91" i="13"/>
  <c r="M91" i="13"/>
  <c r="M95" i="13"/>
  <c r="L94" i="13"/>
  <c r="M94" i="13"/>
  <c r="L92" i="13"/>
  <c r="M92" i="13"/>
  <c r="L93" i="13"/>
  <c r="M93" i="13"/>
  <c r="L96" i="13"/>
  <c r="M96" i="13"/>
  <c r="M97" i="13"/>
  <c r="L101" i="13"/>
  <c r="M101" i="13"/>
  <c r="L100" i="13"/>
  <c r="M98" i="13"/>
  <c r="L99" i="13"/>
  <c r="M99" i="13"/>
  <c r="L103" i="13"/>
  <c r="L104" i="13"/>
  <c r="M104" i="13"/>
  <c r="M105" i="13"/>
  <c r="L106" i="13"/>
  <c r="M106" i="13"/>
  <c r="L107" i="13"/>
  <c r="M107" i="13"/>
  <c r="L108" i="13"/>
  <c r="M108" i="13"/>
  <c r="L128" i="13"/>
  <c r="M128" i="13"/>
  <c r="M129" i="13"/>
  <c r="L113" i="13"/>
  <c r="M117" i="13"/>
  <c r="L115" i="13"/>
  <c r="M115" i="13"/>
  <c r="L114" i="13"/>
  <c r="M114" i="13"/>
  <c r="L118" i="13"/>
  <c r="M118" i="13"/>
  <c r="L119" i="13"/>
  <c r="M119" i="13"/>
  <c r="L121" i="13"/>
  <c r="M121" i="13"/>
  <c r="L123" i="13"/>
  <c r="M123" i="13"/>
  <c r="L120" i="13"/>
  <c r="M120" i="13"/>
  <c r="L122" i="13"/>
  <c r="M122" i="13"/>
  <c r="L125" i="13"/>
  <c r="M125" i="13"/>
  <c r="L126" i="13"/>
  <c r="M126" i="13"/>
  <c r="L127" i="13"/>
  <c r="M127" i="13"/>
  <c r="L130" i="13"/>
  <c r="M130" i="13"/>
  <c r="L131" i="13"/>
  <c r="M131" i="13"/>
  <c r="L133" i="13"/>
  <c r="M133" i="13"/>
  <c r="M135" i="13"/>
  <c r="L136" i="13"/>
  <c r="M136" i="13"/>
  <c r="L137" i="13"/>
  <c r="M138" i="13"/>
  <c r="L139" i="13"/>
  <c r="M139" i="13"/>
  <c r="L140" i="13"/>
  <c r="M140" i="13"/>
  <c r="L141" i="13"/>
  <c r="M142" i="13"/>
  <c r="L143" i="13"/>
  <c r="M143" i="13"/>
  <c r="L152" i="13"/>
  <c r="M152" i="13"/>
  <c r="L153" i="13"/>
  <c r="M153" i="13"/>
  <c r="L155" i="13"/>
  <c r="M155" i="13"/>
  <c r="L154" i="13"/>
  <c r="M154" i="13"/>
  <c r="L157" i="13"/>
  <c r="M157" i="13"/>
  <c r="L156" i="13"/>
  <c r="L158" i="13"/>
  <c r="M158" i="13"/>
  <c r="M159" i="13"/>
  <c r="L160" i="13"/>
  <c r="M160" i="13"/>
  <c r="L161" i="13"/>
  <c r="M161" i="13"/>
  <c r="M162" i="13"/>
  <c r="L163" i="13"/>
  <c r="M163" i="13"/>
  <c r="L164" i="13"/>
  <c r="M164" i="13"/>
  <c r="L165" i="13"/>
  <c r="M165" i="13"/>
  <c r="M166" i="13"/>
  <c r="M167" i="13"/>
  <c r="L168" i="13"/>
  <c r="M168" i="13"/>
  <c r="L169" i="13"/>
  <c r="M169" i="13"/>
  <c r="L170" i="13"/>
  <c r="M170" i="13"/>
  <c r="L171" i="13"/>
  <c r="M171" i="13"/>
  <c r="L172" i="13"/>
  <c r="M172" i="13"/>
  <c r="L173" i="13"/>
  <c r="L174" i="13"/>
  <c r="M174" i="13"/>
  <c r="M175" i="13"/>
  <c r="L176" i="13"/>
  <c r="M176" i="13"/>
  <c r="L177" i="13"/>
  <c r="M177" i="13"/>
  <c r="M178" i="13"/>
  <c r="L185" i="13"/>
  <c r="M185" i="13"/>
  <c r="L187" i="13"/>
  <c r="M187" i="13"/>
  <c r="L188" i="13"/>
  <c r="M188" i="13"/>
  <c r="L189" i="13"/>
  <c r="M189" i="13"/>
  <c r="L191" i="13"/>
  <c r="M191" i="13"/>
  <c r="L192" i="13"/>
  <c r="M192" i="13"/>
  <c r="L193" i="13"/>
  <c r="M193" i="13"/>
  <c r="M194" i="13"/>
  <c r="L195" i="13"/>
  <c r="M195" i="13"/>
  <c r="L196" i="13"/>
  <c r="M196" i="13"/>
  <c r="M197" i="13"/>
  <c r="L198" i="13"/>
  <c r="M198" i="13"/>
  <c r="L199" i="13"/>
  <c r="M199" i="13"/>
  <c r="L200" i="13"/>
  <c r="M200" i="13"/>
  <c r="L201" i="13"/>
  <c r="M201" i="13"/>
  <c r="M202" i="13"/>
  <c r="L203" i="13"/>
  <c r="M203" i="13"/>
  <c r="L204" i="13"/>
  <c r="M204" i="13"/>
  <c r="M205" i="13"/>
  <c r="L206" i="13"/>
  <c r="M206" i="13"/>
  <c r="L207" i="13"/>
  <c r="M207" i="13"/>
  <c r="L208" i="13"/>
  <c r="M208" i="13"/>
  <c r="L209" i="13"/>
  <c r="M209" i="13"/>
  <c r="L210" i="13"/>
  <c r="M210" i="13"/>
  <c r="L211" i="13"/>
  <c r="M211" i="13"/>
  <c r="L212" i="13"/>
  <c r="M212" i="13"/>
  <c r="L213" i="13"/>
  <c r="M213" i="13"/>
  <c r="M214" i="13"/>
  <c r="L215" i="13"/>
  <c r="M215" i="13"/>
  <c r="L216" i="13"/>
  <c r="M216" i="13"/>
  <c r="M217" i="13"/>
  <c r="M218" i="13"/>
  <c r="L219" i="13"/>
  <c r="M219" i="13"/>
  <c r="M220" i="13"/>
  <c r="L221" i="13"/>
  <c r="M221" i="13"/>
  <c r="L223" i="13"/>
  <c r="M223" i="13"/>
  <c r="M224" i="13"/>
  <c r="L225" i="13"/>
  <c r="M225" i="13"/>
  <c r="M226" i="13"/>
  <c r="L227" i="13"/>
  <c r="M227" i="13"/>
  <c r="L228" i="13"/>
  <c r="M228" i="13"/>
  <c r="L229" i="13"/>
  <c r="M229" i="13"/>
  <c r="L230" i="13"/>
  <c r="M230" i="13"/>
  <c r="L231" i="13"/>
  <c r="M231" i="13"/>
  <c r="M232" i="13"/>
  <c r="M233" i="13"/>
  <c r="L234" i="13"/>
  <c r="M234" i="13"/>
  <c r="L235" i="13"/>
  <c r="M235" i="13"/>
  <c r="L236" i="13"/>
  <c r="M236" i="13"/>
  <c r="L237" i="13"/>
  <c r="M237" i="13"/>
  <c r="L238" i="13"/>
  <c r="M238" i="13"/>
  <c r="L239" i="13"/>
  <c r="M239" i="13"/>
  <c r="L240" i="13"/>
  <c r="M240" i="13"/>
  <c r="L241" i="13"/>
  <c r="M241" i="13"/>
  <c r="L242" i="13"/>
  <c r="M242" i="13"/>
  <c r="L243" i="13"/>
  <c r="L244" i="13"/>
  <c r="M244" i="13"/>
  <c r="L245" i="13"/>
  <c r="M245" i="13"/>
  <c r="L246" i="13"/>
  <c r="M246" i="13"/>
  <c r="L247" i="13"/>
  <c r="M247" i="13"/>
  <c r="Q389" i="13"/>
  <c r="Q57" i="13"/>
  <c r="Q58" i="13"/>
  <c r="Q63" i="13"/>
  <c r="Q6" i="13"/>
  <c r="H6" i="13"/>
  <c r="J6" i="13"/>
  <c r="J16" i="13"/>
  <c r="H16" i="13"/>
  <c r="K5" i="8"/>
  <c r="L6" i="8" s="1"/>
  <c r="K6" i="8"/>
  <c r="L7" i="8" s="1"/>
  <c r="K4" i="8"/>
  <c r="L5" i="8" s="1"/>
  <c r="Q119" i="13"/>
  <c r="Q34" i="13"/>
  <c r="Q170" i="13"/>
  <c r="Q393" i="13"/>
  <c r="Q127" i="13"/>
  <c r="J170" i="13"/>
  <c r="H170" i="13"/>
  <c r="Q343" i="13"/>
  <c r="Q411" i="13"/>
  <c r="Q295" i="13"/>
  <c r="Q377" i="13"/>
  <c r="Q5" i="13"/>
  <c r="Q4" i="13"/>
  <c r="Q349" i="13"/>
  <c r="Q350" i="13"/>
  <c r="Q50" i="13"/>
  <c r="Q112" i="13"/>
  <c r="Q341" i="13"/>
  <c r="Q67" i="13"/>
  <c r="Q35" i="13"/>
  <c r="Q82" i="13"/>
  <c r="Q130" i="13"/>
  <c r="Q398" i="13"/>
  <c r="Q66" i="13"/>
  <c r="Q133" i="13"/>
  <c r="Q142" i="13"/>
  <c r="Q131" i="13"/>
  <c r="Q64" i="13"/>
  <c r="Q151" i="13"/>
  <c r="Q138" i="13"/>
  <c r="Q62" i="13"/>
  <c r="Q345" i="13"/>
  <c r="Q152" i="13"/>
  <c r="Q68" i="13"/>
  <c r="Q71" i="13"/>
  <c r="Q61" i="13"/>
  <c r="Q361" i="13"/>
  <c r="Q147" i="13"/>
  <c r="Q148" i="13"/>
  <c r="Q110" i="13"/>
  <c r="Q108" i="13"/>
  <c r="Q175" i="13"/>
  <c r="Q42" i="13"/>
  <c r="Q107" i="13"/>
  <c r="Q104" i="13"/>
  <c r="Q128" i="13"/>
  <c r="Q162" i="13"/>
  <c r="Q129" i="13"/>
  <c r="Q172" i="13"/>
  <c r="Q296" i="13"/>
  <c r="Q407" i="13"/>
  <c r="Q297" i="13"/>
  <c r="Q359" i="13"/>
  <c r="Q117" i="13"/>
  <c r="Q115" i="13"/>
  <c r="Q116" i="13"/>
  <c r="Q114" i="13"/>
  <c r="Q155" i="13"/>
  <c r="Q154" i="13"/>
  <c r="Q101" i="13"/>
  <c r="Q388" i="13"/>
  <c r="Q157" i="13"/>
  <c r="Q156" i="13"/>
  <c r="Q378" i="13"/>
  <c r="Q109" i="13"/>
  <c r="Q298" i="13"/>
  <c r="Q414" i="13"/>
  <c r="Q380" i="13"/>
  <c r="Q327" i="13"/>
  <c r="Q190" i="13"/>
  <c r="Q191" i="13"/>
  <c r="Q192" i="13"/>
  <c r="Q193" i="13"/>
  <c r="Q196" i="13"/>
  <c r="Q194" i="13"/>
  <c r="Q195" i="13"/>
  <c r="Q28" i="13"/>
  <c r="Q36" i="13"/>
  <c r="Q300" i="13"/>
  <c r="Q408" i="13"/>
  <c r="Q301" i="13"/>
  <c r="Q320" i="13"/>
  <c r="Q404" i="13"/>
  <c r="Q397" i="13"/>
  <c r="Q367" i="13"/>
  <c r="Q375" i="13"/>
  <c r="Q386" i="13"/>
  <c r="Q321" i="13"/>
  <c r="Q382" i="13"/>
  <c r="Q212" i="13"/>
  <c r="Q222" i="13"/>
  <c r="Q3" i="13"/>
  <c r="Q399" i="13"/>
  <c r="Q230" i="13"/>
  <c r="Q235" i="13"/>
  <c r="Q392" i="13"/>
  <c r="Q240" i="13"/>
  <c r="Q243" i="13"/>
  <c r="Q9" i="13"/>
  <c r="Q362" i="13"/>
  <c r="Q246" i="13"/>
  <c r="Q247" i="13"/>
  <c r="Q370" i="13"/>
  <c r="Q223" i="13"/>
  <c r="Q224" i="13"/>
  <c r="Q8" i="13"/>
  <c r="Q302" i="13"/>
  <c r="Q410" i="13"/>
  <c r="Q303" i="13"/>
  <c r="Q37" i="13"/>
  <c r="Q332" i="13"/>
  <c r="Q40" i="13"/>
  <c r="Q383" i="13"/>
  <c r="Q136" i="13"/>
  <c r="Q169" i="13"/>
  <c r="Q39" i="13"/>
  <c r="Q400" i="13"/>
  <c r="Q55" i="13"/>
  <c r="Q33" i="13"/>
  <c r="Q54" i="13"/>
  <c r="Q363" i="13"/>
  <c r="Q51" i="13"/>
  <c r="Q31" i="13"/>
  <c r="Q75" i="13"/>
  <c r="Q103" i="13"/>
  <c r="Q168" i="13"/>
  <c r="Q32" i="13"/>
  <c r="Q80" i="13"/>
  <c r="Q304" i="13"/>
  <c r="Q305" i="13"/>
  <c r="Q348" i="13"/>
  <c r="Q322" i="13"/>
  <c r="Q368" i="13"/>
  <c r="Q376" i="13"/>
  <c r="Q387" i="13"/>
  <c r="Q323" i="13"/>
  <c r="Q48" i="13"/>
  <c r="Q342" i="13"/>
  <c r="Q220" i="13"/>
  <c r="Q228" i="13"/>
  <c r="Q49" i="13"/>
  <c r="Q330" i="13"/>
  <c r="Q17" i="13"/>
  <c r="Q98" i="13"/>
  <c r="Q331" i="13"/>
  <c r="Q141" i="13"/>
  <c r="Q150" i="13"/>
  <c r="Q99" i="13"/>
  <c r="Q324" i="13"/>
  <c r="Q351" i="13"/>
  <c r="Q325" i="13"/>
  <c r="Q354" i="13"/>
  <c r="Q153" i="13"/>
  <c r="Q96" i="13"/>
  <c r="Q355" i="13"/>
  <c r="Q178" i="13"/>
  <c r="Q356" i="13"/>
  <c r="Q56" i="13"/>
  <c r="Q160" i="13"/>
  <c r="Q158" i="13"/>
  <c r="Q357" i="13"/>
  <c r="Q118" i="13"/>
  <c r="Q159" i="13"/>
  <c r="Q358" i="13"/>
  <c r="Q124" i="13"/>
  <c r="Q145" i="13"/>
  <c r="Q174" i="13"/>
  <c r="Q409" i="13"/>
  <c r="Q307" i="13"/>
  <c r="Q121" i="13"/>
  <c r="Q401" i="13"/>
  <c r="Q234" i="13"/>
  <c r="Q239" i="13"/>
  <c r="Q95" i="13"/>
  <c r="Q106" i="13"/>
  <c r="Q394" i="13"/>
  <c r="Q242" i="13"/>
  <c r="Q245" i="13"/>
  <c r="Q94" i="13"/>
  <c r="Q91" i="13"/>
  <c r="Q88" i="13"/>
  <c r="Q216" i="13"/>
  <c r="Q217" i="13"/>
  <c r="Q92" i="13"/>
  <c r="Q90" i="13"/>
  <c r="Q140" i="13"/>
  <c r="Q372" i="13"/>
  <c r="Q70" i="13"/>
  <c r="Q93" i="13"/>
  <c r="Q11" i="13"/>
  <c r="Q18" i="13"/>
  <c r="Q308" i="13"/>
  <c r="Q340" i="13"/>
  <c r="Q12" i="13"/>
  <c r="Q13" i="13"/>
  <c r="Q384" i="13"/>
  <c r="Q218" i="13"/>
  <c r="Q226" i="13"/>
  <c r="Q14" i="13"/>
  <c r="Q241" i="13"/>
  <c r="Q244" i="13"/>
  <c r="Q23" i="13"/>
  <c r="Q395" i="13"/>
  <c r="Q232" i="13"/>
  <c r="Q237" i="13"/>
  <c r="Q22" i="13"/>
  <c r="Q199" i="13"/>
  <c r="Q200" i="13"/>
  <c r="Q20" i="13"/>
  <c r="Q373" i="13"/>
  <c r="Q233" i="13"/>
  <c r="Q236" i="13"/>
  <c r="Q21" i="13"/>
  <c r="Q417" i="13"/>
  <c r="Q311" i="13"/>
  <c r="Q15" i="13"/>
  <c r="Q164" i="13"/>
  <c r="Q166" i="13"/>
  <c r="Q312" i="13"/>
  <c r="Q413" i="13"/>
  <c r="Q123" i="13"/>
  <c r="Q379" i="13"/>
  <c r="Q149" i="13"/>
  <c r="Q73" i="13"/>
  <c r="Q346" i="13"/>
  <c r="Q187" i="13"/>
  <c r="Q89" i="13"/>
  <c r="Q314" i="13"/>
  <c r="Q405" i="13"/>
  <c r="Q344" i="13"/>
  <c r="Q120" i="13"/>
  <c r="Q139" i="13"/>
  <c r="Q165" i="13"/>
  <c r="Q412" i="13"/>
  <c r="Q317" i="13"/>
  <c r="Q189" i="13"/>
  <c r="Q86" i="13"/>
  <c r="Q381" i="13"/>
  <c r="Q122" i="13"/>
  <c r="Q318" i="13"/>
  <c r="Q415" i="13"/>
  <c r="Q319" i="13"/>
  <c r="Q74" i="13"/>
  <c r="Q45" i="13"/>
  <c r="Q44" i="13"/>
  <c r="Q385" i="13"/>
  <c r="Q176" i="13"/>
  <c r="Q204" i="13"/>
  <c r="Q205" i="13"/>
  <c r="Q403" i="13"/>
  <c r="Q214" i="13"/>
  <c r="Q229" i="13"/>
  <c r="Q27" i="13"/>
  <c r="Q83" i="13"/>
  <c r="Q85" i="13"/>
  <c r="Q396" i="13"/>
  <c r="Q211" i="13"/>
  <c r="Q26" i="13"/>
  <c r="Q84" i="13"/>
  <c r="Q72" i="13"/>
  <c r="Q366" i="13"/>
  <c r="Q203" i="13"/>
  <c r="Q202" i="13"/>
  <c r="Q143" i="13"/>
  <c r="Q144" i="13"/>
  <c r="Q374" i="13"/>
  <c r="Q126" i="13"/>
  <c r="Q69" i="13"/>
  <c r="Q25" i="13"/>
  <c r="Q30" i="13"/>
  <c r="J54" i="13"/>
  <c r="H54" i="13"/>
  <c r="J35" i="13"/>
  <c r="H35" i="13"/>
  <c r="Q352" i="13"/>
  <c r="J286" i="13"/>
  <c r="H286" i="13"/>
  <c r="J254" i="13"/>
  <c r="H254" i="13"/>
  <c r="J281" i="13"/>
  <c r="H281" i="13"/>
  <c r="J248" i="13"/>
  <c r="H248" i="13"/>
  <c r="J288" i="13"/>
  <c r="H288" i="13"/>
  <c r="J249" i="13"/>
  <c r="H249" i="13"/>
  <c r="J250" i="13"/>
  <c r="H250" i="13"/>
  <c r="J289" i="13"/>
  <c r="H289" i="13"/>
  <c r="J272" i="13"/>
  <c r="H272" i="13"/>
  <c r="J271" i="13"/>
  <c r="H271" i="13"/>
  <c r="J287" i="13"/>
  <c r="H287" i="13"/>
  <c r="J257" i="13"/>
  <c r="H257" i="13"/>
  <c r="J252" i="13"/>
  <c r="H252" i="13"/>
  <c r="J266" i="13"/>
  <c r="H266" i="13"/>
  <c r="J265" i="13"/>
  <c r="H265" i="13"/>
  <c r="J290" i="13"/>
  <c r="H290" i="13"/>
  <c r="J280" i="13"/>
  <c r="H280" i="13"/>
  <c r="J279" i="13"/>
  <c r="H279" i="13"/>
  <c r="J260" i="13"/>
  <c r="H260" i="13"/>
  <c r="J283" i="13"/>
  <c r="H283" i="13"/>
  <c r="J274" i="13"/>
  <c r="H274" i="13"/>
  <c r="J273" i="13"/>
  <c r="H273" i="13"/>
  <c r="J276" i="13"/>
  <c r="H276" i="13"/>
  <c r="J275" i="13"/>
  <c r="H275" i="13"/>
  <c r="J259" i="13"/>
  <c r="H259" i="13"/>
  <c r="J258" i="13"/>
  <c r="H258" i="13"/>
  <c r="J445" i="13"/>
  <c r="H445" i="13"/>
  <c r="J253" i="13"/>
  <c r="H253" i="13"/>
  <c r="J255" i="13"/>
  <c r="H255" i="13"/>
  <c r="J256" i="13"/>
  <c r="H256" i="13"/>
  <c r="J282" i="13"/>
  <c r="H282" i="13"/>
  <c r="J294" i="13"/>
  <c r="H294" i="13"/>
  <c r="J293" i="13"/>
  <c r="H293" i="13"/>
  <c r="J269" i="13"/>
  <c r="H269" i="13"/>
  <c r="J292" i="13"/>
  <c r="H292" i="13"/>
  <c r="J270" i="13"/>
  <c r="H270" i="13"/>
  <c r="H284" i="13"/>
  <c r="J284" i="13"/>
  <c r="J430" i="13"/>
  <c r="H430" i="13"/>
  <c r="J429" i="13"/>
  <c r="H429" i="13"/>
  <c r="J428" i="13"/>
  <c r="H428" i="13"/>
  <c r="M65" i="13" l="1"/>
  <c r="M41" i="13"/>
  <c r="M28" i="13"/>
  <c r="M111" i="13"/>
  <c r="L78" i="13"/>
  <c r="Q19" i="13"/>
  <c r="Q47" i="13"/>
  <c r="Q105" i="13"/>
  <c r="Q7" i="13"/>
  <c r="Q10" i="13"/>
  <c r="Q2" i="13"/>
  <c r="Q197" i="13"/>
  <c r="Q100" i="13"/>
  <c r="Q16" i="13"/>
  <c r="L65" i="13"/>
  <c r="L41" i="13"/>
  <c r="L111" i="13"/>
  <c r="Q102" i="13"/>
  <c r="Q186" i="13"/>
  <c r="Q173" i="13"/>
  <c r="Q97" i="13"/>
  <c r="Q135" i="13"/>
  <c r="M137" i="13"/>
  <c r="M113" i="13"/>
  <c r="M87" i="13"/>
  <c r="M60" i="13"/>
  <c r="L181" i="13"/>
  <c r="M222" i="13"/>
  <c r="M190" i="13"/>
  <c r="M186" i="13"/>
  <c r="M124" i="13"/>
  <c r="M116" i="13"/>
  <c r="M102" i="13"/>
  <c r="M86" i="13"/>
  <c r="M63" i="13"/>
  <c r="M59" i="13"/>
  <c r="M38" i="13"/>
  <c r="M32" i="13"/>
  <c r="M30" i="13"/>
  <c r="Q29" i="13"/>
  <c r="Q24" i="13"/>
  <c r="Q46" i="13"/>
  <c r="Q43" i="13"/>
  <c r="Q167" i="13"/>
  <c r="L59" i="13"/>
  <c r="L38" i="13"/>
  <c r="L81" i="13"/>
  <c r="Q181" i="13"/>
  <c r="J223" i="13"/>
  <c r="H223" i="13"/>
  <c r="J224" i="13"/>
  <c r="H224" i="13"/>
  <c r="H137" i="13"/>
  <c r="J137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264" i="13"/>
  <c r="H264" i="13"/>
  <c r="J263" i="13"/>
  <c r="H263" i="13"/>
  <c r="J63" i="13"/>
  <c r="H63" i="13"/>
  <c r="J80" i="13"/>
  <c r="H80" i="13"/>
  <c r="J487" i="13"/>
  <c r="H487" i="13"/>
  <c r="J486" i="13"/>
  <c r="H486" i="13"/>
  <c r="J485" i="13"/>
  <c r="H485" i="13"/>
  <c r="J484" i="13"/>
  <c r="H484" i="13"/>
  <c r="J483" i="13"/>
  <c r="H483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71" i="13"/>
  <c r="H471" i="13"/>
  <c r="J470" i="13"/>
  <c r="H470" i="13"/>
  <c r="J469" i="13"/>
  <c r="H469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251" i="13"/>
  <c r="H251" i="13"/>
  <c r="H278" i="13"/>
  <c r="J449" i="13"/>
  <c r="H449" i="13"/>
  <c r="J448" i="13"/>
  <c r="H448" i="13"/>
  <c r="J447" i="13"/>
  <c r="H447" i="13"/>
  <c r="J446" i="13"/>
  <c r="H446" i="13"/>
  <c r="J277" i="13"/>
  <c r="H277" i="13"/>
  <c r="J444" i="13"/>
  <c r="H444" i="13"/>
  <c r="J443" i="13"/>
  <c r="H443" i="13"/>
  <c r="J442" i="13"/>
  <c r="H442" i="13"/>
  <c r="J441" i="13"/>
  <c r="H441" i="13"/>
  <c r="J440" i="13"/>
  <c r="H440" i="13"/>
  <c r="J439" i="13"/>
  <c r="H439" i="13"/>
  <c r="J438" i="13"/>
  <c r="H438" i="13"/>
  <c r="J437" i="13"/>
  <c r="H437" i="13"/>
  <c r="J436" i="13"/>
  <c r="H436" i="13"/>
  <c r="J435" i="13"/>
  <c r="H435" i="13"/>
  <c r="J434" i="13"/>
  <c r="H434" i="13"/>
  <c r="J433" i="13"/>
  <c r="H433" i="13"/>
  <c r="J432" i="13"/>
  <c r="H432" i="13"/>
  <c r="J431" i="13"/>
  <c r="H431" i="13"/>
  <c r="J427" i="13"/>
  <c r="H427" i="13"/>
  <c r="J426" i="13"/>
  <c r="H426" i="13"/>
  <c r="J425" i="13"/>
  <c r="H425" i="13"/>
  <c r="J424" i="13"/>
  <c r="H424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Q337" i="13"/>
  <c r="L5" i="13"/>
  <c r="M5" i="13"/>
  <c r="J2" i="13"/>
  <c r="H2" i="13"/>
  <c r="J37" i="13"/>
  <c r="H37" i="13"/>
  <c r="J47" i="13"/>
  <c r="H47" i="13"/>
  <c r="J121" i="13"/>
  <c r="H121" i="13"/>
  <c r="J43" i="13"/>
  <c r="H43" i="13"/>
  <c r="J12" i="13"/>
  <c r="H12" i="13"/>
  <c r="J13" i="13"/>
  <c r="H13" i="13"/>
  <c r="J53" i="13"/>
  <c r="H53" i="13"/>
  <c r="J52" i="13"/>
  <c r="H52" i="13"/>
  <c r="J75" i="13"/>
  <c r="H75" i="13"/>
  <c r="J105" i="13"/>
  <c r="H105" i="13"/>
  <c r="J46" i="13"/>
  <c r="H46" i="13"/>
  <c r="J69" i="13"/>
  <c r="H69" i="13"/>
  <c r="J126" i="13"/>
  <c r="H126" i="13"/>
  <c r="J25" i="13"/>
  <c r="H25" i="13"/>
  <c r="J24" i="13"/>
  <c r="H24" i="13"/>
  <c r="J26" i="13"/>
  <c r="H26" i="13"/>
  <c r="J27" i="13"/>
  <c r="H27" i="13"/>
  <c r="J203" i="13"/>
  <c r="H203" i="13"/>
  <c r="J202" i="13"/>
  <c r="H202" i="13"/>
  <c r="J229" i="13"/>
  <c r="H229" i="13"/>
  <c r="J214" i="13"/>
  <c r="H214" i="13"/>
  <c r="J213" i="13"/>
  <c r="H213" i="13"/>
  <c r="J211" i="13"/>
  <c r="H211" i="13"/>
  <c r="J205" i="13"/>
  <c r="H205" i="13"/>
  <c r="J204" i="13"/>
  <c r="H204" i="13"/>
  <c r="J29" i="13"/>
  <c r="H29" i="13"/>
  <c r="J30" i="13"/>
  <c r="H30" i="13"/>
  <c r="J144" i="13"/>
  <c r="H144" i="13"/>
  <c r="J143" i="13"/>
  <c r="H143" i="13"/>
  <c r="J72" i="13"/>
  <c r="H72" i="13"/>
  <c r="J84" i="13"/>
  <c r="H84" i="13"/>
  <c r="J85" i="13"/>
  <c r="H85" i="13"/>
  <c r="J83" i="13"/>
  <c r="H83" i="13"/>
  <c r="J176" i="13"/>
  <c r="H176" i="13"/>
  <c r="J44" i="13"/>
  <c r="H44" i="13"/>
  <c r="J45" i="13"/>
  <c r="H45" i="13"/>
  <c r="J74" i="13"/>
  <c r="H74" i="13"/>
  <c r="J189" i="13"/>
  <c r="H189" i="13"/>
  <c r="J167" i="13"/>
  <c r="H167" i="13"/>
  <c r="J122" i="13"/>
  <c r="H122" i="13"/>
  <c r="J86" i="13"/>
  <c r="H86" i="13"/>
  <c r="J165" i="13"/>
  <c r="H165" i="13"/>
  <c r="J139" i="13"/>
  <c r="H139" i="13"/>
  <c r="J102" i="13"/>
  <c r="H102" i="13"/>
  <c r="J120" i="13"/>
  <c r="H120" i="13"/>
  <c r="J89" i="13"/>
  <c r="H89" i="13"/>
  <c r="J73" i="13"/>
  <c r="H73" i="13"/>
  <c r="J187" i="13"/>
  <c r="H187" i="13"/>
  <c r="J186" i="13"/>
  <c r="H186" i="13"/>
  <c r="J87" i="13"/>
  <c r="H87" i="13"/>
  <c r="J149" i="13"/>
  <c r="H149" i="13"/>
  <c r="J123" i="13"/>
  <c r="H123" i="13"/>
  <c r="J236" i="13"/>
  <c r="H236" i="13"/>
  <c r="J233" i="13"/>
  <c r="H233" i="13"/>
  <c r="J200" i="13"/>
  <c r="H200" i="13"/>
  <c r="J199" i="13"/>
  <c r="H199" i="13"/>
  <c r="J237" i="13"/>
  <c r="H237" i="13"/>
  <c r="J232" i="13"/>
  <c r="H232" i="13"/>
  <c r="J244" i="13"/>
  <c r="H244" i="13"/>
  <c r="J241" i="13"/>
  <c r="H241" i="13"/>
  <c r="J21" i="13"/>
  <c r="H21" i="13"/>
  <c r="J20" i="13"/>
  <c r="H20" i="13"/>
  <c r="J22" i="13"/>
  <c r="H22" i="13"/>
  <c r="J23" i="13"/>
  <c r="H23" i="13"/>
  <c r="J14" i="13"/>
  <c r="H14" i="13"/>
  <c r="J226" i="13"/>
  <c r="H226" i="13"/>
  <c r="J218" i="13"/>
  <c r="H218" i="13"/>
  <c r="J166" i="13"/>
  <c r="H166" i="13"/>
  <c r="J164" i="13"/>
  <c r="H164" i="13"/>
  <c r="J15" i="13"/>
  <c r="H15" i="13"/>
  <c r="J18" i="13"/>
  <c r="H18" i="13"/>
  <c r="J11" i="13"/>
  <c r="H11" i="13"/>
  <c r="J113" i="13"/>
  <c r="H113" i="13"/>
  <c r="J70" i="13"/>
  <c r="H70" i="13"/>
  <c r="J90" i="13"/>
  <c r="H90" i="13"/>
  <c r="J140" i="13"/>
  <c r="H140" i="13"/>
  <c r="J217" i="13"/>
  <c r="H217" i="13"/>
  <c r="J216" i="13"/>
  <c r="H216" i="13"/>
  <c r="J88" i="13"/>
  <c r="H88" i="13"/>
  <c r="J91" i="13"/>
  <c r="H91" i="13"/>
  <c r="J245" i="13"/>
  <c r="H245" i="13"/>
  <c r="J242" i="13"/>
  <c r="H242" i="13"/>
  <c r="J106" i="13"/>
  <c r="H106" i="13"/>
  <c r="J60" i="13"/>
  <c r="H60" i="13"/>
  <c r="J93" i="13"/>
  <c r="H93" i="13"/>
  <c r="J92" i="13"/>
  <c r="H92" i="13"/>
  <c r="J94" i="13"/>
  <c r="H94" i="13"/>
  <c r="J95" i="13"/>
  <c r="H95" i="13"/>
  <c r="J239" i="13"/>
  <c r="H239" i="13"/>
  <c r="J234" i="13"/>
  <c r="H234" i="13"/>
  <c r="J174" i="13"/>
  <c r="H174" i="13"/>
  <c r="J145" i="13"/>
  <c r="H145" i="13"/>
  <c r="J124" i="13"/>
  <c r="H124" i="13"/>
  <c r="J173" i="13"/>
  <c r="H173" i="13"/>
  <c r="J159" i="13"/>
  <c r="H159" i="13"/>
  <c r="J118" i="13"/>
  <c r="H118" i="13"/>
  <c r="J158" i="13"/>
  <c r="H158" i="13"/>
  <c r="J160" i="13"/>
  <c r="H160" i="13"/>
  <c r="J56" i="13"/>
  <c r="H56" i="13"/>
  <c r="J97" i="13"/>
  <c r="H97" i="13"/>
  <c r="J178" i="13"/>
  <c r="H178" i="13"/>
  <c r="J58" i="13"/>
  <c r="H58" i="13"/>
  <c r="J96" i="13"/>
  <c r="H96" i="13"/>
  <c r="J65" i="13"/>
  <c r="H65" i="13"/>
  <c r="J153" i="13"/>
  <c r="H153" i="13"/>
  <c r="J98" i="13"/>
  <c r="H98" i="13"/>
  <c r="J99" i="13"/>
  <c r="H99" i="13"/>
  <c r="J150" i="13"/>
  <c r="H150" i="13"/>
  <c r="J141" i="13"/>
  <c r="H141" i="13"/>
  <c r="J19" i="13"/>
  <c r="H19" i="13"/>
  <c r="J17" i="13"/>
  <c r="H17" i="13"/>
  <c r="J49" i="13"/>
  <c r="H49" i="13"/>
  <c r="J228" i="13"/>
  <c r="H228" i="13"/>
  <c r="J220" i="13"/>
  <c r="H220" i="13"/>
  <c r="J48" i="13"/>
  <c r="H48" i="13"/>
  <c r="J168" i="13"/>
  <c r="H168" i="13"/>
  <c r="J103" i="13"/>
  <c r="H103" i="13"/>
  <c r="J51" i="13"/>
  <c r="H51" i="13"/>
  <c r="J135" i="13"/>
  <c r="H135" i="13"/>
  <c r="J127" i="13"/>
  <c r="H127" i="13"/>
  <c r="J59" i="13"/>
  <c r="H59" i="13"/>
  <c r="J119" i="13"/>
  <c r="H119" i="13"/>
  <c r="J55" i="13"/>
  <c r="H55" i="13"/>
  <c r="J38" i="13"/>
  <c r="H38" i="13"/>
  <c r="J40" i="13"/>
  <c r="H40" i="13"/>
  <c r="J169" i="13"/>
  <c r="H169" i="13"/>
  <c r="J136" i="13"/>
  <c r="H136" i="13"/>
  <c r="J39" i="13"/>
  <c r="H39" i="13"/>
  <c r="J32" i="13"/>
  <c r="H32" i="13"/>
  <c r="J31" i="13"/>
  <c r="H31" i="13"/>
  <c r="J33" i="13"/>
  <c r="H33" i="13"/>
  <c r="J34" i="13"/>
  <c r="H34" i="13"/>
  <c r="J57" i="13"/>
  <c r="H57" i="13"/>
  <c r="J488" i="13"/>
  <c r="H488" i="13"/>
  <c r="J247" i="13"/>
  <c r="H247" i="13"/>
  <c r="J246" i="13"/>
  <c r="H246" i="13"/>
  <c r="J243" i="13"/>
  <c r="H243" i="13"/>
  <c r="J240" i="13"/>
  <c r="H240" i="13"/>
  <c r="J235" i="13"/>
  <c r="H235" i="13"/>
  <c r="J230" i="13"/>
  <c r="H230" i="13"/>
  <c r="J222" i="13"/>
  <c r="H222" i="13"/>
  <c r="J212" i="13"/>
  <c r="H212" i="13"/>
  <c r="J8" i="13"/>
  <c r="H8" i="13"/>
  <c r="J7" i="13"/>
  <c r="H7" i="13"/>
  <c r="J9" i="13"/>
  <c r="H9" i="13"/>
  <c r="J10" i="13"/>
  <c r="H10" i="13"/>
  <c r="J3" i="13"/>
  <c r="H3" i="13"/>
  <c r="J36" i="13"/>
  <c r="H36" i="13"/>
  <c r="J28" i="13"/>
  <c r="H28" i="13"/>
  <c r="J195" i="13"/>
  <c r="H195" i="13"/>
  <c r="J194" i="13"/>
  <c r="H194" i="13"/>
  <c r="J197" i="13"/>
  <c r="H197" i="13"/>
  <c r="J196" i="13"/>
  <c r="H196" i="13"/>
  <c r="J193" i="13"/>
  <c r="H193" i="13"/>
  <c r="J192" i="13"/>
  <c r="H192" i="13"/>
  <c r="J191" i="13"/>
  <c r="H191" i="13"/>
  <c r="J190" i="13"/>
  <c r="H190" i="13"/>
  <c r="J115" i="13"/>
  <c r="H115" i="13"/>
  <c r="J116" i="13"/>
  <c r="H116" i="13"/>
  <c r="J114" i="13"/>
  <c r="H114" i="13"/>
  <c r="J117" i="13"/>
  <c r="H117" i="13"/>
  <c r="J155" i="13"/>
  <c r="H155" i="13"/>
  <c r="J154" i="13"/>
  <c r="H154" i="13"/>
  <c r="J101" i="13"/>
  <c r="H101" i="13"/>
  <c r="J100" i="13"/>
  <c r="H100" i="13"/>
  <c r="J157" i="13"/>
  <c r="H157" i="13"/>
  <c r="J156" i="13"/>
  <c r="H156" i="13"/>
  <c r="J109" i="13"/>
  <c r="H109" i="13"/>
  <c r="J42" i="13"/>
  <c r="H42" i="13"/>
  <c r="J129" i="13"/>
  <c r="H129" i="13"/>
  <c r="J162" i="13"/>
  <c r="H162" i="13"/>
  <c r="J128" i="13"/>
  <c r="H128" i="13"/>
  <c r="J107" i="13"/>
  <c r="H107" i="13"/>
  <c r="J104" i="13"/>
  <c r="H104" i="13"/>
  <c r="J172" i="13"/>
  <c r="H172" i="13"/>
  <c r="H175" i="13"/>
  <c r="J175" i="13"/>
  <c r="J111" i="13"/>
  <c r="H111" i="13"/>
  <c r="J108" i="13"/>
  <c r="H108" i="13"/>
  <c r="J110" i="13"/>
  <c r="H110" i="13"/>
  <c r="J148" i="13"/>
  <c r="H148" i="13"/>
  <c r="J147" i="13"/>
  <c r="H147" i="13"/>
  <c r="J41" i="13"/>
  <c r="H41" i="13"/>
  <c r="J68" i="13"/>
  <c r="H68" i="13"/>
  <c r="J71" i="13"/>
  <c r="H71" i="13"/>
  <c r="J61" i="13"/>
  <c r="H61" i="13"/>
  <c r="J152" i="13"/>
  <c r="H152" i="13"/>
  <c r="J62" i="13"/>
  <c r="H62" i="13"/>
  <c r="J138" i="13"/>
  <c r="H138" i="13"/>
  <c r="J151" i="13"/>
  <c r="H151" i="13"/>
  <c r="J64" i="13"/>
  <c r="H64" i="13"/>
  <c r="J130" i="13"/>
  <c r="H130" i="13"/>
  <c r="J82" i="13"/>
  <c r="H82" i="13"/>
  <c r="J450" i="13"/>
  <c r="H450" i="13"/>
  <c r="J67" i="13"/>
  <c r="H67" i="13"/>
  <c r="J142" i="13"/>
  <c r="H142" i="13"/>
  <c r="J133" i="13"/>
  <c r="H133" i="13"/>
  <c r="J66" i="13"/>
  <c r="H66" i="13"/>
  <c r="J131" i="13"/>
  <c r="H131" i="13"/>
  <c r="J112" i="13"/>
  <c r="H112" i="13"/>
  <c r="J50" i="13"/>
  <c r="H50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N1" i="13" l="1"/>
  <c r="O1" i="13"/>
  <c r="O411" i="13"/>
  <c r="N411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<sst xmlns="http://schemas.openxmlformats.org/spreadsheetml/2006/main" count="1398" uniqueCount="642">
  <si>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</si>
  <si>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</si>
  <si>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</si>
  <si>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</si>
  <si>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</si>
  <si>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</si>
  <si>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</si>
  <si>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</si>
  <si>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</si>
  <si>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</si>
  <si>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</si>
  <si>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</si>
  <si>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</si>
  <si>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</si>
  <si>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</si>
  <si>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</si>
  <si>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</si>
  <si>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</si>
  <si>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</si>
  <si>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</si>
  <si>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</si>
  <si>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</si>
  <si>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</si>
  <si>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</si>
  <si>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</si>
  <si>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</si>
  <si>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</si>
  <si>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</si>
  <si>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</si>
  <si>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</si>
  <si>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</si>
  <si>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</si>
  <si>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</si>
  <si>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</si>
  <si>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</si>
  <si>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</si>
  <si>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</si>
  <si>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</si>
  <si>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</si>
  <si>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</si>
  <si>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</si>
  <si>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</si>
  <si>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</si>
  <si>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</si>
  <si>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</si>
  <si>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</si>
  <si>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</si>
  <si>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</si>
  <si>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</si>
  <si>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</si>
  <si>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</si>
  <si>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</si>
  <si>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</si>
  <si>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</si>
  <si>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</si>
  <si>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</si>
  <si>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</si>
  <si>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</si>
  <si>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</si>
  <si>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</si>
  <si>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</si>
  <si>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</si>
  <si>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</si>
  <si>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</si>
  <si>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</si>
  <si>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</si>
  <si>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</si>
  <si>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</si>
  <si>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</si>
  <si>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</si>
  <si>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</si>
  <si>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</si>
  <si>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</si>
  <si>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</si>
  <si>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</si>
  <si>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</si>
  <si>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</si>
  <si>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</si>
  <si>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</si>
  <si>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</si>
  <si>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</si>
  <si>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</si>
  <si>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</si>
  <si>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</si>
  <si>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</si>
  <si>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</si>
  <si>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</si>
  <si>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</si>
  <si>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</si>
  <si>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</si>
  <si>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</si>
  <si>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</si>
  <si>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</si>
  <si>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</si>
  <si>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</si>
  <si>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</si>
  <si>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</si>
  <si>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</si>
  <si>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</si>
  <si>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</si>
  <si>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</si>
  <si>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</si>
  <si>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</si>
  <si>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</si>
  <si>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</si>
  <si>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</si>
  <si>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</si>
  <si>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</si>
  <si>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</si>
  <si>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</si>
  <si>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</si>
  <si>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</si>
  <si>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</si>
  <si>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</si>
  <si>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</si>
  <si>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</si>
  <si>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</si>
  <si>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</si>
  <si>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</si>
  <si>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</si>
  <si>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</si>
  <si>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</si>
  <si>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</si>
  <si>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</si>
  <si>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</si>
  <si>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</si>
  <si>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</si>
  <si>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</si>
  <si>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</si>
  <si>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</si>
  <si>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</si>
  <si>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</si>
  <si>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</si>
  <si>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</si>
  <si>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</si>
  <si>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</si>
  <si>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</si>
  <si>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</si>
  <si>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</si>
  <si>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</si>
  <si>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</si>
  <si>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</si>
  <si>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</si>
  <si>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</si>
  <si>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</si>
  <si>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</si>
  <si>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</si>
  <si>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</si>
  <si>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</si>
  <si>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</si>
  <si>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</si>
  <si>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</si>
  <si>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</si>
  <si>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</si>
  <si>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</si>
  <si>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</si>
  <si>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</si>
  <si>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</si>
  <si>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</si>
  <si>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</si>
  <si>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</si>
  <si>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</si>
  <si>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</si>
  <si>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</si>
  <si>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</si>
  <si>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</si>
  <si>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</si>
  <si>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</si>
  <si>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</si>
  <si>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</si>
  <si>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</si>
  <si>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</si>
  <si>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</si>
  <si>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</si>
  <si>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</si>
  <si>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</si>
  <si>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</si>
  <si>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</si>
  <si>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</si>
  <si>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</si>
  <si>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</si>
  <si>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</si>
  <si>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</si>
  <si>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</si>
  <si>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</si>
  <si>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</si>
  <si>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</si>
  <si>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</si>
  <si>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</si>
  <si>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</si>
  <si>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</si>
  <si>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</si>
  <si>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</si>
  <si>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</si>
  <si>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</si>
  <si>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</si>
  <si>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</si>
  <si>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</si>
  <si>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</si>
  <si>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</si>
  <si>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</si>
  <si>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</si>
  <si>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</si>
  <si>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</si>
  <si>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</si>
  <si>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</si>
  <si>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</si>
  <si>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</si>
  <si>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</si>
  <si>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</si>
  <si>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</si>
  <si>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</si>
  <si>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</si>
  <si>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</si>
  <si>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</si>
  <si>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</si>
  <si>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</si>
  <si>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</si>
  <si>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</si>
  <si>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</si>
  <si>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</si>
  <si>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</si>
  <si>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</si>
  <si>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</si>
  <si>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</si>
  <si>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</si>
  <si>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</si>
  <si>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</si>
  <si>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</si>
  <si>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</si>
  <si>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</si>
  <si>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</si>
  <si>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</si>
  <si>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</si>
  <si>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</si>
  <si>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</si>
  <si>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</si>
  <si>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</si>
  <si>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</si>
  <si>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</si>
  <si>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</si>
  <si>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</si>
  <si>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</si>
  <si>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</si>
  <si>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</si>
  <si>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</si>
  <si>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</si>
  <si>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</si>
  <si>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</si>
  <si>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</si>
  <si>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</si>
  <si>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</si>
  <si>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</si>
  <si>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</si>
  <si>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</si>
  <si>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</si>
  <si>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</si>
  <si>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</si>
  <si>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</si>
  <si>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</si>
  <si>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</si>
  <si>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</si>
  <si>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</si>
  <si>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</si>
  <si>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</si>
  <si>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</si>
  <si>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</si>
  <si>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</si>
  <si>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</si>
  <si>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</si>
  <si>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</si>
  <si>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</si>
  <si>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</si>
  <si>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</si>
  <si>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</si>
  <si>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</si>
  <si>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</si>
  <si>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</si>
  <si>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</si>
  <si>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</si>
  <si>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</si>
  <si>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</si>
  <si>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</si>
  <si>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</si>
  <si>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;Stop spindle when limit hit = 0.  Leave spindle running =1</t>
  </si>
  <si>
    <t>[Returns]</t>
  </si>
  <si>
    <t>;Return</t>
  </si>
  <si>
    <t>; All speeds and accellerations are in steps per second</t>
  </si>
  <si>
    <t>[Main]</t>
  </si>
  <si>
    <t>;Axis Ids: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</si>
  <si>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</si>
  <si>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</si>
  <si>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</si>
  <si>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</si>
  <si>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</si>
  <si>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</si>
  <si>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</si>
  <si>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</si>
  <si>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</si>
  <si>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</si>
  <si>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</si>
  <si>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</si>
  <si>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</si>
  <si>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</si>
  <si>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</si>
  <si>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</si>
  <si>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</si>
  <si>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;4a: 2 4b: 3 3a: 6 3b: 7 2a: 4 2b: 5</t>
  </si>
  <si>
    <t>[Program]</t>
  </si>
  <si>
    <t>;Segments: 2  Actual: 3</t>
  </si>
  <si>
    <t>[Rose]</t>
  </si>
  <si>
    <t>MotorCount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</si>
  <si>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</si>
  <si>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</si>
  <si>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</si>
  <si>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</si>
  <si>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</si>
  <si>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</si>
  <si>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</si>
  <si>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</si>
  <si>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</si>
  <si>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</si>
  <si>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</si>
  <si>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</si>
  <si>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</si>
  <si>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</si>
  <si>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</si>
  <si>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</si>
  <si>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</si>
  <si>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</si>
  <si>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</si>
  <si>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</si>
  <si>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</si>
  <si>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</si>
  <si>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</si>
  <si>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</si>
  <si>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</si>
  <si>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</si>
  <si>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</si>
  <si>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</si>
  <si>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</si>
  <si>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</si>
  <si>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</si>
  <si>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</si>
  <si>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</si>
  <si>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</si>
  <si>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</si>
  <si>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</si>
  <si>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</si>
  <si>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</si>
  <si>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</si>
  <si>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</si>
  <si>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</si>
  <si>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</si>
  <si>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</si>
  <si>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</si>
  <si>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</si>
  <si>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</si>
  <si>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</si>
  <si>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</si>
  <si>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</si>
  <si>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</si>
  <si>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</si>
  <si>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</si>
  <si>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</si>
  <si>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</si>
  <si>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</si>
  <si>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</si>
  <si>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</si>
  <si>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</si>
  <si>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</si>
  <si>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</si>
  <si>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</si>
  <si>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</si>
  <si>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</si>
  <si>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</si>
  <si>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</si>
  <si>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</si>
  <si>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</si>
  <si>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</si>
  <si>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</si>
  <si>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</si>
  <si>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</si>
  <si>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</si>
  <si>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</si>
  <si>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</si>
  <si>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</si>
  <si>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</si>
  <si>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</si>
  <si>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</si>
  <si>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</si>
  <si>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</si>
  <si>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</si>
  <si>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</si>
  <si>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</si>
  <si>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</si>
  <si>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</si>
  <si>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</si>
  <si>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</si>
  <si>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</si>
  <si>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</si>
  <si>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</si>
  <si>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</si>
  <si>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</si>
  <si>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</si>
  <si>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</si>
  <si>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</si>
  <si>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</si>
  <si>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</si>
  <si>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</si>
  <si>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</si>
  <si>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</si>
  <si>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</si>
  <si>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</si>
  <si>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</si>
  <si>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</si>
  <si>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</si>
  <si>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</si>
  <si>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</si>
  <si>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</si>
  <si>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</si>
  <si>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</si>
  <si>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</si>
  <si>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</si>
  <si>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</si>
  <si>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</si>
  <si>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</si>
  <si>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</si>
  <si>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</si>
  <si>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</si>
  <si>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</si>
  <si>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</si>
  <si>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</si>
  <si>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</si>
  <si>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</si>
  <si>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</si>
  <si>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</si>
  <si>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Values ANDed together (1,2,4,8,16)</t>
  </si>
  <si>
    <t>AltX</t>
  </si>
  <si>
    <t>Recip</t>
  </si>
  <si>
    <t>Preferences</t>
  </si>
  <si>
    <t>[Shared]</t>
  </si>
  <si>
    <t>Shared</t>
  </si>
  <si>
    <t>; Settings shared between Sync, Recip, Greek Key, and Program pages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</si>
  <si>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</si>
  <si>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</si>
  <si>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</si>
  <si>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</si>
  <si>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</si>
  <si>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</si>
  <si>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</si>
  <si>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</si>
  <si>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;CutterMotorPin must be greater than 16 on 4 motor board.</t>
  </si>
  <si>
    <t>;CutterMotorPin must be greater than 24 on 5 motor board.</t>
  </si>
  <si>
    <t>;Limit Switches and Stop pins must be greater than 16 on 4 motor board.</t>
  </si>
  <si>
    <t>;Limit Switches and Stop pins must be greater than 24 on 5 motor board.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</si>
  <si>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</si>
  <si>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</si>
  <si>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</si>
  <si>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</si>
  <si>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</si>
  <si>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</si>
  <si>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</si>
  <si>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</si>
  <si>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</si>
  <si>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</si>
  <si>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</si>
  <si>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</si>
  <si>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</si>
  <si>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</si>
  <si>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</si>
  <si>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</si>
  <si>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</si>
  <si>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</si>
  <si>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</si>
  <si>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</si>
  <si>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</si>
  <si>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</si>
  <si>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</si>
  <si>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</si>
  <si>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</si>
  <si>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</si>
  <si>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</si>
  <si>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</si>
  <si>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</si>
  <si>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</si>
  <si>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</si>
  <si>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</si>
  <si>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</si>
  <si>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</si>
  <si>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</si>
  <si>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</si>
  <si>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</si>
  <si>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</si>
  <si>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</si>
  <si>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</si>
  <si>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</si>
  <si>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</si>
  <si>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</si>
  <si>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</si>
  <si>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</si>
  <si>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</si>
  <si>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</si>
  <si>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</si>
  <si>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</si>
  <si>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</si>
  <si>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</si>
  <si>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</si>
  <si>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</si>
  <si>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</si>
  <si>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; Settings shared between Main,Sync, Recip, Rose, Greek Key, and Program pages</t>
  </si>
  <si>
    <t>;Spindle=0</t>
  </si>
  <si>
    <t>;Z=1</t>
  </si>
  <si>
    <t>;X=2</t>
  </si>
  <si>
    <t>;M3=3</t>
  </si>
  <si>
    <t>;M4=4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</si>
  <si>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</si>
  <si>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</si>
  <si>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</si>
  <si>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</si>
  <si>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</si>
  <si>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</si>
  <si>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</si>
  <si>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</si>
  <si>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</si>
  <si>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</si>
  <si>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</si>
  <si>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</si>
  <si>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</si>
  <si>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</si>
  <si>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</si>
  <si>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; 1: Equal Angle 2: Square 3: Sawtooth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</si>
  <si>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</si>
  <si>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</si>
  <si>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</si>
  <si>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</si>
  <si>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</si>
  <si>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</si>
  <si>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</si>
  <si>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</si>
  <si>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</si>
  <si>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</si>
  <si>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</si>
  <si>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</si>
  <si>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</si>
  <si>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</si>
  <si>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</si>
  <si>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</si>
  <si>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</si>
  <si>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</si>
  <si>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</si>
  <si>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</si>
  <si>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</si>
  <si>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</si>
  <si>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</si>
  <si>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</si>
  <si>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</si>
  <si>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</si>
  <si>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</si>
  <si>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</si>
  <si>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</si>
  <si>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</si>
  <si>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</si>
  <si>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</si>
  <si>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</si>
  <si>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[One_Multi]</t>
  </si>
  <si>
    <t>; Settings are shared between One and Multi pages.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</si>
  <si>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</si>
  <si>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</si>
  <si>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</si>
  <si>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</si>
  <si>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</si>
  <si>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</si>
  <si>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</si>
  <si>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</si>
  <si>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</si>
  <si>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</si>
  <si>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</si>
  <si>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</si>
  <si>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</si>
  <si>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</si>
  <si>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; CW=2, CCW=3</t>
  </si>
  <si>
    <t>; Right=2, Left=3</t>
  </si>
  <si>
    <t>; Right and CW=2, Left and CCW=3</t>
  </si>
  <si>
    <t>Program: Do  (Right)</t>
  </si>
  <si>
    <t>Program: Do  (Left)</t>
  </si>
  <si>
    <t>;Ini file Reset</t>
  </si>
  <si>
    <t>;Ini file Fast</t>
  </si>
  <si>
    <t>1 - NO</t>
  </si>
  <si>
    <t>1-Low</t>
  </si>
  <si>
    <t>0-Radial</t>
  </si>
  <si>
    <t>0-false</t>
  </si>
  <si>
    <t>; Change all values to opposite of defaults</t>
  </si>
  <si>
    <t>; Set higher speeds</t>
  </si>
  <si>
    <t>; V3.0</t>
  </si>
  <si>
    <t>_x0003_</t>
  </si>
  <si>
    <t>D</t>
  </si>
  <si>
    <t>L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</si>
  <si>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</si>
  <si>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</si>
  <si>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</si>
  <si>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</si>
  <si>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</si>
  <si>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</si>
  <si>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</si>
  <si>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</si>
  <si>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</si>
  <si>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</si>
  <si>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</si>
  <si>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</si>
  <si>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</si>
  <si>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</si>
  <si>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</si>
  <si>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</si>
  <si>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</si>
  <si>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</si>
  <si>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</si>
  <si>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</si>
  <si>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</si>
  <si>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</si>
  <si>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</si>
  <si>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</si>
  <si>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</si>
  <si>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</si>
  <si>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</si>
  <si>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</si>
  <si>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</si>
  <si>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</si>
  <si>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</si>
  <si>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</si>
  <si>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</si>
  <si>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</si>
  <si>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</si>
  <si>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</si>
  <si>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</si>
  <si>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</si>
  <si>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</si>
  <si>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</si>
  <si>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</si>
  <si>
    <t>Auxillary Pin</t>
  </si>
  <si>
    <t>SynchroVal_Main</t>
  </si>
  <si>
    <t>SynchroVal_Index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</si>
</sst>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CC66FF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6" borderId="8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7" borderId="8" xfId="0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14" borderId="0" xfId="0" applyFill="1" applyAlignment="1">
      <alignment horizontal="right"/>
    </xf>
    <xf numFmtId="0" fontId="0" fillId="14" borderId="0" xfId="0" applyFill="1"/>
    <xf numFmtId="0" fontId="0" fillId="15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0" borderId="10" xfId="0" applyBorder="1" applyAlignment="1">
      <alignment horizontal="right"/>
    </xf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16" borderId="0" xfId="0" applyFill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2" borderId="0" xfId="0" applyFill="1"/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12" xfId="0" applyFill="1" applyBorder="1"/>
    <xf numFmtId="0" fontId="0" fillId="18" borderId="0" xfId="0" applyFill="1"/>
    <xf numFmtId="0" fontId="0" fillId="18" borderId="11" xfId="0" applyFill="1" applyBorder="1"/>
    <xf numFmtId="0" fontId="0" fillId="18" borderId="10" xfId="0" applyFill="1" applyBorder="1" applyAlignment="1">
      <alignment horizontal="right"/>
    </xf>
    <xf numFmtId="0" fontId="0" fillId="18" borderId="0" xfId="0" applyFill="1" applyAlignment="1">
      <alignment horizontal="right"/>
    </xf>
    <xf numFmtId="0" fontId="3" fillId="0" borderId="3" xfId="0" applyFont="1" applyBorder="1"/>
    <xf numFmtId="0" fontId="0" fillId="0" borderId="1" xfId="0" applyBorder="1"/>
    <xf numFmtId="0" fontId="3" fillId="3" borderId="13" xfId="0" applyFont="1" applyFill="1" applyBorder="1"/>
    <xf numFmtId="0" fontId="0" fillId="4" borderId="13" xfId="0" applyFill="1" applyBorder="1"/>
    <xf numFmtId="0" fontId="0" fillId="0" borderId="13" xfId="0" applyBorder="1"/>
    <xf numFmtId="0" fontId="0" fillId="8" borderId="11" xfId="0" applyFill="1" applyBorder="1"/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9" borderId="0" xfId="0" applyFill="1"/>
    <xf numFmtId="0" fontId="0" fillId="13" borderId="10" xfId="0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3" borderId="10" xfId="0" applyFill="1" applyBorder="1"/>
    <xf numFmtId="0" fontId="0" fillId="11" borderId="10" xfId="0" applyFill="1" applyBorder="1"/>
    <xf numFmtId="0" fontId="0" fillId="19" borderId="0" xfId="0" applyFill="1"/>
    <xf numFmtId="0" fontId="0" fillId="19" borderId="11" xfId="0" applyFill="1" applyBorder="1"/>
    <xf numFmtId="0" fontId="0" fillId="19" borderId="10" xfId="0" applyFill="1" applyBorder="1"/>
    <xf numFmtId="0" fontId="0" fillId="19" borderId="12" xfId="0" applyFill="1" applyBorder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0" fillId="0" borderId="14" xfId="0" applyFont="1" applyBorder="1"/>
    <xf numFmtId="0" fontId="10" fillId="0" borderId="15" xfId="0" applyFont="1" applyBorder="1"/>
    <xf numFmtId="0" fontId="10" fillId="0" borderId="17" xfId="0" applyFont="1" applyBorder="1"/>
    <xf numFmtId="0" fontId="10" fillId="0" borderId="16" xfId="0" applyFont="1" applyBorder="1"/>
    <xf numFmtId="0" fontId="10" fillId="0" borderId="20" xfId="0" applyFont="1" applyBorder="1"/>
    <xf numFmtId="0" fontId="10" fillId="0" borderId="21" xfId="0" applyFont="1" applyBorder="1"/>
    <xf numFmtId="0" fontId="0" fillId="20" borderId="11" xfId="0" applyFill="1" applyBorder="1"/>
    <xf numFmtId="0" fontId="0" fillId="20" borderId="0" xfId="0" applyFill="1"/>
    <xf numFmtId="0" fontId="0" fillId="20" borderId="0" xfId="0" applyFill="1" applyAlignment="1">
      <alignment horizontal="right"/>
    </xf>
    <xf numFmtId="0" fontId="2" fillId="20" borderId="0" xfId="0" applyFont="1" applyFill="1"/>
    <xf numFmtId="0" fontId="0" fillId="18" borderId="11" xfId="0" applyFill="1" applyBorder="1" applyAlignment="1">
      <alignment horizontal="right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2" xfId="0" applyFont="1" applyBorder="1" applyAlignment="1">
      <alignment horizontal="center"/>
    </xf>
    <xf numFmtId="0" fontId="0" fillId="18" borderId="0" xfId="0" applyFill="1" applyBorder="1"/>
    <xf numFmtId="0" fontId="0" fillId="0" borderId="0" xfId="0" applyBorder="1"/>
    <xf numFmtId="0" fontId="0" fillId="8" borderId="0" xfId="0" applyFill="1" applyBorder="1" applyAlignment="1">
      <alignment horizontal="right"/>
    </xf>
    <xf numFmtId="0" fontId="0" fillId="18" borderId="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66FF"/>
      <color rgb="FF66FF99"/>
      <color rgb="FF66FFCC"/>
      <color rgb="FF66FFFF"/>
      <color rgb="FFFF00FF"/>
      <color rgb="FF33CCFF"/>
      <color rgb="FFFF53D2"/>
      <color rgb="FFE45AC0"/>
      <color rgb="FFCC00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0</xdr:row>
          <xdr:rowOff>0</xdr:rowOff>
        </xdr:from>
        <xdr:to>
          <xdr:col>16</xdr:col>
          <xdr:colOff>1209675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1247775</xdr:colOff>
          <xdr:row>0</xdr:row>
          <xdr:rowOff>9525</xdr:rowOff>
        </xdr:from>
        <xdr:to>
          <xdr:col>16</xdr:col>
          <xdr:colOff>2114550</xdr:colOff>
          <xdr:row>0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2152650</xdr:colOff>
          <xdr:row>0</xdr:row>
          <xdr:rowOff>0</xdr:rowOff>
        </xdr:from>
        <xdr:to>
          <xdr:col>16</xdr:col>
          <xdr:colOff>2771775</xdr:colOff>
          <xdr:row>0</xdr:row>
          <xdr:rowOff>247650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9525</xdr:rowOff>
        </xdr:from>
        <xdr:to>
          <xdr:col>18</xdr:col>
          <xdr:colOff>123825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2790825</xdr:colOff>
          <xdr:row>0</xdr:row>
          <xdr:rowOff>9525</xdr:rowOff>
        </xdr:from>
        <xdr:to>
          <xdr:col>16</xdr:col>
          <xdr:colOff>3629025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56"/>
  <sheetViews>
    <sheetView tabSelected="1" zoomScale="120" zoomScaleNormal="120" workbookViewId="0">
      <pane ySplit="1" topLeftCell="A126" activePane="bottomLeft" state="frozen"/>
      <selection pane="bottomLeft" activeCell="C134" sqref="C134"/>
    </sheetView>
  </sheetViews>
  <sheetFormatPr defaultRowHeight="15" x14ac:dyDescent="0.25"/>
  <cols>
    <col min="3" max="3" width="24.140625" style="39" customWidth="1"/>
    <col min="4" max="4" width="10.140625" style="39" customWidth="1"/>
    <col min="5" max="5" width="7.7109375" bestFit="1" customWidth="1"/>
    <col min="6" max="6" width="5.7109375" customWidth="1"/>
    <col min="7" max="7" width="4.85546875" customWidth="1"/>
    <col min="8" max="8" width="5.85546875" style="38" customWidth="1"/>
    <col min="9" max="9" width="5.28515625" customWidth="1"/>
    <col min="10" max="10" width="4.42578125" customWidth="1"/>
    <col min="11" max="11" width="8.42578125" style="39" customWidth="1"/>
    <col min="12" max="12" width="5.85546875" customWidth="1"/>
    <col min="13" max="13" width="5.140625" style="45" customWidth="1"/>
    <col min="14" max="15" width="4.28515625" style="54" bestFit="1" customWidth="1"/>
    <col min="16" max="16" width="5.42578125" style="54" bestFit="1" customWidth="1"/>
    <col min="17" max="17" width="61.85546875" style="42" customWidth="1"/>
    <col min="18" max="18" width="1.85546875" customWidth="1"/>
    <col min="19" max="19" width="10.140625" style="39" customWidth="1"/>
    <col min="20" max="20" width="25.42578125" customWidth="1"/>
    <col min="21" max="21" width="10.140625" style="39" customWidth="1"/>
    <col min="22" max="22" width="25.42578125" customWidth="1"/>
  </cols>
  <sheetData>
    <row r="1" spans="1:25" s="58" customFormat="1" ht="21.75" customHeight="1" x14ac:dyDescent="0.25">
      <c r="A1" s="58" t="s">
        <v>490</v>
      </c>
      <c r="B1" s="58" t="s">
        <v>1</v>
      </c>
      <c r="C1" s="59" t="s">
        <v>432</v>
      </c>
      <c r="D1" s="59" t="s">
        <v>433</v>
      </c>
      <c r="E1" s="58" t="s">
        <v>434</v>
      </c>
      <c r="F1" s="58" t="s">
        <v>2</v>
      </c>
      <c r="G1" s="58" t="s">
        <v>435</v>
      </c>
      <c r="H1" s="60" t="s">
        <v>25</v>
      </c>
      <c r="I1" s="58" t="s">
        <v>6</v>
      </c>
      <c r="J1" s="58" t="s">
        <v>7</v>
      </c>
      <c r="K1" s="59" t="s">
        <v>436</v>
      </c>
      <c r="L1" s="58" t="s">
        <v>444</v>
      </c>
      <c r="M1" s="61" t="s">
        <v>445</v>
      </c>
      <c r="N1" s="58">
        <f>SUM(L:L)</f>
        <v>116</v>
      </c>
      <c r="O1" s="58">
        <f>SUM(M:M)</f>
        <v>908</v>
      </c>
      <c r="P1" s="58">
        <f>SUM(N1:O1)</f>
        <v>1024</v>
      </c>
      <c r="Q1" s="58" t="s">
        <v>458</v>
      </c>
      <c r="S1" s="59" t="s">
        <v>433</v>
      </c>
      <c r="T1" s="58" t="s">
        <v>587</v>
      </c>
      <c r="U1" s="59" t="s">
        <v>433</v>
      </c>
      <c r="V1" s="58" t="s">
        <v>586</v>
      </c>
    </row>
    <row r="2" spans="1:25" x14ac:dyDescent="0.25">
      <c r="A2">
        <v>100</v>
      </c>
      <c r="B2" t="s">
        <v>5</v>
      </c>
      <c r="C2" s="39" t="s">
        <v>260</v>
      </c>
      <c r="D2" s="39">
        <v>1</v>
      </c>
      <c r="E2" s="26">
        <v>0</v>
      </c>
      <c r="F2" s="26">
        <v>3</v>
      </c>
      <c r="G2" s="26">
        <v>8</v>
      </c>
      <c r="H2" s="49" t="str">
        <f>DEC2HEX(I2)</f>
        <v>42</v>
      </c>
      <c r="I2" s="27">
        <v>66</v>
      </c>
      <c r="J2" s="27" t="str">
        <f>CHAR(I2)</f>
        <v>B</v>
      </c>
      <c r="K2" s="38"/>
      <c r="L2">
        <f>IF(ISBLANK(D2),IF(E2&gt;0,F2-E2+1,0),0)</f>
        <v>0</v>
      </c>
      <c r="M2" s="45">
        <f>IF(ISBLANK(D2),0,IF(G2=0,F2-E2+1,0))</f>
        <v>0</v>
      </c>
      <c r="Q2" s="42" t="str">
        <f>C2&amp;IF(ISBLANK(D2),"","=")&amp;D2</f>
        <v>AxisId=1</v>
      </c>
      <c r="S2" s="39">
        <v>2</v>
      </c>
      <c r="T2" s="42" t="str">
        <f>C2&amp;IF(ISBLANK(S2),"","=")&amp;S2</f>
        <v>AxisId=2</v>
      </c>
      <c r="U2" s="39">
        <v>3</v>
      </c>
      <c r="V2" s="42" t="str">
        <f>C2&amp;IF(ISBLANK(U2),"","=")&amp;U2</f>
        <v>AxisId=3</v>
      </c>
    </row>
    <row r="3" spans="1:25" x14ac:dyDescent="0.25">
      <c r="A3">
        <v>104</v>
      </c>
      <c r="B3" t="s">
        <v>5</v>
      </c>
      <c r="C3" s="39" t="s">
        <v>363</v>
      </c>
      <c r="D3" s="39">
        <v>51</v>
      </c>
      <c r="E3" s="26">
        <v>0</v>
      </c>
      <c r="F3" s="26">
        <v>3</v>
      </c>
      <c r="G3" s="26">
        <v>0</v>
      </c>
      <c r="H3" s="49" t="str">
        <f>DEC2HEX(I3)</f>
        <v>6E</v>
      </c>
      <c r="I3" s="27">
        <v>110</v>
      </c>
      <c r="J3" s="27" t="str">
        <f>CHAR(I3)</f>
        <v>n</v>
      </c>
      <c r="K3" s="38"/>
      <c r="L3">
        <f>IF(ISBLANK(D3),IF(E3&gt;0,F3-E3+1,0),0)</f>
        <v>0</v>
      </c>
      <c r="M3" s="45">
        <f>IF(ISBLANK(D3),0,IF(G3=0,F3-E3+1,0))</f>
        <v>4</v>
      </c>
      <c r="Q3" s="42" t="str">
        <f>C3&amp;IF(ISBLANK(D3),"","=")&amp;D3</f>
        <v>SpeedPercentage_Spindle=51</v>
      </c>
      <c r="S3" s="39">
        <v>100</v>
      </c>
      <c r="T3" s="42" t="str">
        <f>C3&amp;IF(ISBLANK(S3),"","=")&amp;S3</f>
        <v>SpeedPercentage_Spindle=100</v>
      </c>
      <c r="U3" s="39">
        <v>11</v>
      </c>
      <c r="V3" s="42" t="str">
        <f>C3&amp;IF(ISBLANK(U3),"","=")&amp;U3</f>
        <v>SpeedPercentage_Spindle=11</v>
      </c>
    </row>
    <row r="4" spans="1:25" s="84" customFormat="1" x14ac:dyDescent="0.25">
      <c r="A4">
        <v>7</v>
      </c>
      <c r="B4" t="s">
        <v>185</v>
      </c>
      <c r="C4" s="39" t="s">
        <v>311</v>
      </c>
      <c r="D4" s="39">
        <v>5</v>
      </c>
      <c r="E4" s="26">
        <v>0</v>
      </c>
      <c r="F4" s="26">
        <v>3</v>
      </c>
      <c r="G4" s="26">
        <v>24</v>
      </c>
      <c r="H4" s="56" t="str">
        <f>DEC2HEX(I4)</f>
        <v>F5</v>
      </c>
      <c r="I4" s="55">
        <v>245</v>
      </c>
      <c r="J4" s="55" t="str">
        <f>CHAR(I4)</f>
        <v>õ</v>
      </c>
      <c r="K4" s="79"/>
      <c r="L4">
        <f>IF(ISBLANK(D4),IF(E4&gt;0,F4-E4+1,0),0)</f>
        <v>0</v>
      </c>
      <c r="M4" s="45">
        <f>IF(ISBLANK(D4),0,IF(G4=0,F4-E4+1,0))</f>
        <v>0</v>
      </c>
      <c r="N4" s="54"/>
      <c r="O4" s="54"/>
      <c r="P4" s="54"/>
      <c r="Q4" s="42" t="str">
        <f>C4&amp;IF(ISBLANK(D4),"","=")&amp;D4</f>
        <v>MotorCount=5</v>
      </c>
      <c r="R4"/>
      <c r="S4" s="39">
        <v>5</v>
      </c>
      <c r="T4" s="42" t="str">
        <f>C4&amp;IF(ISBLANK(S4),"","=")&amp;S4</f>
        <v>MotorCount=5</v>
      </c>
      <c r="U4" s="39">
        <v>3</v>
      </c>
      <c r="V4" s="42" t="str">
        <f>C4&amp;IF(ISBLANK(U4),"","=")&amp;U4</f>
        <v>MotorCount=3</v>
      </c>
      <c r="W4"/>
      <c r="X4"/>
      <c r="Y4"/>
    </row>
    <row r="5" spans="1:25" x14ac:dyDescent="0.25">
      <c r="A5">
        <v>6</v>
      </c>
      <c r="B5" t="s">
        <v>185</v>
      </c>
      <c r="C5" s="39" t="s">
        <v>460</v>
      </c>
      <c r="D5" s="39">
        <v>4</v>
      </c>
      <c r="E5" s="26">
        <v>0</v>
      </c>
      <c r="F5" s="26">
        <v>3</v>
      </c>
      <c r="G5" s="26">
        <v>16</v>
      </c>
      <c r="H5" s="56" t="str">
        <f>DEC2HEX(I5)</f>
        <v>F4</v>
      </c>
      <c r="I5" s="55">
        <v>244</v>
      </c>
      <c r="J5" s="55" t="str">
        <f>CHAR(I5)</f>
        <v>ô</v>
      </c>
      <c r="K5" s="79"/>
      <c r="L5">
        <f>IF(ISBLANK(D5),IF(E5&gt;0,F5-E5+1,0),0)</f>
        <v>0</v>
      </c>
      <c r="M5" s="45">
        <f>IF(ISBLANK(D5),0,IF(G5=0,F5-E5+1,0))</f>
        <v>0</v>
      </c>
      <c r="Q5" s="42" t="str">
        <f>C5&amp;IF(ISBLANK(D5),"","=")&amp;D5</f>
        <v>VendorId=4</v>
      </c>
      <c r="S5" s="39">
        <v>4</v>
      </c>
      <c r="T5" s="42" t="str">
        <f>C5&amp;IF(ISBLANK(S5),"","=")&amp;S5</f>
        <v>VendorId=4</v>
      </c>
      <c r="U5" s="39">
        <v>3</v>
      </c>
      <c r="V5" s="42" t="str">
        <f>C5&amp;IF(ISBLANK(U5),"","=")&amp;U5</f>
        <v>VendorId=3</v>
      </c>
    </row>
    <row r="6" spans="1:25" x14ac:dyDescent="0.25">
      <c r="A6">
        <v>246</v>
      </c>
      <c r="B6" t="s">
        <v>442</v>
      </c>
      <c r="C6" s="39" t="s">
        <v>516</v>
      </c>
      <c r="D6" s="39">
        <v>0</v>
      </c>
      <c r="E6" s="27">
        <v>4</v>
      </c>
      <c r="F6" s="27">
        <v>7</v>
      </c>
      <c r="G6" s="26"/>
      <c r="H6" s="49" t="str">
        <f>DEC2HEX(I6)</f>
        <v>B2</v>
      </c>
      <c r="I6" s="27">
        <v>178</v>
      </c>
      <c r="J6" s="27" t="str">
        <f>CHAR(I6)</f>
        <v>²</v>
      </c>
      <c r="L6">
        <f>IF(ISBLANK(D6),IF(E6&gt;0,F6-E6+1,0),0)</f>
        <v>0</v>
      </c>
      <c r="M6" s="45">
        <f>IF(ISBLANK(D6),0,IF(G6=0,F6-E6+1,0))</f>
        <v>4</v>
      </c>
      <c r="Q6" s="42" t="str">
        <f>C6&amp;IF(ISBLANK(D6),"","=")&amp;D6</f>
        <v>Synchro_M3_and_Spindle=0</v>
      </c>
      <c r="S6" s="39">
        <v>0</v>
      </c>
      <c r="T6" s="42" t="str">
        <f>C6&amp;IF(ISBLANK(S6),"","=")&amp;S6</f>
        <v>Synchro_M3_and_Spindle=0</v>
      </c>
      <c r="U6" s="39">
        <v>1</v>
      </c>
      <c r="V6" s="42" t="str">
        <f>C6&amp;IF(ISBLANK(U6),"","=")&amp;U6</f>
        <v>Synchro_M3_and_Spindle=1</v>
      </c>
    </row>
    <row r="7" spans="1:25" x14ac:dyDescent="0.25">
      <c r="A7">
        <v>116</v>
      </c>
      <c r="B7" t="s">
        <v>5</v>
      </c>
      <c r="C7" s="39" t="s">
        <v>372</v>
      </c>
      <c r="D7" s="39">
        <v>59</v>
      </c>
      <c r="E7" s="26">
        <v>8</v>
      </c>
      <c r="F7" s="26">
        <v>11</v>
      </c>
      <c r="G7" s="26">
        <v>16</v>
      </c>
      <c r="H7" s="110" t="str">
        <f>DEC2HEX(I7)</f>
        <v>6F</v>
      </c>
      <c r="I7" s="26">
        <v>111</v>
      </c>
      <c r="J7" s="27" t="str">
        <f>CHAR(I7)</f>
        <v>o</v>
      </c>
      <c r="K7" s="109"/>
      <c r="L7">
        <f>IF(ISBLANK(D7),IF(E7&gt;0,F7-E7+1,0),0)</f>
        <v>0</v>
      </c>
      <c r="M7" s="45">
        <f>IF(ISBLANK(D7),0,IF(G7=0,F7-E7+1,0))</f>
        <v>0</v>
      </c>
      <c r="Q7" s="42" t="str">
        <f>C7&amp;IF(ISBLANK(D7),"","=")&amp;D7</f>
        <v>SpeedPercentage_M3 =59</v>
      </c>
      <c r="S7" s="39">
        <v>100</v>
      </c>
      <c r="T7" s="42" t="str">
        <f>C7&amp;IF(ISBLANK(S7),"","=")&amp;S7</f>
        <v>SpeedPercentage_M3 =100</v>
      </c>
      <c r="U7" s="39">
        <v>10</v>
      </c>
      <c r="V7" s="42" t="str">
        <f>C7&amp;IF(ISBLANK(U7),"","=")&amp;U7</f>
        <v>SpeedPercentage_M3 =10</v>
      </c>
    </row>
    <row r="8" spans="1:25" x14ac:dyDescent="0.25">
      <c r="A8">
        <v>120</v>
      </c>
      <c r="B8" t="s">
        <v>5</v>
      </c>
      <c r="C8" s="39" t="s">
        <v>375</v>
      </c>
      <c r="D8" s="39">
        <v>60</v>
      </c>
      <c r="E8" s="26">
        <v>8</v>
      </c>
      <c r="F8" s="26">
        <v>11</v>
      </c>
      <c r="G8" s="26">
        <v>24</v>
      </c>
      <c r="H8" s="49" t="str">
        <f>DEC2HEX(I8)</f>
        <v>6F</v>
      </c>
      <c r="I8" s="26">
        <v>111</v>
      </c>
      <c r="J8" s="27" t="str">
        <f>CHAR(I8)</f>
        <v>o</v>
      </c>
      <c r="K8" s="109"/>
      <c r="L8">
        <f>IF(ISBLANK(D8),IF(E8&gt;0,F8-E8+1,0),0)</f>
        <v>0</v>
      </c>
      <c r="M8" s="45">
        <f>IF(ISBLANK(D8),0,IF(G8=0,F8-E8+1,0))</f>
        <v>0</v>
      </c>
      <c r="Q8" s="42" t="str">
        <f>C8&amp;IF(ISBLANK(D8),"","=")&amp;D8</f>
        <v>SpeedPercentage_M4 =60</v>
      </c>
      <c r="S8" s="39">
        <v>100</v>
      </c>
      <c r="T8" s="42" t="str">
        <f>C8&amp;IF(ISBLANK(S8),"","=")&amp;S8</f>
        <v>SpeedPercentage_M4 =100</v>
      </c>
      <c r="U8" s="39">
        <v>11</v>
      </c>
      <c r="V8" s="42" t="str">
        <f>C8&amp;IF(ISBLANK(U8),"","=")&amp;U8</f>
        <v>SpeedPercentage_M4 =11</v>
      </c>
    </row>
    <row r="9" spans="1:25" x14ac:dyDescent="0.25">
      <c r="A9">
        <v>112</v>
      </c>
      <c r="B9" t="s">
        <v>5</v>
      </c>
      <c r="C9" s="39" t="s">
        <v>369</v>
      </c>
      <c r="D9" s="39">
        <v>54</v>
      </c>
      <c r="E9" s="26">
        <v>8</v>
      </c>
      <c r="F9" s="26">
        <v>11</v>
      </c>
      <c r="G9" s="26">
        <v>8</v>
      </c>
      <c r="H9" s="49" t="str">
        <f>DEC2HEX(I9)</f>
        <v>6F</v>
      </c>
      <c r="I9" s="26">
        <v>111</v>
      </c>
      <c r="J9" s="27" t="str">
        <f>CHAR(I9)</f>
        <v>o</v>
      </c>
      <c r="K9" s="109"/>
      <c r="L9">
        <f>IF(ISBLANK(D9),IF(E9&gt;0,F9-E9+1,0),0)</f>
        <v>0</v>
      </c>
      <c r="M9" s="45">
        <f>IF(ISBLANK(D9),0,IF(G9=0,F9-E9+1,0))</f>
        <v>0</v>
      </c>
      <c r="Q9" s="42" t="str">
        <f>C9&amp;IF(ISBLANK(D9),"","=")&amp;D9</f>
        <v>SpeedPercentage_X=54</v>
      </c>
      <c r="S9" s="39">
        <v>100</v>
      </c>
      <c r="T9" s="42" t="str">
        <f>C9&amp;IF(ISBLANK(S9),"","=")&amp;S9</f>
        <v>SpeedPercentage_X=100</v>
      </c>
      <c r="U9" s="39">
        <v>11</v>
      </c>
      <c r="V9" s="42" t="str">
        <f>C9&amp;IF(ISBLANK(U9),"","=")&amp;U9</f>
        <v>SpeedPercentage_X=11</v>
      </c>
    </row>
    <row r="10" spans="1:25" x14ac:dyDescent="0.25">
      <c r="A10">
        <v>108</v>
      </c>
      <c r="B10" t="s">
        <v>5</v>
      </c>
      <c r="C10" s="39" t="s">
        <v>366</v>
      </c>
      <c r="D10" s="39">
        <v>53</v>
      </c>
      <c r="E10" s="26">
        <v>8</v>
      </c>
      <c r="F10" s="26">
        <v>11</v>
      </c>
      <c r="G10" s="26">
        <v>0</v>
      </c>
      <c r="H10" s="49" t="str">
        <f>DEC2HEX(I10)</f>
        <v>6F</v>
      </c>
      <c r="I10" s="26">
        <v>111</v>
      </c>
      <c r="J10" s="27" t="str">
        <f>CHAR(I10)</f>
        <v>o</v>
      </c>
      <c r="K10" s="109"/>
      <c r="L10">
        <f>IF(ISBLANK(D10),IF(E10&gt;0,F10-E10+1,0),0)</f>
        <v>0</v>
      </c>
      <c r="M10" s="45">
        <f>IF(ISBLANK(D10),0,IF(G10=0,F10-E10+1,0))</f>
        <v>4</v>
      </c>
      <c r="Q10" s="42" t="str">
        <f>C10&amp;IF(ISBLANK(D10),"","=")&amp;D10</f>
        <v>SpeedPercentage_Z=53</v>
      </c>
      <c r="S10" s="39">
        <v>100</v>
      </c>
      <c r="T10" s="42" t="str">
        <f>C10&amp;IF(ISBLANK(S10),"","=")&amp;S10</f>
        <v>SpeedPercentage_Z=100</v>
      </c>
      <c r="U10" s="39">
        <v>11</v>
      </c>
      <c r="V10" s="42" t="str">
        <f>C10&amp;IF(ISBLANK(U10),"","=")&amp;U10</f>
        <v>SpeedPercentage_Z=11</v>
      </c>
    </row>
    <row r="11" spans="1:25" x14ac:dyDescent="0.25">
      <c r="A11">
        <v>239</v>
      </c>
      <c r="B11" t="s">
        <v>42</v>
      </c>
      <c r="C11" s="39" t="s">
        <v>403</v>
      </c>
      <c r="D11" s="39">
        <v>4.78</v>
      </c>
      <c r="E11" s="26">
        <v>12</v>
      </c>
      <c r="F11" s="26">
        <v>19</v>
      </c>
      <c r="G11" s="26"/>
      <c r="H11" s="49" t="str">
        <f>DEC2HEX(I11)</f>
        <v>B5</v>
      </c>
      <c r="I11" s="27">
        <v>181</v>
      </c>
      <c r="J11" s="27" t="str">
        <f>CHAR(I11)</f>
        <v>µ</v>
      </c>
      <c r="L11">
        <f>IF(ISBLANK(D11),IF(E11&gt;0,F11-E11+1,0),0)</f>
        <v>0</v>
      </c>
      <c r="M11" s="45">
        <f>IF(ISBLANK(D11),0,IF(G11=0,F11-E11+1,0))</f>
        <v>8</v>
      </c>
      <c r="Q11" s="42" t="str">
        <f>C11&amp;IF(ISBLANK(D11),"","=")&amp;D11</f>
        <v>Distance_M4-1=4.78</v>
      </c>
      <c r="S11" s="39">
        <v>0.2</v>
      </c>
      <c r="T11" s="42" t="str">
        <f>C11&amp;IF(ISBLANK(S11),"","=")&amp;S11</f>
        <v>Distance_M4-1=0.2</v>
      </c>
      <c r="U11" s="39">
        <v>11</v>
      </c>
      <c r="V11" s="42" t="str">
        <f>C11&amp;IF(ISBLANK(U11),"","=")&amp;U11</f>
        <v>Distance_M4-1=11</v>
      </c>
    </row>
    <row r="12" spans="1:25" x14ac:dyDescent="0.25">
      <c r="A12">
        <v>249</v>
      </c>
      <c r="B12" t="s">
        <v>442</v>
      </c>
      <c r="C12" s="39" t="s">
        <v>260</v>
      </c>
      <c r="D12" s="39">
        <v>1</v>
      </c>
      <c r="E12" s="26">
        <v>20</v>
      </c>
      <c r="F12" s="26">
        <v>23</v>
      </c>
      <c r="G12" s="26">
        <v>8</v>
      </c>
      <c r="H12" s="49" t="str">
        <f>DEC2HEX(I12)</f>
        <v>42</v>
      </c>
      <c r="I12" s="27">
        <v>66</v>
      </c>
      <c r="J12" s="27" t="str">
        <f>CHAR(I12)</f>
        <v>B</v>
      </c>
      <c r="L12">
        <f>IF(ISBLANK(D12),IF(E12&gt;0,F12-E12+1,0),0)</f>
        <v>0</v>
      </c>
      <c r="M12" s="45">
        <f>IF(ISBLANK(D12),0,IF(G12=0,F12-E12+1,0))</f>
        <v>0</v>
      </c>
      <c r="Q12" s="42" t="str">
        <f>C12&amp;IF(ISBLANK(D12),"","=")&amp;D12</f>
        <v>AxisId=1</v>
      </c>
      <c r="S12" s="39">
        <v>1</v>
      </c>
      <c r="T12" s="42" t="str">
        <f>C12&amp;IF(ISBLANK(S12),"","=")&amp;S12</f>
        <v>AxisId=1</v>
      </c>
      <c r="U12" s="39">
        <v>2</v>
      </c>
      <c r="V12" s="42" t="str">
        <f>C12&amp;IF(ISBLANK(U12),"","=")&amp;U12</f>
        <v>AxisId=2</v>
      </c>
    </row>
    <row r="13" spans="1:25" s="30" customFormat="1" x14ac:dyDescent="0.25">
      <c r="A13">
        <v>250</v>
      </c>
      <c r="B13" t="s">
        <v>442</v>
      </c>
      <c r="C13" s="39" t="s">
        <v>409</v>
      </c>
      <c r="D13" s="39">
        <v>0</v>
      </c>
      <c r="E13" s="26">
        <v>20</v>
      </c>
      <c r="F13" s="26">
        <v>23</v>
      </c>
      <c r="G13" s="26">
        <v>16</v>
      </c>
      <c r="H13" s="49" t="str">
        <f>DEC2HEX(I13)</f>
        <v>57</v>
      </c>
      <c r="I13" s="27">
        <v>87</v>
      </c>
      <c r="J13" s="27" t="str">
        <f>CHAR(I13)</f>
        <v>W</v>
      </c>
      <c r="K13" s="39"/>
      <c r="L13">
        <f>IF(ISBLANK(D13),IF(E13&gt;0,F13-E13+1,0),0)</f>
        <v>0</v>
      </c>
      <c r="M13" s="45">
        <f>IF(ISBLANK(D13),0,IF(G13=0,F13-E13+1,0))</f>
        <v>0</v>
      </c>
      <c r="N13" s="54"/>
      <c r="O13" s="54"/>
      <c r="P13" s="54"/>
      <c r="Q13" s="42" t="str">
        <f>C13&amp;IF(ISBLANK(D13),"","=")&amp;D13</f>
        <v>RadialOrAxial=0</v>
      </c>
      <c r="R13"/>
      <c r="S13" s="39">
        <v>0</v>
      </c>
      <c r="T13" s="42" t="str">
        <f>C13&amp;IF(ISBLANK(S13),"","=")&amp;S13</f>
        <v>RadialOrAxial=0</v>
      </c>
      <c r="U13" s="39">
        <v>1</v>
      </c>
      <c r="V13" s="42" t="str">
        <f>C13&amp;IF(ISBLANK(U13),"","=")&amp;U13</f>
        <v>RadialOrAxial=1</v>
      </c>
      <c r="W13"/>
      <c r="X13"/>
      <c r="Y13"/>
    </row>
    <row r="14" spans="1:25" x14ac:dyDescent="0.25">
      <c r="A14">
        <v>254</v>
      </c>
      <c r="B14" t="s">
        <v>442</v>
      </c>
      <c r="C14" s="39" t="s">
        <v>363</v>
      </c>
      <c r="D14" s="39">
        <v>42</v>
      </c>
      <c r="E14" s="26">
        <v>20</v>
      </c>
      <c r="F14" s="26">
        <v>23</v>
      </c>
      <c r="G14" s="26">
        <v>0</v>
      </c>
      <c r="H14" s="49" t="str">
        <f>DEC2HEX(I14)</f>
        <v>6E</v>
      </c>
      <c r="I14" s="27">
        <v>110</v>
      </c>
      <c r="J14" s="27" t="str">
        <f>CHAR(I14)</f>
        <v>n</v>
      </c>
      <c r="L14">
        <f>IF(ISBLANK(D14),IF(E14&gt;0,F14-E14+1,0),0)</f>
        <v>0</v>
      </c>
      <c r="M14" s="45">
        <f>IF(ISBLANK(D14),0,IF(G14=0,F14-E14+1,0))</f>
        <v>4</v>
      </c>
      <c r="Q14" s="42" t="str">
        <f>C14&amp;IF(ISBLANK(D14),"","=")&amp;D14</f>
        <v>SpeedPercentage_Spindle=42</v>
      </c>
      <c r="S14" s="39">
        <v>100</v>
      </c>
      <c r="T14" s="42" t="str">
        <f>C14&amp;IF(ISBLANK(S14),"","=")&amp;S14</f>
        <v>SpeedPercentage_Spindle=100</v>
      </c>
      <c r="U14" s="39">
        <v>11</v>
      </c>
      <c r="V14" s="42" t="str">
        <f>C14&amp;IF(ISBLANK(U14),"","=")&amp;U14</f>
        <v>SpeedPercentage_Spindle=11</v>
      </c>
    </row>
    <row r="15" spans="1:25" x14ac:dyDescent="0.25">
      <c r="A15">
        <v>274</v>
      </c>
      <c r="B15" t="s">
        <v>35</v>
      </c>
      <c r="C15" s="39" t="s">
        <v>405</v>
      </c>
      <c r="D15" s="39">
        <v>0</v>
      </c>
      <c r="E15" s="26">
        <v>20</v>
      </c>
      <c r="F15" s="26">
        <v>23</v>
      </c>
      <c r="G15" s="26">
        <v>24</v>
      </c>
      <c r="H15" s="49" t="str">
        <f>DEC2HEX(I15)</f>
        <v>49</v>
      </c>
      <c r="I15" s="27">
        <v>73</v>
      </c>
      <c r="J15" s="27" t="str">
        <f>CHAR(I15)</f>
        <v>I</v>
      </c>
      <c r="L15">
        <f>IF(ISBLANK(D15),IF(E15&gt;0,F15-E15+1,0),0)</f>
        <v>0</v>
      </c>
      <c r="M15" s="45">
        <f>IF(ISBLANK(D15),0,IF(G15=0,F15-E15+1,0))</f>
        <v>0</v>
      </c>
      <c r="Q15" s="42" t="str">
        <f>C15&amp;IF(ISBLANK(D15),"","=")&amp;D15</f>
        <v>HelixType=0</v>
      </c>
      <c r="S15" s="39">
        <v>0</v>
      </c>
      <c r="T15" s="42" t="str">
        <f>C15&amp;IF(ISBLANK(S15),"","=")&amp;S15</f>
        <v>HelixType=0</v>
      </c>
      <c r="U15" s="39">
        <v>1</v>
      </c>
      <c r="V15" s="42" t="str">
        <f>C15&amp;IF(ISBLANK(U15),"","=")&amp;U15</f>
        <v>HelixType=1</v>
      </c>
    </row>
    <row r="16" spans="1:25" x14ac:dyDescent="0.25">
      <c r="A16">
        <v>247</v>
      </c>
      <c r="B16" t="s">
        <v>442</v>
      </c>
      <c r="C16" s="39" t="s">
        <v>517</v>
      </c>
      <c r="D16" s="39">
        <v>100</v>
      </c>
      <c r="E16" s="26">
        <v>24</v>
      </c>
      <c r="F16" s="26">
        <v>31</v>
      </c>
      <c r="G16" s="26"/>
      <c r="H16" s="49" t="str">
        <f>DEC2HEX(I16)</f>
        <v>B3</v>
      </c>
      <c r="I16" s="27">
        <v>179</v>
      </c>
      <c r="J16" s="27" t="str">
        <f>CHAR(I16)</f>
        <v>³</v>
      </c>
      <c r="L16">
        <f>IF(ISBLANK(D16),IF(E16&gt;0,F16-E16+1,0),0)</f>
        <v>0</v>
      </c>
      <c r="M16" s="45">
        <f>IF(ISBLANK(D16),0,IF(G16=0,F16-E16+1,0))</f>
        <v>8</v>
      </c>
      <c r="Q16" s="42" t="str">
        <f>C16&amp;IF(ISBLANK(D16),"","=")&amp;D16</f>
        <v>Synchro_Percentage=100</v>
      </c>
      <c r="S16" s="39">
        <v>100</v>
      </c>
      <c r="T16" s="42" t="str">
        <f>C16&amp;IF(ISBLANK(S16),"","=")&amp;S16</f>
        <v>Synchro_Percentage=100</v>
      </c>
      <c r="U16" s="39">
        <v>11</v>
      </c>
      <c r="V16" s="42" t="str">
        <f>C16&amp;IF(ISBLANK(U16),"","=")&amp;U16</f>
        <v>Synchro_Percentage=11</v>
      </c>
    </row>
    <row r="17" spans="1:25" x14ac:dyDescent="0.25">
      <c r="A17">
        <v>179</v>
      </c>
      <c r="B17" t="s">
        <v>0</v>
      </c>
      <c r="C17" s="39" t="s">
        <v>376</v>
      </c>
      <c r="D17" s="39">
        <v>5072</v>
      </c>
      <c r="E17" s="26">
        <v>32</v>
      </c>
      <c r="F17" s="26">
        <v>35</v>
      </c>
      <c r="G17" s="26"/>
      <c r="H17" s="49" t="str">
        <f>DEC2HEX(I17)</f>
        <v>B9</v>
      </c>
      <c r="I17" s="27">
        <v>185</v>
      </c>
      <c r="J17" s="27" t="str">
        <f>CHAR(I17)</f>
        <v>¹</v>
      </c>
      <c r="L17">
        <f>IF(ISBLANK(D17),IF(E17&gt;0,F17-E17+1,0),0)</f>
        <v>0</v>
      </c>
      <c r="M17" s="45">
        <f>IF(ISBLANK(D17),0,IF(G17=0,F17-E17+1,0))</f>
        <v>4</v>
      </c>
      <c r="Q17" s="42" t="str">
        <f>C17&amp;IF(ISBLANK(D17),"","=")&amp;D17</f>
        <v>MaxSpeed_M3=5072</v>
      </c>
      <c r="S17" s="39">
        <v>30000</v>
      </c>
      <c r="T17" s="42" t="str">
        <f>C17&amp;IF(ISBLANK(S17),"","=")&amp;S17</f>
        <v>MaxSpeed_M3=30000</v>
      </c>
      <c r="U17" s="39">
        <v>1000</v>
      </c>
      <c r="V17" s="42" t="str">
        <f>C17&amp;IF(ISBLANK(U17),"","=")&amp;U17</f>
        <v>MaxSpeed_M3=1000</v>
      </c>
    </row>
    <row r="18" spans="1:25" x14ac:dyDescent="0.25">
      <c r="A18">
        <v>240</v>
      </c>
      <c r="B18" t="s">
        <v>42</v>
      </c>
      <c r="C18" s="39" t="s">
        <v>404</v>
      </c>
      <c r="D18" s="39">
        <v>4.79</v>
      </c>
      <c r="E18" s="26">
        <v>36</v>
      </c>
      <c r="F18" s="26">
        <v>43</v>
      </c>
      <c r="G18" s="26"/>
      <c r="H18" s="49" t="str">
        <f>DEC2HEX(I18)</f>
        <v>B5</v>
      </c>
      <c r="I18" s="27">
        <v>181</v>
      </c>
      <c r="J18" s="27" t="str">
        <f>CHAR(I18)</f>
        <v>µ</v>
      </c>
      <c r="L18">
        <f>IF(ISBLANK(D18),IF(E18&gt;0,F18-E18+1,0),0)</f>
        <v>0</v>
      </c>
      <c r="M18" s="45">
        <f>IF(ISBLANK(D18),0,IF(G18=0,F18-E18+1,0))</f>
        <v>8</v>
      </c>
      <c r="Q18" s="42" t="str">
        <f>C18&amp;IF(ISBLANK(D18),"","=")&amp;D18</f>
        <v>Distance_M4-2=4.79</v>
      </c>
      <c r="S18" s="39">
        <v>0.1</v>
      </c>
      <c r="T18" s="42" t="str">
        <f>C18&amp;IF(ISBLANK(S18),"","=")&amp;S18</f>
        <v>Distance_M4-2=0.1</v>
      </c>
      <c r="U18" s="39">
        <v>11</v>
      </c>
      <c r="V18" s="42" t="str">
        <f>C18&amp;IF(ISBLANK(U18),"","=")&amp;U18</f>
        <v>Distance_M4-2=11</v>
      </c>
    </row>
    <row r="19" spans="1:25" s="30" customFormat="1" x14ac:dyDescent="0.25">
      <c r="A19">
        <v>180</v>
      </c>
      <c r="B19" t="s">
        <v>0</v>
      </c>
      <c r="C19" s="39" t="s">
        <v>377</v>
      </c>
      <c r="D19" s="39">
        <v>5073</v>
      </c>
      <c r="E19" s="26">
        <v>44</v>
      </c>
      <c r="F19" s="26">
        <v>47</v>
      </c>
      <c r="G19" s="26"/>
      <c r="H19" s="49" t="str">
        <f>DEC2HEX(I19)</f>
        <v>BA</v>
      </c>
      <c r="I19" s="27">
        <v>186</v>
      </c>
      <c r="J19" s="27" t="str">
        <f>CHAR(I19)</f>
        <v>º</v>
      </c>
      <c r="K19" s="39"/>
      <c r="L19">
        <f>IF(ISBLANK(D19),IF(E19&gt;0,F19-E19+1,0),0)</f>
        <v>0</v>
      </c>
      <c r="M19" s="45">
        <f>IF(ISBLANK(D19),0,IF(G19=0,F19-E19+1,0))</f>
        <v>4</v>
      </c>
      <c r="N19" s="54"/>
      <c r="O19" s="54"/>
      <c r="P19" s="54"/>
      <c r="Q19" s="42" t="str">
        <f>C19&amp;IF(ISBLANK(D19),"","=")&amp;D19</f>
        <v>Accel_M3=5073</v>
      </c>
      <c r="R19"/>
      <c r="S19" s="39">
        <v>20000</v>
      </c>
      <c r="T19" s="42" t="str">
        <f>C19&amp;IF(ISBLANK(S19),"","=")&amp;S19</f>
        <v>Accel_M3=20000</v>
      </c>
      <c r="U19" s="39">
        <v>10001</v>
      </c>
      <c r="V19" s="42" t="str">
        <f>C19&amp;IF(ISBLANK(U19),"","=")&amp;U19</f>
        <v>Accel_M3=10001</v>
      </c>
      <c r="W19"/>
      <c r="X19"/>
      <c r="Y19"/>
    </row>
    <row r="20" spans="1:25" x14ac:dyDescent="0.25">
      <c r="A20">
        <v>266</v>
      </c>
      <c r="B20" t="s">
        <v>442</v>
      </c>
      <c r="C20" s="39" t="s">
        <v>378</v>
      </c>
      <c r="D20" s="39">
        <v>49</v>
      </c>
      <c r="E20" s="26">
        <v>48</v>
      </c>
      <c r="F20" s="26">
        <v>51</v>
      </c>
      <c r="G20" s="26">
        <v>16</v>
      </c>
      <c r="H20" s="49" t="str">
        <f>DEC2HEX(I20)</f>
        <v>6F</v>
      </c>
      <c r="I20" s="26">
        <v>111</v>
      </c>
      <c r="J20" s="27" t="str">
        <f>CHAR(I20)</f>
        <v>o</v>
      </c>
      <c r="L20">
        <f>IF(ISBLANK(D20),IF(E20&gt;0,F20-E20+1,0),0)</f>
        <v>0</v>
      </c>
      <c r="M20" s="45">
        <f>IF(ISBLANK(D20),0,IF(G20=0,F20-E20+1,0))</f>
        <v>0</v>
      </c>
      <c r="Q20" s="42" t="str">
        <f>C20&amp;IF(ISBLANK(D20),"","=")&amp;D20</f>
        <v>SpeedPercentage_M3=49</v>
      </c>
      <c r="S20" s="39">
        <v>100</v>
      </c>
      <c r="T20" s="42" t="str">
        <f>C20&amp;IF(ISBLANK(S20),"","=")&amp;S20</f>
        <v>SpeedPercentage_M3=100</v>
      </c>
      <c r="U20" s="39">
        <v>11</v>
      </c>
      <c r="V20" s="42" t="str">
        <f>C20&amp;IF(ISBLANK(U20),"","=")&amp;U20</f>
        <v>SpeedPercentage_M3=11</v>
      </c>
    </row>
    <row r="21" spans="1:25" x14ac:dyDescent="0.25">
      <c r="A21">
        <v>270</v>
      </c>
      <c r="B21" t="s">
        <v>442</v>
      </c>
      <c r="C21" s="39" t="s">
        <v>381</v>
      </c>
      <c r="D21" s="39">
        <v>49</v>
      </c>
      <c r="E21" s="26">
        <v>48</v>
      </c>
      <c r="F21" s="26">
        <v>51</v>
      </c>
      <c r="G21" s="26">
        <v>24</v>
      </c>
      <c r="H21" s="49" t="str">
        <f>DEC2HEX(I21)</f>
        <v>6F</v>
      </c>
      <c r="I21" s="26">
        <v>111</v>
      </c>
      <c r="J21" s="27" t="str">
        <f>CHAR(I21)</f>
        <v>o</v>
      </c>
      <c r="L21">
        <f>IF(ISBLANK(D21),IF(E21&gt;0,F21-E21+1,0),0)</f>
        <v>0</v>
      </c>
      <c r="M21" s="45">
        <f>IF(ISBLANK(D21),0,IF(G21=0,F21-E21+1,0))</f>
        <v>0</v>
      </c>
      <c r="Q21" s="42" t="str">
        <f>C21&amp;IF(ISBLANK(D21),"","=")&amp;D21</f>
        <v>SpeedPercentage_M4=49</v>
      </c>
      <c r="S21" s="39">
        <v>100</v>
      </c>
      <c r="T21" s="42" t="str">
        <f>C21&amp;IF(ISBLANK(S21),"","=")&amp;S21</f>
        <v>SpeedPercentage_M4=100</v>
      </c>
      <c r="U21" s="39">
        <v>11</v>
      </c>
      <c r="V21" s="42" t="str">
        <f>C21&amp;IF(ISBLANK(U21),"","=")&amp;U21</f>
        <v>SpeedPercentage_M4=11</v>
      </c>
    </row>
    <row r="22" spans="1:25" x14ac:dyDescent="0.25">
      <c r="A22">
        <v>262</v>
      </c>
      <c r="B22" t="s">
        <v>442</v>
      </c>
      <c r="C22" s="39" t="s">
        <v>369</v>
      </c>
      <c r="D22" s="39">
        <v>48</v>
      </c>
      <c r="E22" s="26">
        <v>48</v>
      </c>
      <c r="F22" s="26">
        <v>51</v>
      </c>
      <c r="G22" s="26">
        <v>8</v>
      </c>
      <c r="H22" s="49" t="str">
        <f>DEC2HEX(I22)</f>
        <v>6F</v>
      </c>
      <c r="I22" s="26">
        <v>111</v>
      </c>
      <c r="J22" s="27" t="str">
        <f>CHAR(I22)</f>
        <v>o</v>
      </c>
      <c r="L22">
        <f>IF(ISBLANK(D22),IF(E22&gt;0,F22-E22+1,0),0)</f>
        <v>0</v>
      </c>
      <c r="M22" s="45">
        <f>IF(ISBLANK(D22),0,IF(G22=0,F22-E22+1,0))</f>
        <v>0</v>
      </c>
      <c r="Q22" s="42" t="str">
        <f>C22&amp;IF(ISBLANK(D22),"","=")&amp;D22</f>
        <v>SpeedPercentage_X=48</v>
      </c>
      <c r="S22" s="39">
        <v>100</v>
      </c>
      <c r="T22" s="42" t="str">
        <f>C22&amp;IF(ISBLANK(S22),"","=")&amp;S22</f>
        <v>SpeedPercentage_X=100</v>
      </c>
      <c r="U22" s="39">
        <v>11</v>
      </c>
      <c r="V22" s="42" t="str">
        <f>C22&amp;IF(ISBLANK(U22),"","=")&amp;U22</f>
        <v>SpeedPercentage_X=11</v>
      </c>
    </row>
    <row r="23" spans="1:25" x14ac:dyDescent="0.25">
      <c r="A23">
        <v>258</v>
      </c>
      <c r="B23" t="s">
        <v>442</v>
      </c>
      <c r="C23" s="39" t="s">
        <v>366</v>
      </c>
      <c r="D23" s="39">
        <v>45</v>
      </c>
      <c r="E23" s="26">
        <v>48</v>
      </c>
      <c r="F23" s="26">
        <v>51</v>
      </c>
      <c r="G23" s="26">
        <v>0</v>
      </c>
      <c r="H23" s="49" t="str">
        <f>DEC2HEX(I23)</f>
        <v>6F</v>
      </c>
      <c r="I23" s="26">
        <v>111</v>
      </c>
      <c r="J23" s="27" t="str">
        <f>CHAR(I23)</f>
        <v>o</v>
      </c>
      <c r="L23">
        <f>IF(ISBLANK(D23),IF(E23&gt;0,F23-E23+1,0),0)</f>
        <v>0</v>
      </c>
      <c r="M23" s="45">
        <f>IF(ISBLANK(D23),0,IF(G23=0,F23-E23+1,0))</f>
        <v>4</v>
      </c>
      <c r="Q23" s="42" t="str">
        <f>C23&amp;IF(ISBLANK(D23),"","=")&amp;D23</f>
        <v>SpeedPercentage_Z=45</v>
      </c>
      <c r="S23" s="39">
        <v>100</v>
      </c>
      <c r="T23" s="42" t="str">
        <f>C23&amp;IF(ISBLANK(S23),"","=")&amp;S23</f>
        <v>SpeedPercentage_Z=100</v>
      </c>
      <c r="U23" s="39">
        <v>11</v>
      </c>
      <c r="V23" s="42" t="str">
        <f>C23&amp;IF(ISBLANK(U23),"","=")&amp;U23</f>
        <v>SpeedPercentage_Z=11</v>
      </c>
    </row>
    <row r="24" spans="1:25" x14ac:dyDescent="0.25">
      <c r="A24">
        <v>333</v>
      </c>
      <c r="B24" t="s">
        <v>233</v>
      </c>
      <c r="C24" s="39" t="s">
        <v>378</v>
      </c>
      <c r="D24" s="39">
        <v>80</v>
      </c>
      <c r="E24" s="26">
        <v>52</v>
      </c>
      <c r="F24" s="26">
        <v>55</v>
      </c>
      <c r="G24" s="26">
        <v>16</v>
      </c>
      <c r="H24" s="49" t="str">
        <f>DEC2HEX(I24)</f>
        <v>6F</v>
      </c>
      <c r="I24" s="26">
        <v>111</v>
      </c>
      <c r="J24" s="27" t="str">
        <f>CHAR(I24)</f>
        <v>o</v>
      </c>
      <c r="L24">
        <f>IF(ISBLANK(D24),IF(E24&gt;0,F24-E24+1,0),0)</f>
        <v>0</v>
      </c>
      <c r="M24" s="45">
        <f>IF(ISBLANK(D24),0,IF(G24=0,F24-E24+1,0))</f>
        <v>0</v>
      </c>
      <c r="Q24" s="42" t="str">
        <f>C24&amp;IF(ISBLANK(D24),"","=")&amp;D24</f>
        <v>SpeedPercentage_M3=80</v>
      </c>
      <c r="S24" s="39">
        <v>100</v>
      </c>
      <c r="T24" s="42" t="str">
        <f>C24&amp;IF(ISBLANK(S24),"","=")&amp;S24</f>
        <v>SpeedPercentage_M3=100</v>
      </c>
      <c r="U24" s="39">
        <v>11</v>
      </c>
      <c r="V24" s="42" t="str">
        <f>C24&amp;IF(ISBLANK(U24),"","=")&amp;U24</f>
        <v>SpeedPercentage_M3=11</v>
      </c>
    </row>
    <row r="25" spans="1:25" x14ac:dyDescent="0.25">
      <c r="A25">
        <v>339</v>
      </c>
      <c r="B25" t="s">
        <v>233</v>
      </c>
      <c r="C25" s="39" t="s">
        <v>381</v>
      </c>
      <c r="D25" s="39">
        <v>81</v>
      </c>
      <c r="E25" s="26">
        <v>52</v>
      </c>
      <c r="F25" s="26">
        <v>55</v>
      </c>
      <c r="G25" s="26">
        <v>24</v>
      </c>
      <c r="H25" s="49" t="str">
        <f>DEC2HEX(I25)</f>
        <v>6F</v>
      </c>
      <c r="I25" s="26">
        <v>111</v>
      </c>
      <c r="J25" s="27" t="str">
        <f>CHAR(I25)</f>
        <v>o</v>
      </c>
      <c r="L25">
        <f>IF(ISBLANK(D25),IF(E25&gt;0,F25-E25+1,0),0)</f>
        <v>0</v>
      </c>
      <c r="M25" s="45">
        <f>IF(ISBLANK(D25),0,IF(G25=0,F25-E25+1,0))</f>
        <v>0</v>
      </c>
      <c r="Q25" s="42" t="str">
        <f>C25&amp;IF(ISBLANK(D25),"","=")&amp;D25</f>
        <v>SpeedPercentage_M4=81</v>
      </c>
      <c r="S25" s="39">
        <v>100</v>
      </c>
      <c r="T25" s="42" t="str">
        <f>C25&amp;IF(ISBLANK(S25),"","=")&amp;S25</f>
        <v>SpeedPercentage_M4=100</v>
      </c>
      <c r="U25" s="39">
        <v>11</v>
      </c>
      <c r="V25" s="42" t="str">
        <f>C25&amp;IF(ISBLANK(U25),"","=")&amp;U25</f>
        <v>SpeedPercentage_M4=11</v>
      </c>
    </row>
    <row r="26" spans="1:25" s="30" customFormat="1" x14ac:dyDescent="0.25">
      <c r="A26">
        <v>327</v>
      </c>
      <c r="B26" t="s">
        <v>233</v>
      </c>
      <c r="C26" s="39" t="s">
        <v>369</v>
      </c>
      <c r="D26" s="39">
        <v>83</v>
      </c>
      <c r="E26" s="26">
        <v>52</v>
      </c>
      <c r="F26" s="26">
        <v>55</v>
      </c>
      <c r="G26" s="26">
        <v>8</v>
      </c>
      <c r="H26" s="49" t="str">
        <f>DEC2HEX(I26)</f>
        <v>6F</v>
      </c>
      <c r="I26" s="26">
        <v>111</v>
      </c>
      <c r="J26" s="27" t="str">
        <f>CHAR(I26)</f>
        <v>o</v>
      </c>
      <c r="K26" s="109"/>
      <c r="L26">
        <f>IF(ISBLANK(D26),IF(E26&gt;0,F26-E26+1,0),0)</f>
        <v>0</v>
      </c>
      <c r="M26" s="45">
        <f>IF(ISBLANK(D26),0,IF(G26=0,F26-E26+1,0))</f>
        <v>0</v>
      </c>
      <c r="N26" s="54"/>
      <c r="O26" s="54"/>
      <c r="P26" s="54"/>
      <c r="Q26" s="42" t="str">
        <f>C26&amp;IF(ISBLANK(D26),"","=")&amp;D26</f>
        <v>SpeedPercentage_X=83</v>
      </c>
      <c r="R26"/>
      <c r="S26" s="39">
        <v>100</v>
      </c>
      <c r="T26" s="42" t="str">
        <f>C26&amp;IF(ISBLANK(S26),"","=")&amp;S26</f>
        <v>SpeedPercentage_X=100</v>
      </c>
      <c r="U26" s="39">
        <v>11</v>
      </c>
      <c r="V26" s="42" t="str">
        <f>C26&amp;IF(ISBLANK(U26),"","=")&amp;U26</f>
        <v>SpeedPercentage_X=11</v>
      </c>
      <c r="W26"/>
      <c r="X26"/>
      <c r="Y26"/>
    </row>
    <row r="27" spans="1:25" x14ac:dyDescent="0.25">
      <c r="A27">
        <v>321</v>
      </c>
      <c r="B27" t="s">
        <v>233</v>
      </c>
      <c r="C27" s="39" t="s">
        <v>366</v>
      </c>
      <c r="D27" s="39">
        <v>84</v>
      </c>
      <c r="E27" s="26">
        <v>52</v>
      </c>
      <c r="F27" s="26">
        <v>55</v>
      </c>
      <c r="G27" s="26">
        <v>0</v>
      </c>
      <c r="H27" s="49" t="str">
        <f>DEC2HEX(I27)</f>
        <v>6F</v>
      </c>
      <c r="I27" s="26">
        <v>111</v>
      </c>
      <c r="J27" s="27" t="str">
        <f>CHAR(I27)</f>
        <v>o</v>
      </c>
      <c r="L27">
        <f>IF(ISBLANK(D27),IF(E27&gt;0,F27-E27+1,0),0)</f>
        <v>0</v>
      </c>
      <c r="M27" s="45">
        <f>IF(ISBLANK(D27),0,IF(G27=0,F27-E27+1,0))</f>
        <v>4</v>
      </c>
      <c r="Q27" s="42" t="str">
        <f>C27&amp;IF(ISBLANK(D27),"","=")&amp;D27</f>
        <v>SpeedPercentage_Z=84</v>
      </c>
      <c r="S27" s="39">
        <v>100</v>
      </c>
      <c r="T27" s="42" t="str">
        <f>C27&amp;IF(ISBLANK(S27),"","=")&amp;S27</f>
        <v>SpeedPercentage_Z=100</v>
      </c>
      <c r="U27" s="39">
        <v>11</v>
      </c>
      <c r="V27" s="42" t="str">
        <f>C27&amp;IF(ISBLANK(U27),"","=")&amp;U27</f>
        <v>SpeedPercentage_Z=11</v>
      </c>
    </row>
    <row r="28" spans="1:25" x14ac:dyDescent="0.25">
      <c r="A28">
        <v>87</v>
      </c>
      <c r="B28" t="s">
        <v>184</v>
      </c>
      <c r="C28" s="39" t="s">
        <v>361</v>
      </c>
      <c r="D28" s="39">
        <v>30000</v>
      </c>
      <c r="E28" s="26">
        <v>56</v>
      </c>
      <c r="F28" s="26">
        <v>59</v>
      </c>
      <c r="G28" s="26"/>
      <c r="H28" s="49" t="str">
        <f>DEC2HEX(I28)</f>
        <v>EA</v>
      </c>
      <c r="I28" s="27">
        <v>234</v>
      </c>
      <c r="J28" s="27" t="str">
        <f>CHAR(I28)</f>
        <v>ê</v>
      </c>
      <c r="K28" s="109"/>
      <c r="L28">
        <f>IF(ISBLANK(D28),IF(E28&gt;0,F28-E28+1,0),0)</f>
        <v>0</v>
      </c>
      <c r="M28" s="45">
        <f>IF(ISBLANK(D28),0,IF(G28=0,F28-E28+1,0))</f>
        <v>4</v>
      </c>
      <c r="Q28" s="42" t="str">
        <f>C28&amp;IF(ISBLANK(D28),"","=")&amp;D28</f>
        <v>MaxSpeed_Axis_M4=30000</v>
      </c>
      <c r="S28" s="39">
        <v>30000</v>
      </c>
      <c r="T28" s="42" t="str">
        <f>C28&amp;IF(ISBLANK(S28),"","=")&amp;S28</f>
        <v>MaxSpeed_Axis_M4=30000</v>
      </c>
      <c r="U28" s="39">
        <v>1000</v>
      </c>
      <c r="V28" s="42" t="str">
        <f>C28&amp;IF(ISBLANK(U28),"","=")&amp;U28</f>
        <v>MaxSpeed_Axis_M4=1000</v>
      </c>
    </row>
    <row r="29" spans="1:25" x14ac:dyDescent="0.25">
      <c r="A29">
        <v>341</v>
      </c>
      <c r="B29" t="s">
        <v>233</v>
      </c>
      <c r="C29" s="39" t="s">
        <v>431</v>
      </c>
      <c r="D29" s="39">
        <v>3.5680000000000001</v>
      </c>
      <c r="E29" s="26">
        <v>60</v>
      </c>
      <c r="F29" s="26">
        <v>67</v>
      </c>
      <c r="G29" s="26"/>
      <c r="H29" s="49" t="str">
        <f>DEC2HEX(I29)</f>
        <v>E3</v>
      </c>
      <c r="I29" s="27">
        <v>227</v>
      </c>
      <c r="J29" s="27" t="str">
        <f>CHAR(I29)</f>
        <v>ã</v>
      </c>
      <c r="L29">
        <f>IF(ISBLANK(D29),IF(E29&gt;0,F29-E29+1,0),0)</f>
        <v>0</v>
      </c>
      <c r="M29" s="45">
        <f>IF(ISBLANK(D29),0,IF(G29=0,F29-E29+1,0))</f>
        <v>8</v>
      </c>
      <c r="Q29" s="42" t="str">
        <f>C29&amp;IF(ISBLANK(D29),"","=")&amp;D29</f>
        <v>AxialAmplitude_M4=3.568</v>
      </c>
      <c r="S29" s="39">
        <v>0.5</v>
      </c>
      <c r="T29" s="42" t="str">
        <f>C29&amp;IF(ISBLANK(S29),"","=")&amp;S29</f>
        <v>AxialAmplitude_M4=0.5</v>
      </c>
      <c r="U29" s="39">
        <v>11</v>
      </c>
      <c r="V29" s="42" t="str">
        <f>C29&amp;IF(ISBLANK(U29),"","=")&amp;U29</f>
        <v>AxialAmplitude_M4=11</v>
      </c>
    </row>
    <row r="30" spans="1:25" x14ac:dyDescent="0.25">
      <c r="A30">
        <v>340</v>
      </c>
      <c r="B30" t="s">
        <v>233</v>
      </c>
      <c r="C30" s="39" t="s">
        <v>430</v>
      </c>
      <c r="D30" s="39">
        <v>2.6890000000000001</v>
      </c>
      <c r="E30" s="26">
        <v>68</v>
      </c>
      <c r="F30" s="26">
        <v>75</v>
      </c>
      <c r="G30" s="26"/>
      <c r="H30" s="49" t="str">
        <f>DEC2HEX(I30)</f>
        <v>E4</v>
      </c>
      <c r="I30" s="27">
        <v>228</v>
      </c>
      <c r="J30" s="27" t="str">
        <f>CHAR(I30)</f>
        <v>ä</v>
      </c>
      <c r="L30">
        <f>IF(ISBLANK(D30),IF(E30&gt;0,F30-E30+1,0),0)</f>
        <v>0</v>
      </c>
      <c r="M30" s="45">
        <f>IF(ISBLANK(D30),0,IF(G30=0,F30-E30+1,0))</f>
        <v>8</v>
      </c>
      <c r="Q30" s="42" t="str">
        <f>C30&amp;IF(ISBLANK(D30),"","=")&amp;D30</f>
        <v>RadialAmplitude_M4=2.689</v>
      </c>
      <c r="S30" s="39">
        <v>0.5</v>
      </c>
      <c r="T30" s="42" t="str">
        <f>C30&amp;IF(ISBLANK(S30),"","=")&amp;S30</f>
        <v>RadialAmplitude_M4=0.5</v>
      </c>
      <c r="U30" s="39">
        <v>11</v>
      </c>
      <c r="V30" s="42" t="str">
        <f>C30&amp;IF(ISBLANK(U30),"","=")&amp;U30</f>
        <v>RadialAmplitude_M4=11</v>
      </c>
    </row>
    <row r="31" spans="1:25" x14ac:dyDescent="0.25">
      <c r="A31">
        <v>152</v>
      </c>
      <c r="B31" t="s">
        <v>236</v>
      </c>
      <c r="C31" s="39" t="s">
        <v>378</v>
      </c>
      <c r="D31" s="39">
        <v>70</v>
      </c>
      <c r="E31" s="26">
        <v>76</v>
      </c>
      <c r="F31" s="26">
        <v>79</v>
      </c>
      <c r="G31" s="26">
        <v>16</v>
      </c>
      <c r="H31" s="49" t="str">
        <f>DEC2HEX(I31)</f>
        <v>6F</v>
      </c>
      <c r="I31" s="26">
        <v>111</v>
      </c>
      <c r="J31" s="27" t="str">
        <f>CHAR(I31)</f>
        <v>o</v>
      </c>
      <c r="L31">
        <f>IF(ISBLANK(D31),IF(E31&gt;0,F31-E31+1,0),0)</f>
        <v>0</v>
      </c>
      <c r="M31" s="45">
        <f>IF(ISBLANK(D31),0,IF(G31=0,F31-E31+1,0))</f>
        <v>0</v>
      </c>
      <c r="Q31" s="42" t="str">
        <f>C31&amp;IF(ISBLANK(D31),"","=")&amp;D31</f>
        <v>SpeedPercentage_M3=70</v>
      </c>
      <c r="S31" s="39">
        <v>100</v>
      </c>
      <c r="T31" s="42" t="str">
        <f>C31&amp;IF(ISBLANK(S31),"","=")&amp;S31</f>
        <v>SpeedPercentage_M3=100</v>
      </c>
      <c r="U31" s="39">
        <v>11</v>
      </c>
      <c r="V31" s="42" t="str">
        <f>C31&amp;IF(ISBLANK(U31),"","=")&amp;U31</f>
        <v>SpeedPercentage_M3=11</v>
      </c>
    </row>
    <row r="32" spans="1:25" x14ac:dyDescent="0.25">
      <c r="A32">
        <v>159</v>
      </c>
      <c r="B32" t="s">
        <v>236</v>
      </c>
      <c r="C32" s="39" t="s">
        <v>381</v>
      </c>
      <c r="D32" s="39">
        <v>70</v>
      </c>
      <c r="E32" s="26">
        <v>76</v>
      </c>
      <c r="F32" s="26">
        <v>79</v>
      </c>
      <c r="G32" s="26">
        <v>24</v>
      </c>
      <c r="H32" s="49" t="str">
        <f>DEC2HEX(I32)</f>
        <v>6F</v>
      </c>
      <c r="I32" s="26">
        <v>111</v>
      </c>
      <c r="J32" s="27" t="str">
        <f>CHAR(I32)</f>
        <v>o</v>
      </c>
      <c r="L32">
        <f>IF(ISBLANK(D32),IF(E32&gt;0,F32-E32+1,0),0)</f>
        <v>0</v>
      </c>
      <c r="M32" s="45">
        <f>IF(ISBLANK(D32),0,IF(G32=0,F32-E32+1,0))</f>
        <v>0</v>
      </c>
      <c r="Q32" s="42" t="str">
        <f>C32&amp;IF(ISBLANK(D32),"","=")&amp;D32</f>
        <v>SpeedPercentage_M4=70</v>
      </c>
      <c r="S32" s="39">
        <v>100</v>
      </c>
      <c r="T32" s="42" t="str">
        <f>C32&amp;IF(ISBLANK(S32),"","=")&amp;S32</f>
        <v>SpeedPercentage_M4=100</v>
      </c>
      <c r="U32" s="39">
        <v>11</v>
      </c>
      <c r="V32" s="42" t="str">
        <f>C32&amp;IF(ISBLANK(U32),"","=")&amp;U32</f>
        <v>SpeedPercentage_M4=11</v>
      </c>
    </row>
    <row r="33" spans="1:25" s="30" customFormat="1" x14ac:dyDescent="0.25">
      <c r="A33">
        <v>145</v>
      </c>
      <c r="B33" t="s">
        <v>236</v>
      </c>
      <c r="C33" s="39" t="s">
        <v>369</v>
      </c>
      <c r="D33" s="39">
        <v>67</v>
      </c>
      <c r="E33" s="26">
        <v>76</v>
      </c>
      <c r="F33" s="26">
        <v>79</v>
      </c>
      <c r="G33" s="26">
        <v>8</v>
      </c>
      <c r="H33" s="49" t="str">
        <f>DEC2HEX(I33)</f>
        <v>6F</v>
      </c>
      <c r="I33" s="26">
        <v>111</v>
      </c>
      <c r="J33" s="27" t="str">
        <f>CHAR(I33)</f>
        <v>o</v>
      </c>
      <c r="K33" s="39"/>
      <c r="L33">
        <f>IF(ISBLANK(D33),IF(E33&gt;0,F33-E33+1,0),0)</f>
        <v>0</v>
      </c>
      <c r="M33" s="45">
        <f>IF(ISBLANK(D33),0,IF(G33=0,F33-E33+1,0))</f>
        <v>0</v>
      </c>
      <c r="N33" s="54"/>
      <c r="O33" s="54"/>
      <c r="P33" s="54"/>
      <c r="Q33" s="42" t="str">
        <f>C33&amp;IF(ISBLANK(D33),"","=")&amp;D33</f>
        <v>SpeedPercentage_X=67</v>
      </c>
      <c r="R33"/>
      <c r="S33" s="39">
        <v>100</v>
      </c>
      <c r="T33" s="42" t="str">
        <f>C33&amp;IF(ISBLANK(S33),"","=")&amp;S33</f>
        <v>SpeedPercentage_X=100</v>
      </c>
      <c r="U33" s="39">
        <v>11</v>
      </c>
      <c r="V33" s="42" t="str">
        <f>C33&amp;IF(ISBLANK(U33),"","=")&amp;U33</f>
        <v>SpeedPercentage_X=11</v>
      </c>
      <c r="W33"/>
      <c r="X33"/>
      <c r="Y33"/>
    </row>
    <row r="34" spans="1:25" x14ac:dyDescent="0.25">
      <c r="A34">
        <v>138</v>
      </c>
      <c r="B34" t="s">
        <v>236</v>
      </c>
      <c r="C34" s="39" t="s">
        <v>366</v>
      </c>
      <c r="D34" s="39">
        <v>64</v>
      </c>
      <c r="E34" s="26">
        <v>76</v>
      </c>
      <c r="F34" s="26">
        <v>79</v>
      </c>
      <c r="G34" s="26">
        <v>0</v>
      </c>
      <c r="H34" s="49" t="str">
        <f>DEC2HEX(I34)</f>
        <v>6F</v>
      </c>
      <c r="I34" s="26">
        <v>111</v>
      </c>
      <c r="J34" s="27" t="str">
        <f>CHAR(I34)</f>
        <v>o</v>
      </c>
      <c r="L34">
        <f>IF(ISBLANK(D34),IF(E34&gt;0,F34-E34+1,0),0)</f>
        <v>0</v>
      </c>
      <c r="M34" s="45">
        <f>IF(ISBLANK(D34),0,IF(G34=0,F34-E34+1,0))</f>
        <v>4</v>
      </c>
      <c r="Q34" s="42" t="str">
        <f>C34&amp;IF(ISBLANK(D34),"","=")&amp;D34</f>
        <v>SpeedPercentage_Z=64</v>
      </c>
      <c r="S34" s="39">
        <v>100</v>
      </c>
      <c r="T34" s="42" t="str">
        <f>C34&amp;IF(ISBLANK(S34),"","=")&amp;S34</f>
        <v>SpeedPercentage_Z=100</v>
      </c>
      <c r="U34" s="39">
        <v>11</v>
      </c>
      <c r="V34" s="42" t="str">
        <f>C34&amp;IF(ISBLANK(U34),"","=")&amp;U34</f>
        <v>SpeedPercentage_Z=11</v>
      </c>
    </row>
    <row r="35" spans="1:25" x14ac:dyDescent="0.25">
      <c r="A35">
        <v>14</v>
      </c>
      <c r="B35" t="s">
        <v>8</v>
      </c>
      <c r="C35" s="39" t="s">
        <v>314</v>
      </c>
      <c r="D35" s="39">
        <v>200</v>
      </c>
      <c r="E35" s="26">
        <v>80</v>
      </c>
      <c r="F35" s="26">
        <v>83</v>
      </c>
      <c r="G35" s="26"/>
      <c r="H35" s="49" t="str">
        <f>DEC2HEX(I35)</f>
        <v>72</v>
      </c>
      <c r="I35" s="27">
        <v>114</v>
      </c>
      <c r="J35" s="27" t="str">
        <f>CHAR(I35)</f>
        <v>r</v>
      </c>
      <c r="L35">
        <f>IF(ISBLANK(D35),IF(E35&gt;0,F35-E35+1,0),0)</f>
        <v>0</v>
      </c>
      <c r="M35" s="45">
        <f>IF(ISBLANK(D35),0,IF(G35=0,F35-E35+1,0))</f>
        <v>4</v>
      </c>
      <c r="Q35" s="42" t="str">
        <f>C35&amp;IF(ISBLANK(D35),"","=")&amp;D35</f>
        <v>StepsPer360_Spindle=200</v>
      </c>
      <c r="S35" s="39">
        <v>200</v>
      </c>
      <c r="T35" s="42" t="str">
        <f>C35&amp;IF(ISBLANK(S35),"","=")&amp;S35</f>
        <v>StepsPer360_Spindle=200</v>
      </c>
      <c r="U35" s="39">
        <v>400</v>
      </c>
      <c r="V35" s="42" t="str">
        <f>C35&amp;IF(ISBLANK(U35),"","=")&amp;U35</f>
        <v>StepsPer360_Spindle=400</v>
      </c>
    </row>
    <row r="36" spans="1:25" x14ac:dyDescent="0.25">
      <c r="A36">
        <v>88</v>
      </c>
      <c r="B36" t="s">
        <v>184</v>
      </c>
      <c r="C36" s="39" t="s">
        <v>362</v>
      </c>
      <c r="D36" s="39">
        <v>15000</v>
      </c>
      <c r="E36" s="26">
        <v>84</v>
      </c>
      <c r="F36" s="26">
        <v>87</v>
      </c>
      <c r="G36" s="26"/>
      <c r="H36" s="49" t="str">
        <f>DEC2HEX(I36)</f>
        <v>EB</v>
      </c>
      <c r="I36" s="27">
        <v>235</v>
      </c>
      <c r="J36" s="27" t="str">
        <f>CHAR(I36)</f>
        <v>ë</v>
      </c>
      <c r="L36">
        <f>IF(ISBLANK(D36),IF(E36&gt;0,F36-E36+1,0),0)</f>
        <v>0</v>
      </c>
      <c r="M36" s="45">
        <f>IF(ISBLANK(D36),0,IF(G36=0,F36-E36+1,0))</f>
        <v>4</v>
      </c>
      <c r="Q36" s="42" t="str">
        <f>C36&amp;IF(ISBLANK(D36),"","=")&amp;D36</f>
        <v>Accel_Axis_M4=15000</v>
      </c>
      <c r="S36" s="39">
        <v>15000</v>
      </c>
      <c r="T36" s="42" t="str">
        <f>C36&amp;IF(ISBLANK(S36),"","=")&amp;S36</f>
        <v>Accel_Axis_M4=15000</v>
      </c>
      <c r="U36" s="39">
        <v>1000</v>
      </c>
      <c r="V36" s="42" t="str">
        <f>C36&amp;IF(ISBLANK(U36),"","=")&amp;U36</f>
        <v>Accel_Axis_M4=1000</v>
      </c>
    </row>
    <row r="37" spans="1:25" x14ac:dyDescent="0.25">
      <c r="A37">
        <v>125</v>
      </c>
      <c r="B37" t="s">
        <v>236</v>
      </c>
      <c r="C37" s="39" t="s">
        <v>260</v>
      </c>
      <c r="D37" s="39">
        <v>1</v>
      </c>
      <c r="E37" s="26">
        <v>88</v>
      </c>
      <c r="F37" s="26">
        <v>91</v>
      </c>
      <c r="G37" s="26">
        <v>8</v>
      </c>
      <c r="H37" s="49" t="str">
        <f>DEC2HEX(I37)</f>
        <v>42</v>
      </c>
      <c r="I37" s="27">
        <v>66</v>
      </c>
      <c r="J37" s="27" t="str">
        <f>CHAR(I37)</f>
        <v>B</v>
      </c>
      <c r="L37">
        <f>IF(ISBLANK(D37),IF(E37&gt;0,F37-E37+1,0),0)</f>
        <v>0</v>
      </c>
      <c r="M37" s="45">
        <f>IF(ISBLANK(D37),0,IF(G37=0,F37-E37+1,0))</f>
        <v>0</v>
      </c>
      <c r="Q37" s="42" t="str">
        <f>C37&amp;IF(ISBLANK(D37),"","=")&amp;D37</f>
        <v>AxisId=1</v>
      </c>
      <c r="S37" s="39">
        <v>1</v>
      </c>
      <c r="T37" s="42" t="str">
        <f>C37&amp;IF(ISBLANK(S37),"","=")&amp;S37</f>
        <v>AxisId=1</v>
      </c>
      <c r="U37" s="39">
        <v>3</v>
      </c>
      <c r="V37" s="42" t="str">
        <f>C37&amp;IF(ISBLANK(U37),"","=")&amp;U37</f>
        <v>AxisId=3</v>
      </c>
    </row>
    <row r="38" spans="1:25" x14ac:dyDescent="0.25">
      <c r="A38">
        <v>127</v>
      </c>
      <c r="B38" t="s">
        <v>236</v>
      </c>
      <c r="C38" s="39" t="s">
        <v>493</v>
      </c>
      <c r="D38" s="39">
        <v>0</v>
      </c>
      <c r="E38" s="26">
        <v>88</v>
      </c>
      <c r="F38" s="26">
        <v>91</v>
      </c>
      <c r="G38" s="26">
        <v>16</v>
      </c>
      <c r="H38" s="49" t="str">
        <f>DEC2HEX(I38)</f>
        <v>C8</v>
      </c>
      <c r="I38" s="27">
        <v>200</v>
      </c>
      <c r="J38" s="27" t="str">
        <f>CHAR(I38)</f>
        <v>È</v>
      </c>
      <c r="K38" s="39" t="s">
        <v>437</v>
      </c>
      <c r="L38">
        <f>IF(ISBLANK(D38),IF(E38&gt;0,F38-E38+1,0),0)</f>
        <v>0</v>
      </c>
      <c r="M38" s="45">
        <f>IF(ISBLANK(D38),0,IF(G38=0,F38-E38+1,0))</f>
        <v>0</v>
      </c>
      <c r="Q38" s="42" t="str">
        <f>C38&amp;IF(ISBLANK(D38),"","=")&amp;D38</f>
        <v>MultiAxesIDs=0</v>
      </c>
      <c r="S38" s="39">
        <v>0</v>
      </c>
      <c r="T38" s="42" t="str">
        <f>C38&amp;IF(ISBLANK(S38),"","=")&amp;S38</f>
        <v>MultiAxesIDs=0</v>
      </c>
      <c r="U38" s="39">
        <v>2</v>
      </c>
      <c r="V38" s="42" t="str">
        <f>C38&amp;IF(ISBLANK(U38),"","=")&amp;U38</f>
        <v>MultiAxesIDs=2</v>
      </c>
    </row>
    <row r="39" spans="1:25" s="30" customFormat="1" x14ac:dyDescent="0.25">
      <c r="A39">
        <v>131</v>
      </c>
      <c r="B39" t="s">
        <v>236</v>
      </c>
      <c r="C39" s="39" t="s">
        <v>363</v>
      </c>
      <c r="D39" s="39">
        <v>61</v>
      </c>
      <c r="E39" s="26">
        <v>88</v>
      </c>
      <c r="F39" s="26">
        <v>91</v>
      </c>
      <c r="G39" s="26">
        <v>0</v>
      </c>
      <c r="H39" s="49" t="str">
        <f>DEC2HEX(I39)</f>
        <v>6E</v>
      </c>
      <c r="I39" s="27">
        <v>110</v>
      </c>
      <c r="J39" s="27" t="str">
        <f>CHAR(I39)</f>
        <v>n</v>
      </c>
      <c r="K39" s="39"/>
      <c r="L39">
        <f>IF(ISBLANK(D39),IF(E39&gt;0,F39-E39+1,0),0)</f>
        <v>0</v>
      </c>
      <c r="M39" s="45">
        <f>IF(ISBLANK(D39),0,IF(G39=0,F39-E39+1,0))</f>
        <v>4</v>
      </c>
      <c r="N39" s="54"/>
      <c r="O39" s="54"/>
      <c r="P39" s="54"/>
      <c r="Q39" s="42" t="str">
        <f>C39&amp;IF(ISBLANK(D39),"","=")&amp;D39</f>
        <v>SpeedPercentage_Spindle=61</v>
      </c>
      <c r="R39"/>
      <c r="S39" s="39">
        <v>100</v>
      </c>
      <c r="T39" s="42" t="str">
        <f>C39&amp;IF(ISBLANK(S39),"","=")&amp;S39</f>
        <v>SpeedPercentage_Spindle=100</v>
      </c>
      <c r="U39" s="39">
        <v>11</v>
      </c>
      <c r="V39" s="42" t="str">
        <f>C39&amp;IF(ISBLANK(U39),"","=")&amp;U39</f>
        <v>SpeedPercentage_Spindle=11</v>
      </c>
      <c r="W39"/>
      <c r="X39"/>
      <c r="Y39"/>
    </row>
    <row r="40" spans="1:25" x14ac:dyDescent="0.25">
      <c r="A40">
        <v>399</v>
      </c>
      <c r="C40" s="43"/>
      <c r="D40" s="43"/>
      <c r="E40" s="1">
        <v>88</v>
      </c>
      <c r="F40" s="1">
        <v>91</v>
      </c>
      <c r="G40" s="1">
        <v>24</v>
      </c>
      <c r="H40" s="50" t="str">
        <f>DEC2HEX(I40)</f>
        <v>C2</v>
      </c>
      <c r="I40" s="2">
        <v>194</v>
      </c>
      <c r="J40" s="2" t="str">
        <f>CHAR(I40)</f>
        <v>Â</v>
      </c>
      <c r="K40" s="43" t="s">
        <v>437</v>
      </c>
      <c r="L40" s="1"/>
      <c r="M40" s="46"/>
      <c r="Q40" s="42" t="str">
        <f>C40&amp;IF(ISBLANK(D40),"","=")&amp;D40</f>
        <v/>
      </c>
      <c r="S40" s="43"/>
      <c r="U40" s="43"/>
    </row>
    <row r="41" spans="1:25" x14ac:dyDescent="0.25">
      <c r="A41">
        <v>39</v>
      </c>
      <c r="B41" t="s">
        <v>234</v>
      </c>
      <c r="C41" s="39" t="s">
        <v>330</v>
      </c>
      <c r="D41" s="39">
        <v>32</v>
      </c>
      <c r="E41" s="51">
        <v>92</v>
      </c>
      <c r="F41" s="51">
        <v>95</v>
      </c>
      <c r="G41" s="73"/>
      <c r="H41" s="72" t="str">
        <f>DEC2HEX(I41)</f>
        <v>76</v>
      </c>
      <c r="I41" s="27">
        <v>118</v>
      </c>
      <c r="J41" s="27" t="str">
        <f>CHAR(I41)</f>
        <v>v</v>
      </c>
      <c r="L41">
        <f>IF(ISBLANK(D41),IF(E41&gt;0,F41-E41+1,0),0)</f>
        <v>0</v>
      </c>
      <c r="M41" s="45">
        <f>IF(ISBLANK(D41),0,IF(G41=0,F41-E41+1,0))</f>
        <v>4</v>
      </c>
      <c r="Q41" s="42" t="str">
        <f>C41&amp;IF(ISBLANK(D41),"","=")&amp;D41</f>
        <v>Microsteps_M3=32</v>
      </c>
      <c r="S41" s="39">
        <v>32</v>
      </c>
      <c r="T41" s="42" t="str">
        <f>C41&amp;IF(ISBLANK(S41),"","=")&amp;S41</f>
        <v>Microsteps_M3=32</v>
      </c>
      <c r="U41" s="39">
        <v>8</v>
      </c>
      <c r="V41" s="42" t="str">
        <f>C41&amp;IF(ISBLANK(U41),"","=")&amp;U41</f>
        <v>Microsteps_M3=8</v>
      </c>
    </row>
    <row r="42" spans="1:25" x14ac:dyDescent="0.25">
      <c r="A42">
        <v>48</v>
      </c>
      <c r="B42" t="s">
        <v>235</v>
      </c>
      <c r="C42" s="39" t="s">
        <v>336</v>
      </c>
      <c r="D42" s="39">
        <v>32</v>
      </c>
      <c r="E42" s="26">
        <v>96</v>
      </c>
      <c r="F42" s="26">
        <v>99</v>
      </c>
      <c r="G42" s="26"/>
      <c r="H42" s="49" t="str">
        <f>DEC2HEX(I42)</f>
        <v>71</v>
      </c>
      <c r="I42" s="27">
        <v>113</v>
      </c>
      <c r="J42" s="27" t="str">
        <f>CHAR(I42)</f>
        <v>q</v>
      </c>
      <c r="L42">
        <f>IF(ISBLANK(D42),IF(E42&gt;0,F42-E42+1,0),0)</f>
        <v>0</v>
      </c>
      <c r="M42" s="45">
        <f>IF(ISBLANK(D42),0,IF(G42=0,F42-E42+1,0))</f>
        <v>4</v>
      </c>
      <c r="Q42" s="42" t="str">
        <f>C42&amp;IF(ISBLANK(D42),"","=")&amp;D42</f>
        <v>Microsteps_M4=32</v>
      </c>
      <c r="S42" s="39">
        <v>32</v>
      </c>
      <c r="T42" s="42" t="str">
        <f>C42&amp;IF(ISBLANK(S42),"","=")&amp;S42</f>
        <v>Microsteps_M4=32</v>
      </c>
      <c r="U42" s="39">
        <v>2</v>
      </c>
      <c r="V42" s="42" t="str">
        <f>C42&amp;IF(ISBLANK(U42),"","=")&amp;U42</f>
        <v>Microsteps_M4=2</v>
      </c>
    </row>
    <row r="43" spans="1:25" x14ac:dyDescent="0.25">
      <c r="A43">
        <v>309</v>
      </c>
      <c r="B43" t="s">
        <v>233</v>
      </c>
      <c r="C43" s="39" t="s">
        <v>260</v>
      </c>
      <c r="D43" s="39">
        <v>1</v>
      </c>
      <c r="E43" s="26">
        <v>100</v>
      </c>
      <c r="F43" s="26">
        <v>103</v>
      </c>
      <c r="G43" s="26">
        <v>8</v>
      </c>
      <c r="H43" s="49" t="str">
        <f>DEC2HEX(I43)</f>
        <v>42</v>
      </c>
      <c r="I43" s="27">
        <v>66</v>
      </c>
      <c r="J43" s="27" t="str">
        <f>CHAR(I43)</f>
        <v>B</v>
      </c>
      <c r="L43">
        <f>IF(ISBLANK(D43),IF(E43&gt;0,F43-E43+1,0),0)</f>
        <v>0</v>
      </c>
      <c r="M43" s="45">
        <f>IF(ISBLANK(D43),0,IF(G43=0,F43-E43+1,0))</f>
        <v>0</v>
      </c>
      <c r="Q43" s="42" t="str">
        <f>C43&amp;IF(ISBLANK(D43),"","=")&amp;D43</f>
        <v>AxisId=1</v>
      </c>
      <c r="S43" s="39">
        <v>1</v>
      </c>
      <c r="T43" s="42" t="str">
        <f>C43&amp;IF(ISBLANK(S43),"","=")&amp;S43</f>
        <v>AxisId=1</v>
      </c>
      <c r="U43" s="39">
        <v>3</v>
      </c>
      <c r="V43" s="42" t="str">
        <f>C43&amp;IF(ISBLANK(U43),"","=")&amp;U43</f>
        <v>AxisId=3</v>
      </c>
    </row>
    <row r="44" spans="1:25" x14ac:dyDescent="0.25">
      <c r="A44">
        <v>312</v>
      </c>
      <c r="B44" t="s">
        <v>233</v>
      </c>
      <c r="C44" s="39" t="s">
        <v>422</v>
      </c>
      <c r="D44" s="39">
        <v>5</v>
      </c>
      <c r="E44" s="26">
        <v>100</v>
      </c>
      <c r="F44" s="26">
        <v>103</v>
      </c>
      <c r="G44" s="26">
        <v>24</v>
      </c>
      <c r="H44" s="49" t="str">
        <f>DEC2HEX(I44)</f>
        <v>59</v>
      </c>
      <c r="I44" s="27">
        <v>89</v>
      </c>
      <c r="J44" s="27" t="str">
        <f>CHAR(I44)</f>
        <v>Y</v>
      </c>
      <c r="L44">
        <f>IF(ISBLANK(D44),IF(E44&gt;0,F44-E44+1,0),0)</f>
        <v>0</v>
      </c>
      <c r="M44" s="45">
        <f>IF(ISBLANK(D44),0,IF(G44=0,F44-E44+1,0))</f>
        <v>0</v>
      </c>
      <c r="Q44" s="42" t="str">
        <f>C44&amp;IF(ISBLANK(D44),"","=")&amp;D44</f>
        <v>Rose_d=5</v>
      </c>
      <c r="S44" s="39">
        <v>5</v>
      </c>
      <c r="T44" s="42" t="str">
        <f>C44&amp;IF(ISBLANK(S44),"","=")&amp;S44</f>
        <v>Rose_d=5</v>
      </c>
      <c r="U44" s="39">
        <v>11</v>
      </c>
      <c r="V44" s="42" t="str">
        <f>C44&amp;IF(ISBLANK(U44),"","=")&amp;U44</f>
        <v>Rose_d=11</v>
      </c>
    </row>
    <row r="45" spans="1:25" x14ac:dyDescent="0.25">
      <c r="A45">
        <v>311</v>
      </c>
      <c r="B45" t="s">
        <v>233</v>
      </c>
      <c r="C45" s="39" t="s">
        <v>421</v>
      </c>
      <c r="D45" s="39">
        <v>9</v>
      </c>
      <c r="E45" s="26">
        <v>100</v>
      </c>
      <c r="F45" s="26">
        <v>103</v>
      </c>
      <c r="G45" s="26">
        <v>16</v>
      </c>
      <c r="H45" s="49" t="str">
        <f>DEC2HEX(I45)</f>
        <v>54</v>
      </c>
      <c r="I45" s="27">
        <v>84</v>
      </c>
      <c r="J45" s="27" t="str">
        <f>CHAR(I45)</f>
        <v>T</v>
      </c>
      <c r="L45">
        <f>IF(ISBLANK(D45),IF(E45&gt;0,F45-E45+1,0),0)</f>
        <v>0</v>
      </c>
      <c r="M45" s="45">
        <f>IF(ISBLANK(D45),0,IF(G45=0,F45-E45+1,0))</f>
        <v>0</v>
      </c>
      <c r="Q45" s="42" t="str">
        <f>C45&amp;IF(ISBLANK(D45),"","=")&amp;D45</f>
        <v>Rose_n=9</v>
      </c>
      <c r="S45" s="39">
        <v>9</v>
      </c>
      <c r="T45" s="42" t="str">
        <f>C45&amp;IF(ISBLANK(S45),"","=")&amp;S45</f>
        <v>Rose_n=9</v>
      </c>
      <c r="U45" s="39">
        <v>33</v>
      </c>
      <c r="V45" s="42" t="str">
        <f>C45&amp;IF(ISBLANK(U45),"","=")&amp;U45</f>
        <v>Rose_n=33</v>
      </c>
    </row>
    <row r="46" spans="1:25" x14ac:dyDescent="0.25">
      <c r="A46">
        <v>317</v>
      </c>
      <c r="B46" t="s">
        <v>233</v>
      </c>
      <c r="C46" s="39" t="s">
        <v>363</v>
      </c>
      <c r="D46" s="39">
        <v>82</v>
      </c>
      <c r="E46" s="26">
        <v>100</v>
      </c>
      <c r="F46" s="26">
        <v>103</v>
      </c>
      <c r="G46" s="26">
        <v>0</v>
      </c>
      <c r="H46" s="49" t="str">
        <f>DEC2HEX(I46)</f>
        <v>6E</v>
      </c>
      <c r="I46" s="27">
        <v>110</v>
      </c>
      <c r="J46" s="27" t="str">
        <f>CHAR(I46)</f>
        <v>n</v>
      </c>
      <c r="L46">
        <f>IF(ISBLANK(D46),IF(E46&gt;0,F46-E46+1,0),0)</f>
        <v>0</v>
      </c>
      <c r="M46" s="45">
        <f>IF(ISBLANK(D46),0,IF(G46=0,F46-E46+1,0))</f>
        <v>4</v>
      </c>
      <c r="Q46" s="42" t="str">
        <f>C46&amp;IF(ISBLANK(D46),"","=")&amp;D46</f>
        <v>SpeedPercentage_Spindle=82</v>
      </c>
      <c r="S46" s="39">
        <v>100</v>
      </c>
      <c r="T46" s="42" t="str">
        <f>C46&amp;IF(ISBLANK(S46),"","=")&amp;S46</f>
        <v>SpeedPercentage_Spindle=100</v>
      </c>
      <c r="U46" s="39">
        <v>11</v>
      </c>
      <c r="V46" s="42" t="str">
        <f>C46&amp;IF(ISBLANK(U46),"","=")&amp;U46</f>
        <v>SpeedPercentage_Spindle=11</v>
      </c>
    </row>
    <row r="47" spans="1:25" x14ac:dyDescent="0.25">
      <c r="A47">
        <v>172</v>
      </c>
      <c r="B47" t="s">
        <v>0</v>
      </c>
      <c r="C47" s="39" t="s">
        <v>260</v>
      </c>
      <c r="D47" s="39">
        <v>0</v>
      </c>
      <c r="E47" s="26">
        <v>104</v>
      </c>
      <c r="F47" s="26">
        <v>107</v>
      </c>
      <c r="G47" s="26">
        <v>8</v>
      </c>
      <c r="H47" s="49" t="str">
        <f>DEC2HEX(I47)</f>
        <v>42</v>
      </c>
      <c r="I47" s="27">
        <v>66</v>
      </c>
      <c r="J47" s="27" t="str">
        <f>CHAR(I47)</f>
        <v>B</v>
      </c>
      <c r="L47">
        <f>IF(ISBLANK(D47),IF(E47&gt;0,F47-E47+1,0),0)</f>
        <v>0</v>
      </c>
      <c r="M47" s="45">
        <f>IF(ISBLANK(D47),0,IF(G47=0,F47-E47+1,0))</f>
        <v>0</v>
      </c>
      <c r="Q47" s="42" t="str">
        <f>C47&amp;IF(ISBLANK(D47),"","=")&amp;D47</f>
        <v>AxisId=0</v>
      </c>
      <c r="S47" s="39">
        <v>0</v>
      </c>
      <c r="T47" s="42" t="str">
        <f>C47&amp;IF(ISBLANK(S47),"","=")&amp;S47</f>
        <v>AxisId=0</v>
      </c>
      <c r="U47" s="39">
        <v>3</v>
      </c>
      <c r="V47" s="42" t="str">
        <f>C47&amp;IF(ISBLANK(U47),"","=")&amp;U47</f>
        <v>AxisId=3</v>
      </c>
    </row>
    <row r="48" spans="1:25" s="30" customFormat="1" x14ac:dyDescent="0.25">
      <c r="A48">
        <v>173</v>
      </c>
      <c r="B48" t="s">
        <v>0</v>
      </c>
      <c r="C48" s="39" t="s">
        <v>34</v>
      </c>
      <c r="D48" s="39">
        <v>1</v>
      </c>
      <c r="E48" s="26">
        <v>104</v>
      </c>
      <c r="F48" s="26">
        <v>107</v>
      </c>
      <c r="G48" s="26">
        <v>16</v>
      </c>
      <c r="H48" s="49" t="str">
        <f>DEC2HEX(I48)</f>
        <v>F6</v>
      </c>
      <c r="I48" s="27">
        <v>246</v>
      </c>
      <c r="J48" s="27" t="str">
        <f>CHAR(I48)</f>
        <v>ö</v>
      </c>
      <c r="K48" s="39"/>
      <c r="L48">
        <f>IF(ISBLANK(D48),IF(E48&gt;0,F48-E48+1,0),0)</f>
        <v>0</v>
      </c>
      <c r="M48" s="45">
        <f>IF(ISBLANK(D48),0,IF(G48=0,F48-E48+1,0))</f>
        <v>0</v>
      </c>
      <c r="N48" s="54"/>
      <c r="O48" s="54"/>
      <c r="P48" s="54"/>
      <c r="Q48" s="42" t="str">
        <f>C48&amp;IF(ISBLANK(D48),"","=")&amp;D48</f>
        <v>IndexId=1</v>
      </c>
      <c r="R48"/>
      <c r="S48" s="39">
        <v>1</v>
      </c>
      <c r="T48" s="42" t="str">
        <f>C48&amp;IF(ISBLANK(S48),"","=")&amp;S48</f>
        <v>IndexId=1</v>
      </c>
      <c r="U48" s="39">
        <v>3</v>
      </c>
      <c r="V48" s="42" t="str">
        <f>C48&amp;IF(ISBLANK(U48),"","=")&amp;U48</f>
        <v>IndexId=3</v>
      </c>
      <c r="W48"/>
      <c r="X48"/>
      <c r="Y48"/>
    </row>
    <row r="49" spans="1:25" x14ac:dyDescent="0.25">
      <c r="A49">
        <v>177</v>
      </c>
      <c r="B49" t="s">
        <v>0</v>
      </c>
      <c r="C49" s="39" t="s">
        <v>363</v>
      </c>
      <c r="D49" s="39">
        <v>72</v>
      </c>
      <c r="E49" s="26">
        <v>104</v>
      </c>
      <c r="F49" s="26">
        <v>107</v>
      </c>
      <c r="G49" s="26">
        <v>0</v>
      </c>
      <c r="H49" s="49" t="str">
        <f>DEC2HEX(I49)</f>
        <v>6E</v>
      </c>
      <c r="I49" s="27">
        <v>110</v>
      </c>
      <c r="J49" s="27" t="str">
        <f>CHAR(I49)</f>
        <v>n</v>
      </c>
      <c r="L49">
        <f>IF(ISBLANK(D49),IF(E49&gt;0,F49-E49+1,0),0)</f>
        <v>0</v>
      </c>
      <c r="M49" s="45">
        <f>IF(ISBLANK(D49),0,IF(G49=0,F49-E49+1,0))</f>
        <v>4</v>
      </c>
      <c r="Q49" s="42" t="str">
        <f>C49&amp;IF(ISBLANK(D49),"","=")&amp;D49</f>
        <v>SpeedPercentage_Spindle=72</v>
      </c>
      <c r="S49" s="39">
        <v>100</v>
      </c>
      <c r="T49" s="42" t="str">
        <f>C49&amp;IF(ISBLANK(S49),"","=")&amp;S49</f>
        <v>SpeedPercentage_Spindle=100</v>
      </c>
      <c r="U49" s="39">
        <v>11</v>
      </c>
      <c r="V49" s="42" t="str">
        <f>C49&amp;IF(ISBLANK(U49),"","=")&amp;U49</f>
        <v>SpeedPercentage_Spindle=11</v>
      </c>
    </row>
    <row r="50" spans="1:25" x14ac:dyDescent="0.25">
      <c r="A50">
        <v>10</v>
      </c>
      <c r="B50" t="s">
        <v>185</v>
      </c>
      <c r="C50" s="39" t="s">
        <v>639</v>
      </c>
      <c r="D50" s="39">
        <v>47</v>
      </c>
      <c r="E50" s="26">
        <v>104</v>
      </c>
      <c r="F50" s="26">
        <v>107</v>
      </c>
      <c r="G50" s="26">
        <v>24</v>
      </c>
      <c r="H50" s="49" t="str">
        <f>DEC2HEX(I50)</f>
        <v>AA</v>
      </c>
      <c r="I50" s="27">
        <v>170</v>
      </c>
      <c r="J50" s="27" t="str">
        <f>CHAR(I50)</f>
        <v>ª</v>
      </c>
      <c r="L50">
        <f>IF(ISBLANK(D50),IF(E50&gt;0,F50-E50+1,0),0)</f>
        <v>0</v>
      </c>
      <c r="M50" s="45">
        <f>IF(ISBLANK(D50),0,IF(G50=0,F50-E50+1,0))</f>
        <v>0</v>
      </c>
      <c r="Q50" s="42" t="str">
        <f>C50&amp;IF(ISBLANK(D50),"","=")&amp;D50</f>
        <v>Auxillary Pin=47</v>
      </c>
      <c r="S50" s="39">
        <v>47</v>
      </c>
      <c r="T50" s="42" t="str">
        <f>C50&amp;IF(ISBLANK(S50),"","=")&amp;S50</f>
        <v>Auxillary Pin=47</v>
      </c>
      <c r="U50" s="39">
        <v>54</v>
      </c>
      <c r="V50" s="42" t="str">
        <f>C50&amp;IF(ISBLANK(U50),"","=")&amp;U50</f>
        <v>Auxillary Pin=54</v>
      </c>
    </row>
    <row r="51" spans="1:25" s="29" customFormat="1" x14ac:dyDescent="0.25">
      <c r="A51">
        <v>150</v>
      </c>
      <c r="B51" t="s">
        <v>236</v>
      </c>
      <c r="C51" s="39" t="s">
        <v>376</v>
      </c>
      <c r="D51" s="39">
        <v>5068</v>
      </c>
      <c r="E51" s="26">
        <v>108</v>
      </c>
      <c r="F51" s="27">
        <v>111</v>
      </c>
      <c r="G51" s="26"/>
      <c r="H51" s="49" t="str">
        <f>DEC2HEX(I51)</f>
        <v>B9</v>
      </c>
      <c r="I51" s="27">
        <v>185</v>
      </c>
      <c r="J51" s="27" t="str">
        <f>CHAR(I51)</f>
        <v>¹</v>
      </c>
      <c r="K51" s="39"/>
      <c r="L51">
        <f>IF(ISBLANK(D51),IF(E51&gt;0,F51-E51+1,0),0)</f>
        <v>0</v>
      </c>
      <c r="M51" s="45">
        <f>IF(ISBLANK(D51),0,IF(G51=0,F51-E51+1,0))</f>
        <v>4</v>
      </c>
      <c r="N51" s="54"/>
      <c r="O51" s="54"/>
      <c r="P51" s="54"/>
      <c r="Q51" s="42" t="str">
        <f>C51&amp;IF(ISBLANK(D51),"","=")&amp;D51</f>
        <v>MaxSpeed_M3=5068</v>
      </c>
      <c r="R51"/>
      <c r="S51" s="39">
        <v>30000</v>
      </c>
      <c r="T51" s="42" t="str">
        <f>C51&amp;IF(ISBLANK(S51),"","=")&amp;S51</f>
        <v>MaxSpeed_M3=30000</v>
      </c>
      <c r="U51" s="39">
        <v>1000</v>
      </c>
      <c r="V51" s="42" t="str">
        <f>C51&amp;IF(ISBLANK(U51),"","=")&amp;U51</f>
        <v>MaxSpeed_M3=1000</v>
      </c>
      <c r="W51"/>
      <c r="X51"/>
      <c r="Y51"/>
    </row>
    <row r="52" spans="1:25" x14ac:dyDescent="0.25">
      <c r="A52">
        <v>343</v>
      </c>
      <c r="B52" s="34" t="s">
        <v>0</v>
      </c>
      <c r="C52" s="44" t="s">
        <v>187</v>
      </c>
      <c r="D52" s="44" t="s">
        <v>451</v>
      </c>
      <c r="E52" s="34">
        <v>112</v>
      </c>
      <c r="F52" s="34">
        <v>125</v>
      </c>
      <c r="G52" s="34"/>
      <c r="H52" s="75" t="str">
        <f>DEC2HEX(I52)</f>
        <v>BE</v>
      </c>
      <c r="I52" s="35">
        <v>190</v>
      </c>
      <c r="J52" s="35" t="str">
        <f>CHAR(I52)</f>
        <v>¾</v>
      </c>
      <c r="K52" s="44"/>
      <c r="L52">
        <f>IF(ISBLANK(D52),IF(E52&gt;0,F52-E52+1,0),0)</f>
        <v>0</v>
      </c>
      <c r="M52" s="45">
        <f>IF(ISBLANK(D52),0,IF(G52=0,F52-E52+1,0))</f>
        <v>14</v>
      </c>
      <c r="S52" s="44" t="s">
        <v>451</v>
      </c>
      <c r="U52" s="44" t="s">
        <v>451</v>
      </c>
    </row>
    <row r="53" spans="1:25" x14ac:dyDescent="0.25">
      <c r="A53">
        <v>344</v>
      </c>
      <c r="B53" s="34" t="s">
        <v>274</v>
      </c>
      <c r="C53" s="44" t="s">
        <v>492</v>
      </c>
      <c r="D53" s="44" t="s">
        <v>451</v>
      </c>
      <c r="E53" s="34">
        <v>126</v>
      </c>
      <c r="F53" s="34">
        <v>139</v>
      </c>
      <c r="G53" s="34"/>
      <c r="H53" s="75" t="str">
        <f>DEC2HEX(I53)</f>
        <v>BE</v>
      </c>
      <c r="I53" s="35">
        <v>190</v>
      </c>
      <c r="J53" s="35" t="str">
        <f>CHAR(I53)</f>
        <v>¾</v>
      </c>
      <c r="K53" s="44"/>
      <c r="L53">
        <f>IF(ISBLANK(D53),IF(E53&gt;0,F53-E53+1,0),0)</f>
        <v>0</v>
      </c>
      <c r="M53" s="45">
        <f>IF(ISBLANK(D53),0,IF(G53=0,F53-E53+1,0))</f>
        <v>14</v>
      </c>
      <c r="S53" s="44" t="s">
        <v>451</v>
      </c>
      <c r="U53" s="44" t="s">
        <v>451</v>
      </c>
    </row>
    <row r="54" spans="1:25" x14ac:dyDescent="0.25">
      <c r="A54">
        <v>146</v>
      </c>
      <c r="B54" t="s">
        <v>236</v>
      </c>
      <c r="C54" s="39" t="s">
        <v>448</v>
      </c>
      <c r="D54" s="39">
        <v>3.5139999999999998</v>
      </c>
      <c r="E54" s="26">
        <v>140</v>
      </c>
      <c r="F54" s="26">
        <v>147</v>
      </c>
      <c r="G54" s="26"/>
      <c r="H54" s="49" t="str">
        <f>DEC2HEX(I54)</f>
        <v>68</v>
      </c>
      <c r="I54" s="27">
        <v>104</v>
      </c>
      <c r="J54" s="27" t="str">
        <f>CHAR(I54)</f>
        <v>h</v>
      </c>
      <c r="L54">
        <f>IF(ISBLANK(D54),IF(E54&gt;0,F54-E54+1,0),0)</f>
        <v>0</v>
      </c>
      <c r="M54" s="45">
        <f>IF(ISBLANK(D54),0,IF(G54=0,F54-E54+1,0))</f>
        <v>8</v>
      </c>
      <c r="Q54" s="42" t="str">
        <f>C54&amp;IF(ISBLANK(D54),"","=")&amp;D54</f>
        <v>TargetDistance_X=3.514</v>
      </c>
      <c r="S54" s="39">
        <v>0.2</v>
      </c>
      <c r="T54" s="42" t="str">
        <f>C54&amp;IF(ISBLANK(S54),"","=")&amp;S54</f>
        <v>TargetDistance_X=0.2</v>
      </c>
      <c r="U54" s="39">
        <v>11</v>
      </c>
      <c r="V54" s="42" t="str">
        <f>C54&amp;IF(ISBLANK(U54),"","=")&amp;U54</f>
        <v>TargetDistance_X=11</v>
      </c>
    </row>
    <row r="55" spans="1:25" x14ac:dyDescent="0.25">
      <c r="A55">
        <v>136</v>
      </c>
      <c r="B55" t="s">
        <v>236</v>
      </c>
      <c r="C55" s="39" t="s">
        <v>364</v>
      </c>
      <c r="D55" s="39">
        <v>5062</v>
      </c>
      <c r="E55" s="26">
        <v>148</v>
      </c>
      <c r="F55" s="26">
        <v>151</v>
      </c>
      <c r="G55" s="26"/>
      <c r="H55" s="49" t="str">
        <f>DEC2HEX(I55)</f>
        <v>B9</v>
      </c>
      <c r="I55" s="27">
        <v>185</v>
      </c>
      <c r="J55" s="27" t="str">
        <f>CHAR(I55)</f>
        <v>¹</v>
      </c>
      <c r="L55">
        <f>IF(ISBLANK(D55),IF(E55&gt;0,F55-E55+1,0),0)</f>
        <v>0</v>
      </c>
      <c r="M55" s="45">
        <f>IF(ISBLANK(D55),0,IF(G55=0,F55-E55+1,0))</f>
        <v>4</v>
      </c>
      <c r="Q55" s="42" t="str">
        <f>C55&amp;IF(ISBLANK(D55),"","=")&amp;D55</f>
        <v>MaxSpeed_Z=5062</v>
      </c>
      <c r="S55" s="39">
        <v>30000</v>
      </c>
      <c r="T55" s="42" t="str">
        <f>C55&amp;IF(ISBLANK(S55),"","=")&amp;S55</f>
        <v>MaxSpeed_Z=30000</v>
      </c>
      <c r="U55" s="39">
        <v>1000</v>
      </c>
      <c r="V55" s="42" t="str">
        <f>C55&amp;IF(ISBLANK(U55),"","=")&amp;U55</f>
        <v>MaxSpeed_Z=1000</v>
      </c>
    </row>
    <row r="56" spans="1:25" x14ac:dyDescent="0.25">
      <c r="A56">
        <v>199</v>
      </c>
      <c r="B56" t="s">
        <v>0</v>
      </c>
      <c r="C56" s="99" t="s">
        <v>388</v>
      </c>
      <c r="D56" s="99">
        <v>1</v>
      </c>
      <c r="E56" s="101">
        <v>152</v>
      </c>
      <c r="F56" s="27">
        <v>155</v>
      </c>
      <c r="G56" s="26"/>
      <c r="H56" s="49" t="str">
        <f>DEC2HEX(I56)</f>
        <v>45</v>
      </c>
      <c r="I56" s="27">
        <v>69</v>
      </c>
      <c r="J56" s="27" t="str">
        <f>CHAR(I56)</f>
        <v>E</v>
      </c>
      <c r="L56">
        <f>IF(ISBLANK(D56),IF(E56&gt;0,F56-E56+1,0),0)</f>
        <v>0</v>
      </c>
      <c r="M56" s="45">
        <f>IF(ISBLANK(D56),0,IF(G56=0,F56-E56+1,0))</f>
        <v>4</v>
      </c>
      <c r="Q56" s="42" t="str">
        <f>C56&amp;IF(ISBLANK(D56),"","=")&amp;D56</f>
        <v>DivisionsOrDegrees_3=1</v>
      </c>
      <c r="S56" s="39">
        <v>1</v>
      </c>
      <c r="T56" s="42" t="str">
        <f>C56&amp;IF(ISBLANK(S56),"","=")&amp;S56</f>
        <v>DivisionsOrDegrees_3=1</v>
      </c>
      <c r="U56" s="39">
        <v>0</v>
      </c>
      <c r="V56" s="42" t="str">
        <f>C56&amp;IF(ISBLANK(U56),"","=")&amp;U56</f>
        <v>DivisionsOrDegrees_3=0</v>
      </c>
    </row>
    <row r="57" spans="1:25" x14ac:dyDescent="0.25">
      <c r="A57">
        <v>211</v>
      </c>
      <c r="B57" s="26" t="s">
        <v>0</v>
      </c>
      <c r="C57" s="99" t="s">
        <v>516</v>
      </c>
      <c r="D57" s="99">
        <v>0</v>
      </c>
      <c r="E57" s="100">
        <v>156</v>
      </c>
      <c r="F57" s="74">
        <v>159</v>
      </c>
      <c r="G57" s="74"/>
      <c r="H57" s="49" t="str">
        <f>DEC2HEX(I57)</f>
        <v>CF</v>
      </c>
      <c r="I57" s="27">
        <v>207</v>
      </c>
      <c r="J57" s="27" t="str">
        <f>CHAR(I57)</f>
        <v>Ï</v>
      </c>
      <c r="L57">
        <f>IF(ISBLANK(D57),IF(E57&gt;0,F57-E57+1,0),0)</f>
        <v>0</v>
      </c>
      <c r="M57" s="45">
        <f>IF(ISBLANK(D57),0,IF(G57=0,F57-E57+1,0))</f>
        <v>4</v>
      </c>
      <c r="Q57" s="42" t="str">
        <f>C57&amp;IF(ISBLANK(D57),"","=")&amp;D57</f>
        <v>Synchro_M3_and_Spindle=0</v>
      </c>
      <c r="S57" s="39">
        <v>0</v>
      </c>
      <c r="T57" s="42" t="str">
        <f>C57&amp;IF(ISBLANK(S57),"","=")&amp;S57</f>
        <v>Synchro_M3_and_Spindle=0</v>
      </c>
      <c r="U57" s="39">
        <v>1</v>
      </c>
      <c r="V57" s="42" t="str">
        <f>C57&amp;IF(ISBLANK(U57),"","=")&amp;U57</f>
        <v>Synchro_M3_and_Spindle=1</v>
      </c>
    </row>
    <row r="58" spans="1:25" s="84" customFormat="1" x14ac:dyDescent="0.25">
      <c r="A58">
        <v>195</v>
      </c>
      <c r="B58" t="s">
        <v>0</v>
      </c>
      <c r="C58" s="99" t="s">
        <v>385</v>
      </c>
      <c r="D58" s="99">
        <v>1</v>
      </c>
      <c r="E58" s="100">
        <v>160</v>
      </c>
      <c r="F58" s="26">
        <v>163</v>
      </c>
      <c r="G58" s="26"/>
      <c r="H58" s="49" t="str">
        <f>DEC2HEX(I58)</f>
        <v>45</v>
      </c>
      <c r="I58" s="27">
        <v>69</v>
      </c>
      <c r="J58" s="27" t="str">
        <f>CHAR(I58)</f>
        <v>E</v>
      </c>
      <c r="K58" s="39"/>
      <c r="L58">
        <f>IF(ISBLANK(D58),IF(E58&gt;0,F58-E58+1,0),0)</f>
        <v>0</v>
      </c>
      <c r="M58" s="45">
        <f>IF(ISBLANK(D58),0,IF(G58=0,F58-E58+1,0))</f>
        <v>4</v>
      </c>
      <c r="N58" s="54"/>
      <c r="O58" s="54"/>
      <c r="P58" s="54"/>
      <c r="Q58" s="42" t="str">
        <f>C58&amp;IF(ISBLANK(D58),"","=")&amp;D58</f>
        <v>DivisionsOrDegrees_2=1</v>
      </c>
      <c r="R58"/>
      <c r="S58" s="39">
        <v>1</v>
      </c>
      <c r="T58" s="42" t="str">
        <f>C58&amp;IF(ISBLANK(S58),"","=")&amp;S58</f>
        <v>DivisionsOrDegrees_2=1</v>
      </c>
      <c r="U58" s="39">
        <v>0</v>
      </c>
      <c r="V58" s="42" t="str">
        <f>C58&amp;IF(ISBLANK(U58),"","=")&amp;U58</f>
        <v>DivisionsOrDegrees_2=0</v>
      </c>
      <c r="W58"/>
      <c r="X58"/>
      <c r="Y58"/>
    </row>
    <row r="59" spans="1:25" x14ac:dyDescent="0.25">
      <c r="A59">
        <v>143</v>
      </c>
      <c r="B59" t="s">
        <v>236</v>
      </c>
      <c r="C59" s="39" t="s">
        <v>367</v>
      </c>
      <c r="D59" s="39">
        <v>5065</v>
      </c>
      <c r="E59" s="26">
        <v>164</v>
      </c>
      <c r="F59" s="26">
        <v>167</v>
      </c>
      <c r="G59" s="26"/>
      <c r="H59" s="49" t="str">
        <f>DEC2HEX(I59)</f>
        <v>B9</v>
      </c>
      <c r="I59" s="27">
        <v>185</v>
      </c>
      <c r="J59" s="27" t="str">
        <f>CHAR(I59)</f>
        <v>¹</v>
      </c>
      <c r="L59">
        <f>IF(ISBLANK(D59),IF(E59&gt;0,F59-E59+1,0),0)</f>
        <v>0</v>
      </c>
      <c r="M59" s="45">
        <f>IF(ISBLANK(D59),0,IF(G59=0,F59-E59+1,0))</f>
        <v>4</v>
      </c>
      <c r="Q59" s="42" t="str">
        <f>C59&amp;IF(ISBLANK(D59),"","=")&amp;D59</f>
        <v>MaxSpeed_X=5065</v>
      </c>
      <c r="S59" s="39">
        <v>30000</v>
      </c>
      <c r="T59" s="42" t="str">
        <f>C59&amp;IF(ISBLANK(S59),"","=")&amp;S59</f>
        <v>MaxSpeed_X=30000</v>
      </c>
      <c r="U59" s="39">
        <v>10001</v>
      </c>
      <c r="V59" s="42" t="str">
        <f>C59&amp;IF(ISBLANK(U59),"","=")&amp;U59</f>
        <v>MaxSpeed_X=10001</v>
      </c>
    </row>
    <row r="60" spans="1:25" x14ac:dyDescent="0.25">
      <c r="A60">
        <v>221</v>
      </c>
      <c r="B60" t="s">
        <v>42</v>
      </c>
      <c r="C60" s="39" t="s">
        <v>397</v>
      </c>
      <c r="D60" s="39">
        <v>4.125</v>
      </c>
      <c r="E60" s="26">
        <v>168</v>
      </c>
      <c r="F60" s="26">
        <v>175</v>
      </c>
      <c r="G60" s="26"/>
      <c r="H60" s="49" t="str">
        <f>DEC2HEX(I60)</f>
        <v>B5</v>
      </c>
      <c r="I60" s="27">
        <v>181</v>
      </c>
      <c r="J60" s="27" t="str">
        <f>CHAR(I60)</f>
        <v>µ</v>
      </c>
      <c r="L60">
        <f>IF(ISBLANK(D60),IF(E60&gt;0,F60-E60+1,0),0)</f>
        <v>0</v>
      </c>
      <c r="M60" s="45">
        <f>IF(ISBLANK(D60),0,IF(G60=0,F60-E60+1,0))</f>
        <v>8</v>
      </c>
      <c r="Q60" s="42" t="str">
        <f>C60&amp;IF(ISBLANK(D60),"","=")&amp;D60</f>
        <v>Distance_Z1=4.125</v>
      </c>
      <c r="S60" s="39">
        <v>0.2</v>
      </c>
      <c r="T60" s="42" t="str">
        <f>C60&amp;IF(ISBLANK(S60),"","=")&amp;S60</f>
        <v>Distance_Z1=0.2</v>
      </c>
      <c r="U60" s="39">
        <v>11</v>
      </c>
      <c r="V60" s="42" t="str">
        <f>C60&amp;IF(ISBLANK(U60),"","=")&amp;U60</f>
        <v>Distance_Z1=11</v>
      </c>
    </row>
    <row r="61" spans="1:25" x14ac:dyDescent="0.25">
      <c r="A61">
        <v>36</v>
      </c>
      <c r="B61" t="s">
        <v>438</v>
      </c>
      <c r="C61" s="99" t="s">
        <v>329</v>
      </c>
      <c r="D61" s="99">
        <v>1</v>
      </c>
      <c r="E61" s="100">
        <v>176</v>
      </c>
      <c r="F61" s="100">
        <v>179</v>
      </c>
      <c r="G61" s="100">
        <v>0</v>
      </c>
      <c r="H61" s="49" t="str">
        <f>DEC2HEX(I61)</f>
        <v>F2</v>
      </c>
      <c r="I61" s="27">
        <v>242</v>
      </c>
      <c r="J61" s="27" t="str">
        <f>CHAR(I61)</f>
        <v>ò</v>
      </c>
      <c r="L61">
        <f>IF(ISBLANK(D61),IF(E61&gt;0,F61-E61+1,0),0)</f>
        <v>0</v>
      </c>
      <c r="M61" s="45">
        <f>IF(ISBLANK(D61),0,IF(G61=0,F61-E61+1,0))</f>
        <v>4</v>
      </c>
      <c r="Q61" s="42" t="str">
        <f>C61&amp;IF(ISBLANK(D61),"","=")&amp;D61</f>
        <v>Polarity_AltX=1</v>
      </c>
      <c r="S61" s="39">
        <v>1</v>
      </c>
      <c r="T61" s="42" t="str">
        <f>C61&amp;IF(ISBLANK(S61),"","=")&amp;S61</f>
        <v>Polarity_AltX=1</v>
      </c>
      <c r="U61" s="39">
        <v>0</v>
      </c>
      <c r="V61" s="42" t="str">
        <f>C61&amp;IF(ISBLANK(U61),"","=")&amp;U61</f>
        <v>Polarity_AltX=0</v>
      </c>
    </row>
    <row r="62" spans="1:25" x14ac:dyDescent="0.25">
      <c r="A62">
        <v>30</v>
      </c>
      <c r="B62" t="s">
        <v>222</v>
      </c>
      <c r="C62" s="99" t="s">
        <v>325</v>
      </c>
      <c r="D62" s="99">
        <v>1</v>
      </c>
      <c r="E62" s="100">
        <v>176</v>
      </c>
      <c r="F62" s="100">
        <v>179</v>
      </c>
      <c r="G62" s="100">
        <v>16</v>
      </c>
      <c r="H62" s="49" t="str">
        <f>DEC2HEX(I62)</f>
        <v>DA</v>
      </c>
      <c r="I62" s="27">
        <v>218</v>
      </c>
      <c r="J62" s="27" t="str">
        <f>CHAR(I62)</f>
        <v>Ú</v>
      </c>
      <c r="L62">
        <f>IF(ISBLANK(D62),IF(E62&gt;0,F62-E62+1,0),0)</f>
        <v>0</v>
      </c>
      <c r="M62" s="45">
        <f>IF(ISBLANK(D62),0,IF(G62=0,F62-E62+1,0))</f>
        <v>0</v>
      </c>
      <c r="Q62" s="42" t="str">
        <f>C62&amp;IF(ISBLANK(D62),"","=")&amp;D62</f>
        <v>Polarity_X=1</v>
      </c>
      <c r="S62" s="39">
        <v>1</v>
      </c>
      <c r="T62" s="42" t="str">
        <f>C62&amp;IF(ISBLANK(S62),"","=")&amp;S62</f>
        <v>Polarity_X=1</v>
      </c>
      <c r="U62" s="39">
        <v>0</v>
      </c>
      <c r="V62" s="42" t="str">
        <f>C62&amp;IF(ISBLANK(U62),"","=")&amp;U62</f>
        <v>Polarity_X=0</v>
      </c>
    </row>
    <row r="63" spans="1:25" x14ac:dyDescent="0.25">
      <c r="A63">
        <v>212</v>
      </c>
      <c r="B63" s="26" t="s">
        <v>0</v>
      </c>
      <c r="C63" s="71" t="s">
        <v>517</v>
      </c>
      <c r="D63" s="39">
        <v>100</v>
      </c>
      <c r="E63" s="27">
        <v>180</v>
      </c>
      <c r="F63" s="27">
        <v>187</v>
      </c>
      <c r="G63" s="26"/>
      <c r="H63" s="49" t="str">
        <f>DEC2HEX(I63)</f>
        <v>D0</v>
      </c>
      <c r="I63" s="27">
        <v>208</v>
      </c>
      <c r="J63" s="27" t="str">
        <f>CHAR(I63)</f>
        <v>Ð</v>
      </c>
      <c r="L63">
        <f>IF(ISBLANK(D63),IF(E63&gt;0,F63-E63+1,0),0)</f>
        <v>0</v>
      </c>
      <c r="M63" s="45">
        <f>IF(ISBLANK(D63),0,IF(G63=0,F63-E63+1,0))</f>
        <v>8</v>
      </c>
      <c r="Q63" s="42" t="str">
        <f>C63&amp;IF(ISBLANK(D63),"","=")&amp;D63</f>
        <v>Synchro_Percentage=100</v>
      </c>
      <c r="S63" s="39">
        <v>100</v>
      </c>
      <c r="T63" s="42" t="str">
        <f>C63&amp;IF(ISBLANK(S63),"","=")&amp;S63</f>
        <v>Synchro_Percentage=100</v>
      </c>
      <c r="U63" s="39">
        <v>111</v>
      </c>
      <c r="V63" s="42" t="str">
        <f>C63&amp;IF(ISBLANK(U63),"","=")&amp;U63</f>
        <v>Synchro_Percentage=111</v>
      </c>
    </row>
    <row r="64" spans="1:25" x14ac:dyDescent="0.25">
      <c r="A64">
        <v>26</v>
      </c>
      <c r="B64" t="s">
        <v>222</v>
      </c>
      <c r="C64" s="39" t="s">
        <v>321</v>
      </c>
      <c r="D64" s="39">
        <v>0</v>
      </c>
      <c r="E64" s="26">
        <v>188</v>
      </c>
      <c r="F64" s="26">
        <v>191</v>
      </c>
      <c r="G64" s="26"/>
      <c r="H64" s="49" t="str">
        <f>DEC2HEX(I64)</f>
        <v>F3</v>
      </c>
      <c r="I64" s="27">
        <v>243</v>
      </c>
      <c r="J64" s="27" t="str">
        <f>CHAR(I64)</f>
        <v>ó</v>
      </c>
      <c r="L64">
        <f>IF(ISBLANK(D64),IF(E64&gt;0,F64-E64+1,0),0)</f>
        <v>0</v>
      </c>
      <c r="M64" s="45">
        <f>IF(ISBLANK(D64),0,IF(G64=0,F64-E64+1,0))</f>
        <v>4</v>
      </c>
      <c r="Q64" s="42" t="str">
        <f>C64&amp;IF(ISBLANK(D64),"","=")&amp;D64</f>
        <v>XorAltXSelected=0</v>
      </c>
      <c r="S64" s="39">
        <v>0</v>
      </c>
      <c r="T64" s="42" t="str">
        <f>C64&amp;IF(ISBLANK(S64),"","=")&amp;S64</f>
        <v>XorAltXSelected=0</v>
      </c>
      <c r="U64" s="39">
        <v>1</v>
      </c>
      <c r="V64" s="42" t="str">
        <f>C64&amp;IF(ISBLANK(U64),"","=")&amp;U64</f>
        <v>XorAltXSelected=1</v>
      </c>
    </row>
    <row r="65" spans="1:25" x14ac:dyDescent="0.25">
      <c r="A65">
        <v>191</v>
      </c>
      <c r="B65" t="s">
        <v>0</v>
      </c>
      <c r="C65" s="99" t="s">
        <v>382</v>
      </c>
      <c r="D65" s="99">
        <v>1</v>
      </c>
      <c r="E65" s="101">
        <v>192</v>
      </c>
      <c r="F65" s="27">
        <v>195</v>
      </c>
      <c r="G65" s="26"/>
      <c r="H65" s="49" t="str">
        <f>DEC2HEX(I65)</f>
        <v>45</v>
      </c>
      <c r="I65" s="27">
        <v>69</v>
      </c>
      <c r="J65" s="27" t="str">
        <f>CHAR(I65)</f>
        <v>E</v>
      </c>
      <c r="L65">
        <f>IF(ISBLANK(D65),IF(E65&gt;0,F65-E65+1,0),0)</f>
        <v>0</v>
      </c>
      <c r="M65" s="45">
        <f>IF(ISBLANK(D65),0,IF(G65=0,F65-E65+1,0))</f>
        <v>4</v>
      </c>
      <c r="Q65" s="42" t="str">
        <f>C65&amp;IF(ISBLANK(D65),"","=")&amp;D65</f>
        <v>DivisionsOrDegrees_1=1</v>
      </c>
      <c r="S65" s="39">
        <v>1</v>
      </c>
      <c r="T65" s="42" t="str">
        <f>C65&amp;IF(ISBLANK(S65),"","=")&amp;S65</f>
        <v>DivisionsOrDegrees_1=1</v>
      </c>
      <c r="U65" s="39">
        <v>0</v>
      </c>
      <c r="V65" s="42" t="str">
        <f>C65&amp;IF(ISBLANK(U65),"","=")&amp;U65</f>
        <v>DivisionsOrDegrees_1=0</v>
      </c>
    </row>
    <row r="66" spans="1:25" x14ac:dyDescent="0.25">
      <c r="A66">
        <v>19</v>
      </c>
      <c r="B66" t="s">
        <v>41</v>
      </c>
      <c r="C66" s="39" t="s">
        <v>317</v>
      </c>
      <c r="D66" s="39">
        <v>32</v>
      </c>
      <c r="E66" s="27">
        <v>196</v>
      </c>
      <c r="F66" s="27">
        <v>199</v>
      </c>
      <c r="G66" s="26"/>
      <c r="H66" s="49" t="str">
        <f>DEC2HEX(I66)</f>
        <v>79</v>
      </c>
      <c r="I66" s="27">
        <v>121</v>
      </c>
      <c r="J66" s="27" t="str">
        <f>CHAR(I66)</f>
        <v>y</v>
      </c>
      <c r="L66">
        <f>IF(ISBLANK(D66),IF(E66&gt;0,F66-E66+1,0),0)</f>
        <v>0</v>
      </c>
      <c r="M66" s="45">
        <f>IF(ISBLANK(D66),0,IF(G66=0,F66-E66+1,0))</f>
        <v>4</v>
      </c>
      <c r="Q66" s="42" t="str">
        <f>C66&amp;IF(ISBLANK(D66),"","=")&amp;D66</f>
        <v>Microsteps_Z=32</v>
      </c>
      <c r="S66" s="39">
        <v>32</v>
      </c>
      <c r="T66" s="42" t="str">
        <f>C66&amp;IF(ISBLANK(S66),"","=")&amp;S66</f>
        <v>Microsteps_Z=32</v>
      </c>
      <c r="U66" s="39">
        <v>8</v>
      </c>
      <c r="V66" s="42" t="str">
        <f>C66&amp;IF(ISBLANK(U66),"","=")&amp;U66</f>
        <v>Microsteps_Z=8</v>
      </c>
    </row>
    <row r="67" spans="1:25" x14ac:dyDescent="0.25">
      <c r="A67">
        <v>13</v>
      </c>
      <c r="B67" t="s">
        <v>8</v>
      </c>
      <c r="C67" s="39" t="s">
        <v>313</v>
      </c>
      <c r="D67" s="39">
        <v>32</v>
      </c>
      <c r="E67" s="26">
        <v>200</v>
      </c>
      <c r="F67" s="26">
        <v>203</v>
      </c>
      <c r="G67" s="26"/>
      <c r="H67" s="49" t="str">
        <f>DEC2HEX(I67)</f>
        <v>70</v>
      </c>
      <c r="I67" s="27">
        <v>112</v>
      </c>
      <c r="J67" s="27" t="str">
        <f>CHAR(I67)</f>
        <v>p</v>
      </c>
      <c r="L67">
        <f>IF(ISBLANK(D67),IF(E67&gt;0,F67-E67+1,0),0)</f>
        <v>0</v>
      </c>
      <c r="M67" s="45">
        <f>IF(ISBLANK(D67),0,IF(G67=0,F67-E67+1,0))</f>
        <v>4</v>
      </c>
      <c r="Q67" s="42" t="str">
        <f>C67&amp;IF(ISBLANK(D67),"","=")&amp;D67</f>
        <v>Microsteps_Spindle=32</v>
      </c>
      <c r="S67" s="39">
        <v>32</v>
      </c>
      <c r="T67" s="42" t="str">
        <f>C67&amp;IF(ISBLANK(S67),"","=")&amp;S67</f>
        <v>Microsteps_Spindle=32</v>
      </c>
      <c r="U67" s="39">
        <v>16</v>
      </c>
      <c r="V67" s="42" t="str">
        <f>C67&amp;IF(ISBLANK(U67),"","=")&amp;U67</f>
        <v>Microsteps_Spindle=16</v>
      </c>
    </row>
    <row r="68" spans="1:25" x14ac:dyDescent="0.25">
      <c r="A68">
        <v>34</v>
      </c>
      <c r="B68" t="s">
        <v>438</v>
      </c>
      <c r="C68" s="39" t="s">
        <v>327</v>
      </c>
      <c r="D68" s="39">
        <v>200</v>
      </c>
      <c r="E68" s="26">
        <v>204</v>
      </c>
      <c r="F68" s="26">
        <v>207</v>
      </c>
      <c r="G68" s="26"/>
      <c r="H68" s="49" t="str">
        <f>DEC2HEX(I68)</f>
        <v>F0</v>
      </c>
      <c r="I68" s="27">
        <v>240</v>
      </c>
      <c r="J68" s="27" t="str">
        <f>CHAR(I68)</f>
        <v>ð</v>
      </c>
      <c r="L68">
        <f>IF(ISBLANK(D68),IF(E68&gt;0,F68-E68+1,0),0)</f>
        <v>0</v>
      </c>
      <c r="M68" s="45">
        <f>IF(ISBLANK(D68),0,IF(G68=0,F68-E68+1,0))</f>
        <v>4</v>
      </c>
      <c r="Q68" s="42" t="str">
        <f>C68&amp;IF(ISBLANK(D68),"","=")&amp;D68</f>
        <v>StepsPer360_AltX=200</v>
      </c>
      <c r="S68" s="39">
        <v>200</v>
      </c>
      <c r="T68" s="42" t="str">
        <f>C68&amp;IF(ISBLANK(S68),"","=")&amp;S68</f>
        <v>StepsPer360_AltX=200</v>
      </c>
      <c r="U68" s="39">
        <v>100</v>
      </c>
      <c r="V68" s="42" t="str">
        <f>C68&amp;IF(ISBLANK(U68),"","=")&amp;U68</f>
        <v>StepsPer360_AltX=100</v>
      </c>
    </row>
    <row r="69" spans="1:25" x14ac:dyDescent="0.25">
      <c r="A69">
        <v>338</v>
      </c>
      <c r="B69" t="s">
        <v>233</v>
      </c>
      <c r="C69" s="39" t="s">
        <v>380</v>
      </c>
      <c r="D69" s="39">
        <v>5000</v>
      </c>
      <c r="E69" s="26">
        <v>208</v>
      </c>
      <c r="F69" s="26">
        <v>211</v>
      </c>
      <c r="G69" s="26"/>
      <c r="H69" s="49" t="str">
        <f>DEC2HEX(I69)</f>
        <v>BA</v>
      </c>
      <c r="I69" s="27">
        <v>186</v>
      </c>
      <c r="J69" s="27" t="str">
        <f>CHAR(I69)</f>
        <v>º</v>
      </c>
      <c r="L69">
        <f>IF(ISBLANK(D69),IF(E69&gt;0,F69-E69+1,0),0)</f>
        <v>0</v>
      </c>
      <c r="M69" s="45">
        <f>IF(ISBLANK(D69),0,IF(G69=0,F69-E69+1,0))</f>
        <v>4</v>
      </c>
      <c r="Q69" s="42" t="str">
        <f>C69&amp;IF(ISBLANK(D69),"","=")&amp;D69</f>
        <v>Accel_M4=5000</v>
      </c>
      <c r="S69" s="39">
        <v>20000</v>
      </c>
      <c r="T69" s="42" t="str">
        <f>C69&amp;IF(ISBLANK(S69),"","=")&amp;S69</f>
        <v>Accel_M4=20000</v>
      </c>
      <c r="U69" s="39">
        <v>11</v>
      </c>
      <c r="V69" s="42" t="str">
        <f>C69&amp;IF(ISBLANK(U69),"","=")&amp;U69</f>
        <v>Accel_M4=11</v>
      </c>
    </row>
    <row r="70" spans="1:25" x14ac:dyDescent="0.25">
      <c r="A70">
        <v>236</v>
      </c>
      <c r="B70" t="s">
        <v>42</v>
      </c>
      <c r="C70" s="39" t="s">
        <v>379</v>
      </c>
      <c r="D70" s="39">
        <v>5088</v>
      </c>
      <c r="E70" s="26">
        <v>212</v>
      </c>
      <c r="F70" s="26">
        <v>215</v>
      </c>
      <c r="G70" s="26"/>
      <c r="H70" s="49" t="str">
        <f>DEC2HEX(I70)</f>
        <v>B9</v>
      </c>
      <c r="I70" s="27">
        <v>185</v>
      </c>
      <c r="J70" s="27" t="str">
        <f>CHAR(I70)</f>
        <v>¹</v>
      </c>
      <c r="L70">
        <f>IF(ISBLANK(D70),IF(E70&gt;0,F70-E70+1,0),0)</f>
        <v>0</v>
      </c>
      <c r="M70" s="45">
        <f>IF(ISBLANK(D70),0,IF(G70=0,F70-E70+1,0))</f>
        <v>4</v>
      </c>
      <c r="Q70" s="42" t="str">
        <f>C70&amp;IF(ISBLANK(D70),"","=")&amp;D70</f>
        <v>MaxSpeed_M4=5088</v>
      </c>
      <c r="S70" s="39">
        <v>30000</v>
      </c>
      <c r="T70" s="42" t="str">
        <f>C70&amp;IF(ISBLANK(S70),"","=")&amp;S70</f>
        <v>MaxSpeed_M4=30000</v>
      </c>
      <c r="U70" s="39">
        <v>1000</v>
      </c>
      <c r="V70" s="42" t="str">
        <f>C70&amp;IF(ISBLANK(U70),"","=")&amp;U70</f>
        <v>MaxSpeed_M4=1000</v>
      </c>
    </row>
    <row r="71" spans="1:25" x14ac:dyDescent="0.25">
      <c r="A71">
        <v>35</v>
      </c>
      <c r="B71" t="s">
        <v>438</v>
      </c>
      <c r="C71" s="39" t="s">
        <v>328</v>
      </c>
      <c r="D71" s="39">
        <v>0.28299999999999997</v>
      </c>
      <c r="E71" s="26">
        <v>216</v>
      </c>
      <c r="F71" s="26">
        <v>223</v>
      </c>
      <c r="G71" s="26"/>
      <c r="H71" s="49" t="str">
        <f>DEC2HEX(I71)</f>
        <v>4F</v>
      </c>
      <c r="I71" s="27">
        <v>79</v>
      </c>
      <c r="J71" s="27" t="str">
        <f>CHAR(I71)</f>
        <v>O</v>
      </c>
      <c r="L71">
        <f>IF(ISBLANK(D71),IF(E71&gt;0,F71-E71+1,0),0)</f>
        <v>0</v>
      </c>
      <c r="M71" s="45">
        <f>IF(ISBLANK(D71),0,IF(G71=0,F71-E71+1,0))</f>
        <v>8</v>
      </c>
      <c r="Q71" s="42" t="str">
        <f>C71&amp;IF(ISBLANK(D71),"","=")&amp;D71</f>
        <v>DistancePer360_AltX=0.283</v>
      </c>
      <c r="S71" s="39">
        <v>0.01</v>
      </c>
      <c r="T71" s="42" t="str">
        <f>C71&amp;IF(ISBLANK(S71),"","=")&amp;S71</f>
        <v>DistancePer360_AltX=0.01</v>
      </c>
      <c r="U71" s="39">
        <v>36</v>
      </c>
      <c r="V71" s="42" t="str">
        <f>C71&amp;IF(ISBLANK(U71),"","=")&amp;U71</f>
        <v>DistancePer360_AltX=36</v>
      </c>
    </row>
    <row r="72" spans="1:25" x14ac:dyDescent="0.25">
      <c r="A72">
        <v>329</v>
      </c>
      <c r="B72" t="s">
        <v>233</v>
      </c>
      <c r="C72" s="39" t="s">
        <v>427</v>
      </c>
      <c r="D72" s="39">
        <v>2.5</v>
      </c>
      <c r="E72" s="26">
        <v>224</v>
      </c>
      <c r="F72" s="26">
        <v>231</v>
      </c>
      <c r="G72" s="26"/>
      <c r="H72" s="49" t="str">
        <f>DEC2HEX(I72)</f>
        <v>E3</v>
      </c>
      <c r="I72" s="27">
        <v>227</v>
      </c>
      <c r="J72" s="27" t="str">
        <f>CHAR(I72)</f>
        <v>ã</v>
      </c>
      <c r="L72">
        <f>IF(ISBLANK(D72),IF(E72&gt;0,F72-E72+1,0),0)</f>
        <v>0</v>
      </c>
      <c r="M72" s="45">
        <f>IF(ISBLANK(D72),0,IF(G72=0,F72-E72+1,0))</f>
        <v>8</v>
      </c>
      <c r="Q72" s="42" t="str">
        <f>C72&amp;IF(ISBLANK(D72),"","=")&amp;D72</f>
        <v>AxialAmplitude_X=2.5</v>
      </c>
      <c r="S72" s="39">
        <v>0.5</v>
      </c>
      <c r="T72" s="42" t="str">
        <f>C72&amp;IF(ISBLANK(S72),"","=")&amp;S72</f>
        <v>AxialAmplitude_X=0.5</v>
      </c>
      <c r="U72" s="39">
        <v>11</v>
      </c>
      <c r="V72" s="42" t="str">
        <f>C72&amp;IF(ISBLANK(U72),"","=")&amp;U72</f>
        <v>AxialAmplitude_X=11</v>
      </c>
    </row>
    <row r="73" spans="1:25" x14ac:dyDescent="0.25">
      <c r="A73">
        <v>285</v>
      </c>
      <c r="B73" t="s">
        <v>439</v>
      </c>
      <c r="C73" s="39" t="s">
        <v>412</v>
      </c>
      <c r="D73" s="39">
        <v>4.258</v>
      </c>
      <c r="E73" s="27">
        <v>232</v>
      </c>
      <c r="F73" s="27">
        <v>239</v>
      </c>
      <c r="G73" s="26"/>
      <c r="H73" s="49" t="str">
        <f>DEC2HEX(I73)</f>
        <v>D6</v>
      </c>
      <c r="I73" s="27">
        <v>214</v>
      </c>
      <c r="J73" s="27" t="str">
        <f>CHAR(I73)</f>
        <v>Ö</v>
      </c>
      <c r="L73">
        <f>IF(ISBLANK(D73),IF(E73&gt;0,F73-E73+1,0),0)</f>
        <v>0</v>
      </c>
      <c r="M73" s="45">
        <f>IF(ISBLANK(D73),0,IF(G73=0,F73-E73+1,0))</f>
        <v>8</v>
      </c>
      <c r="Q73" s="42" t="str">
        <f>C73&amp;IF(ISBLANK(D73),"","=")&amp;D73</f>
        <v>Radial_Axis_Amplitude=4.258</v>
      </c>
      <c r="S73" s="39">
        <v>0.2</v>
      </c>
      <c r="T73" s="42" t="str">
        <f>C73&amp;IF(ISBLANK(S73),"","=")&amp;S73</f>
        <v>Radial_Axis_Amplitude=0.2</v>
      </c>
      <c r="U73" s="39">
        <v>11</v>
      </c>
      <c r="V73" s="42" t="str">
        <f>C73&amp;IF(ISBLANK(U73),"","=")&amp;U73</f>
        <v>Radial_Axis_Amplitude=11</v>
      </c>
    </row>
    <row r="74" spans="1:25" x14ac:dyDescent="0.25">
      <c r="A74">
        <v>310</v>
      </c>
      <c r="B74" t="s">
        <v>233</v>
      </c>
      <c r="C74" s="39" t="s">
        <v>409</v>
      </c>
      <c r="D74" s="39">
        <v>0</v>
      </c>
      <c r="E74" s="27">
        <v>240</v>
      </c>
      <c r="F74" s="27">
        <v>243</v>
      </c>
      <c r="G74" s="26"/>
      <c r="H74" s="49" t="str">
        <f>DEC2HEX(I74)</f>
        <v>46</v>
      </c>
      <c r="I74" s="27">
        <v>70</v>
      </c>
      <c r="J74" s="27" t="str">
        <f>CHAR(I74)</f>
        <v>F</v>
      </c>
      <c r="L74">
        <f>IF(ISBLANK(D74),IF(E74&gt;0,F74-E74+1,0),0)</f>
        <v>0</v>
      </c>
      <c r="M74" s="45">
        <f>IF(ISBLANK(D74),0,IF(G74=0,F74-E74+1,0))</f>
        <v>4</v>
      </c>
      <c r="Q74" s="42" t="str">
        <f>C74&amp;IF(ISBLANK(D74),"","=")&amp;D74</f>
        <v>RadialOrAxial=0</v>
      </c>
      <c r="S74" s="39">
        <v>0</v>
      </c>
      <c r="T74" s="42" t="str">
        <f>C74&amp;IF(ISBLANK(S74),"","=")&amp;S74</f>
        <v>RadialOrAxial=0</v>
      </c>
      <c r="U74" s="39">
        <v>1</v>
      </c>
      <c r="V74" s="42" t="str">
        <f>C74&amp;IF(ISBLANK(U74),"","=")&amp;U74</f>
        <v>RadialOrAxial=1</v>
      </c>
    </row>
    <row r="75" spans="1:25" x14ac:dyDescent="0.25">
      <c r="A75">
        <v>153</v>
      </c>
      <c r="B75" t="s">
        <v>236</v>
      </c>
      <c r="C75" s="39" t="s">
        <v>449</v>
      </c>
      <c r="D75" s="39">
        <v>1.369</v>
      </c>
      <c r="E75" s="26">
        <v>244</v>
      </c>
      <c r="F75" s="26">
        <v>251</v>
      </c>
      <c r="G75" s="26"/>
      <c r="H75" s="49" t="str">
        <f>DEC2HEX(I75)</f>
        <v>6A</v>
      </c>
      <c r="I75" s="27">
        <v>106</v>
      </c>
      <c r="J75" s="27" t="str">
        <f>CHAR(I75)</f>
        <v>j</v>
      </c>
      <c r="L75">
        <f>IF(ISBLANK(D75),IF(E75&gt;0,F75-E75+1,0),0)</f>
        <v>0</v>
      </c>
      <c r="M75" s="45">
        <f>IF(ISBLANK(D75),0,IF(G75=0,F75-E75+1,0))</f>
        <v>8</v>
      </c>
      <c r="Q75" s="42" t="str">
        <f>C75&amp;IF(ISBLANK(D75),"","=")&amp;D75</f>
        <v>TargetDistance_M3=1.369</v>
      </c>
      <c r="R75" s="109"/>
      <c r="S75" s="39">
        <v>360</v>
      </c>
      <c r="T75" s="42" t="str">
        <f>C75&amp;IF(ISBLANK(S75),"","=")&amp;S75</f>
        <v>TargetDistance_M3=360</v>
      </c>
      <c r="U75" s="39">
        <v>11</v>
      </c>
      <c r="V75" s="42" t="str">
        <f>C75&amp;IF(ISBLANK(U75),"","=")&amp;U75</f>
        <v>TargetDistance_M3=11</v>
      </c>
    </row>
    <row r="76" spans="1:25" s="84" customFormat="1" x14ac:dyDescent="0.25">
      <c r="A76">
        <v>37</v>
      </c>
      <c r="B76" t="s">
        <v>438</v>
      </c>
      <c r="C76" s="39" t="s">
        <v>574</v>
      </c>
      <c r="D76" s="39">
        <v>1</v>
      </c>
      <c r="E76" s="26">
        <v>252</v>
      </c>
      <c r="F76" s="26">
        <v>255</v>
      </c>
      <c r="G76" s="26">
        <v>16</v>
      </c>
      <c r="H76" s="49"/>
      <c r="I76" s="27"/>
      <c r="J76" s="27"/>
      <c r="K76" s="39"/>
      <c r="L76">
        <f>IF(ISBLANK(D76),IF(E76&gt;0,F76-E76+1,0),0)</f>
        <v>0</v>
      </c>
      <c r="M76" s="45">
        <f>IF(ISBLANK(D76),0,IF(G76=0,F76-E76+1,0))</f>
        <v>0</v>
      </c>
      <c r="N76" s="54"/>
      <c r="O76" s="54"/>
      <c r="P76" s="54"/>
      <c r="Q76" s="42" t="str">
        <f>C76&amp;IF(ISBLANK(D76),"","=")&amp;D76</f>
        <v>Leadscrew_Hand_AltX=1</v>
      </c>
      <c r="R76"/>
      <c r="S76" s="39">
        <v>1</v>
      </c>
      <c r="T76" s="42" t="str">
        <f>C76&amp;IF(ISBLANK(S76),"","=")&amp;S76</f>
        <v>Leadscrew_Hand_AltX=1</v>
      </c>
      <c r="U76" s="39">
        <v>0</v>
      </c>
      <c r="V76" s="42" t="str">
        <f>C76&amp;IF(ISBLANK(U76),"","=")&amp;U76</f>
        <v>Leadscrew_Hand_AltX=0</v>
      </c>
      <c r="W76"/>
      <c r="X76"/>
      <c r="Y76"/>
    </row>
    <row r="77" spans="1:25" x14ac:dyDescent="0.25">
      <c r="A77">
        <v>46</v>
      </c>
      <c r="B77" t="s">
        <v>234</v>
      </c>
      <c r="C77" s="39" t="s">
        <v>575</v>
      </c>
      <c r="D77" s="39">
        <v>1</v>
      </c>
      <c r="E77" s="26">
        <v>252</v>
      </c>
      <c r="F77" s="26">
        <v>255</v>
      </c>
      <c r="G77" s="26">
        <v>24</v>
      </c>
      <c r="H77" s="49"/>
      <c r="I77" s="27"/>
      <c r="J77" s="27"/>
      <c r="L77">
        <f>IF(ISBLANK(D77),IF(E77&gt;0,F77-E77+1,0),0)</f>
        <v>0</v>
      </c>
      <c r="M77" s="45">
        <f>IF(ISBLANK(D77),0,IF(G77=0,F77-E77+1,0))</f>
        <v>0</v>
      </c>
      <c r="Q77" s="42" t="str">
        <f>C77&amp;IF(ISBLANK(D77),"","=")&amp;D77</f>
        <v>Leadscrew_Hand_M3=1</v>
      </c>
      <c r="S77" s="39">
        <v>1</v>
      </c>
      <c r="T77" s="42" t="str">
        <f>C77&amp;IF(ISBLANK(S77),"","=")&amp;S77</f>
        <v>Leadscrew_Hand_M3=1</v>
      </c>
      <c r="U77" s="39">
        <v>0</v>
      </c>
      <c r="V77" s="42" t="str">
        <f>C77&amp;IF(ISBLANK(U77),"","=")&amp;U77</f>
        <v>Leadscrew_Hand_M3=0</v>
      </c>
    </row>
    <row r="78" spans="1:25" x14ac:dyDescent="0.25">
      <c r="A78">
        <v>31</v>
      </c>
      <c r="B78" t="s">
        <v>222</v>
      </c>
      <c r="C78" s="39" t="s">
        <v>573</v>
      </c>
      <c r="D78" s="39">
        <v>0</v>
      </c>
      <c r="E78" s="26">
        <v>252</v>
      </c>
      <c r="F78" s="26">
        <v>255</v>
      </c>
      <c r="G78" s="26">
        <v>8</v>
      </c>
      <c r="H78" s="49"/>
      <c r="I78" s="27"/>
      <c r="J78" s="27"/>
      <c r="L78">
        <f>IF(ISBLANK(D78),IF(E78&gt;0,F78-E78+1,0),0)</f>
        <v>0</v>
      </c>
      <c r="M78" s="45">
        <f>IF(ISBLANK(D78),0,IF(G78=0,F78-E78+1,0))</f>
        <v>0</v>
      </c>
      <c r="Q78" s="42" t="str">
        <f>C78&amp;IF(ISBLANK(D78),"","=")&amp;D78</f>
        <v>Leadscrew_Hand_X=0</v>
      </c>
      <c r="S78" s="39">
        <v>1</v>
      </c>
      <c r="T78" s="42" t="str">
        <f>C78&amp;IF(ISBLANK(S78),"","=")&amp;S78</f>
        <v>Leadscrew_Hand_X=1</v>
      </c>
      <c r="U78" s="39">
        <v>0</v>
      </c>
      <c r="V78" s="42" t="str">
        <f>C78&amp;IF(ISBLANK(U78),"","=")&amp;U78</f>
        <v>Leadscrew_Hand_X=0</v>
      </c>
    </row>
    <row r="79" spans="1:25" x14ac:dyDescent="0.25">
      <c r="A79">
        <v>24</v>
      </c>
      <c r="B79" t="s">
        <v>41</v>
      </c>
      <c r="C79" s="39" t="s">
        <v>572</v>
      </c>
      <c r="D79" s="39">
        <v>0</v>
      </c>
      <c r="E79" s="26">
        <v>252</v>
      </c>
      <c r="F79" s="26">
        <v>255</v>
      </c>
      <c r="G79" s="26">
        <v>0</v>
      </c>
      <c r="H79" s="49"/>
      <c r="I79" s="27"/>
      <c r="J79" s="27"/>
      <c r="L79">
        <f>IF(ISBLANK(D79),IF(E79&gt;0,F79-E79+1,0),0)</f>
        <v>0</v>
      </c>
      <c r="M79" s="45">
        <f>IF(ISBLANK(D79),0,IF(G79=0,F79-E79+1,0))</f>
        <v>4</v>
      </c>
      <c r="Q79" s="42" t="str">
        <f>C79&amp;IF(ISBLANK(D79),"","=")&amp;D79</f>
        <v>Leadscrew_Hand_Z=0</v>
      </c>
      <c r="S79" s="39">
        <v>1</v>
      </c>
      <c r="T79" s="42" t="str">
        <f>C79&amp;IF(ISBLANK(S79),"","=")&amp;S79</f>
        <v>Leadscrew_Hand_Z=1</v>
      </c>
      <c r="U79" s="39">
        <v>0</v>
      </c>
      <c r="V79" s="42" t="str">
        <f>C79&amp;IF(ISBLANK(U79),"","=")&amp;U79</f>
        <v>Leadscrew_Hand_Z=0</v>
      </c>
    </row>
    <row r="80" spans="1:25" x14ac:dyDescent="0.25">
      <c r="A80">
        <v>160</v>
      </c>
      <c r="B80" t="s">
        <v>236</v>
      </c>
      <c r="C80" s="39" t="s">
        <v>450</v>
      </c>
      <c r="D80" s="39">
        <v>0.47799999999999998</v>
      </c>
      <c r="E80" s="26">
        <v>256</v>
      </c>
      <c r="F80" s="26">
        <v>263</v>
      </c>
      <c r="G80" s="26"/>
      <c r="H80" s="49" t="str">
        <f>DEC2HEX(I80)</f>
        <v>C7</v>
      </c>
      <c r="I80" s="27">
        <v>199</v>
      </c>
      <c r="J80" s="27" t="str">
        <f>CHAR(I80)</f>
        <v>Ç</v>
      </c>
      <c r="L80">
        <f>IF(ISBLANK(D80),IF(E80&gt;0,F80-E80+1,0),0)</f>
        <v>0</v>
      </c>
      <c r="M80" s="45">
        <f>IF(ISBLANK(D80),0,IF(G80=0,F80-E80+1,0))</f>
        <v>8</v>
      </c>
      <c r="Q80" s="42" t="str">
        <f>C80&amp;IF(ISBLANK(D80),"","=")&amp;D80</f>
        <v>TargetDistance_M4=0.478</v>
      </c>
      <c r="S80" s="39">
        <v>0.02</v>
      </c>
      <c r="T80" s="42" t="str">
        <f>C80&amp;IF(ISBLANK(S80),"","=")&amp;S80</f>
        <v>TargetDistance_M4=0.02</v>
      </c>
      <c r="U80" s="39">
        <v>11</v>
      </c>
      <c r="V80" s="42" t="str">
        <f>C80&amp;IF(ISBLANK(U80),"","=")&amp;U80</f>
        <v>TargetDistance_M4=11</v>
      </c>
    </row>
    <row r="81" spans="1:25" x14ac:dyDescent="0.25">
      <c r="A81">
        <v>55</v>
      </c>
      <c r="B81" t="s">
        <v>235</v>
      </c>
      <c r="C81" s="99" t="s">
        <v>576</v>
      </c>
      <c r="D81" s="99">
        <v>1</v>
      </c>
      <c r="E81" s="100">
        <v>264</v>
      </c>
      <c r="F81" s="100">
        <v>267</v>
      </c>
      <c r="G81" s="100"/>
      <c r="H81" s="49"/>
      <c r="I81" s="27"/>
      <c r="J81" s="27"/>
      <c r="L81">
        <f>IF(ISBLANK(D57),IF(E81&gt;0,F81-E81+1,0),0)</f>
        <v>0</v>
      </c>
      <c r="M81" s="45">
        <f>IF(ISBLANK(D57),0,IF(G81=0,F81-E81+1,0))</f>
        <v>4</v>
      </c>
      <c r="Q81" s="42" t="str">
        <f>C81&amp;IF(ISBLANK(D81),"","=")&amp;D81</f>
        <v>Leadscrew_Hand_M4=1</v>
      </c>
      <c r="S81" s="39">
        <v>1</v>
      </c>
      <c r="T81" s="42" t="str">
        <f>C81&amp;IF(ISBLANK(S81),"","=")&amp;S81</f>
        <v>Leadscrew_Hand_M4=1</v>
      </c>
      <c r="U81" s="39">
        <v>0</v>
      </c>
      <c r="V81" s="42" t="str">
        <f>C81&amp;IF(ISBLANK(U81),"","=")&amp;U81</f>
        <v>Leadscrew_Hand_M4=0</v>
      </c>
    </row>
    <row r="82" spans="1:25" x14ac:dyDescent="0.25">
      <c r="A82">
        <v>15</v>
      </c>
      <c r="B82" t="s">
        <v>8</v>
      </c>
      <c r="C82" s="39" t="s">
        <v>315</v>
      </c>
      <c r="D82" s="39">
        <v>9</v>
      </c>
      <c r="E82" s="51">
        <v>268</v>
      </c>
      <c r="F82" s="51">
        <v>275</v>
      </c>
      <c r="G82" s="26"/>
      <c r="H82" s="49" t="str">
        <f>DEC2HEX(I82)</f>
        <v>73</v>
      </c>
      <c r="I82" s="27">
        <v>115</v>
      </c>
      <c r="J82" s="27" t="str">
        <f>CHAR(I82)</f>
        <v>s</v>
      </c>
      <c r="L82">
        <f>IF(ISBLANK(D82),IF(E82&gt;0,F82-E82+1,0),0)</f>
        <v>0</v>
      </c>
      <c r="M82" s="45">
        <f>IF(ISBLANK(D82),0,IF(G82=0,F82-E82+1,0))</f>
        <v>8</v>
      </c>
      <c r="Q82" s="42" t="str">
        <f>C82&amp;IF(ISBLANK(D82),"","=")&amp;D82</f>
        <v>GearRatio_Spindle=9</v>
      </c>
      <c r="S82" s="39">
        <v>1</v>
      </c>
      <c r="T82" s="42" t="str">
        <f>C82&amp;IF(ISBLANK(S82),"","=")&amp;S82</f>
        <v>GearRatio_Spindle=1</v>
      </c>
      <c r="U82" s="39">
        <v>1.111</v>
      </c>
      <c r="V82" s="42" t="str">
        <f>C82&amp;IF(ISBLANK(U82),"","=")&amp;U82</f>
        <v>GearRatio_Spindle=1.111</v>
      </c>
    </row>
    <row r="83" spans="1:25" x14ac:dyDescent="0.25">
      <c r="A83">
        <v>322</v>
      </c>
      <c r="B83" t="s">
        <v>233</v>
      </c>
      <c r="C83" s="39" t="s">
        <v>424</v>
      </c>
      <c r="D83" s="39">
        <v>2.1469999999999998</v>
      </c>
      <c r="E83" s="26">
        <v>276</v>
      </c>
      <c r="F83" s="26">
        <v>283</v>
      </c>
      <c r="G83" s="26"/>
      <c r="H83" s="49" t="str">
        <f>DEC2HEX(I83)</f>
        <v>E4</v>
      </c>
      <c r="I83" s="27">
        <v>228</v>
      </c>
      <c r="J83" s="27" t="str">
        <f>CHAR(I83)</f>
        <v>ä</v>
      </c>
      <c r="L83">
        <f>IF(ISBLANK(D83),IF(E83&gt;0,F83-E83+1,0),0)</f>
        <v>0</v>
      </c>
      <c r="M83" s="45">
        <f>IF(ISBLANK(D83),0,IF(G83=0,F83-E83+1,0))</f>
        <v>8</v>
      </c>
      <c r="Q83" s="42" t="str">
        <f>C83&amp;IF(ISBLANK(D83),"","=")&amp;D83</f>
        <v>RadialAmplitude_Z=2.147</v>
      </c>
      <c r="S83" s="39">
        <v>0.5</v>
      </c>
      <c r="T83" s="42" t="str">
        <f>C83&amp;IF(ISBLANK(S83),"","=")&amp;S83</f>
        <v>RadialAmplitude_Z=0.5</v>
      </c>
      <c r="U83" s="39">
        <v>11</v>
      </c>
      <c r="V83" s="42" t="str">
        <f>C83&amp;IF(ISBLANK(U83),"","=")&amp;U83</f>
        <v>RadialAmplitude_Z=11</v>
      </c>
    </row>
    <row r="84" spans="1:25" s="29" customFormat="1" x14ac:dyDescent="0.25">
      <c r="A84">
        <v>328</v>
      </c>
      <c r="B84" t="s">
        <v>233</v>
      </c>
      <c r="C84" s="39" t="s">
        <v>426</v>
      </c>
      <c r="D84" s="39">
        <v>1.258</v>
      </c>
      <c r="E84" s="26">
        <v>284</v>
      </c>
      <c r="F84" s="26">
        <v>291</v>
      </c>
      <c r="G84" s="26"/>
      <c r="H84" s="49" t="str">
        <f>DEC2HEX(I84)</f>
        <v>E4</v>
      </c>
      <c r="I84" s="27">
        <v>228</v>
      </c>
      <c r="J84" s="27" t="str">
        <f>CHAR(I84)</f>
        <v>ä</v>
      </c>
      <c r="K84" s="39"/>
      <c r="L84">
        <f>IF(ISBLANK(D84),IF(E84&gt;0,F84-E84+1,0),0)</f>
        <v>0</v>
      </c>
      <c r="M84" s="45">
        <f>IF(ISBLANK(D84),0,IF(G84=0,F84-E84+1,0))</f>
        <v>8</v>
      </c>
      <c r="N84" s="54"/>
      <c r="O84" s="54"/>
      <c r="P84" s="54"/>
      <c r="Q84" s="42" t="str">
        <f>C84&amp;IF(ISBLANK(D84),"","=")&amp;D84</f>
        <v>RadialAmplitude_X=1.258</v>
      </c>
      <c r="R84"/>
      <c r="S84" s="39">
        <v>0.5</v>
      </c>
      <c r="T84" s="42" t="str">
        <f>C84&amp;IF(ISBLANK(S84),"","=")&amp;S84</f>
        <v>RadialAmplitude_X=0.5</v>
      </c>
      <c r="U84" s="39">
        <v>11</v>
      </c>
      <c r="V84" s="42" t="str">
        <f>C84&amp;IF(ISBLANK(U84),"","=")&amp;U84</f>
        <v>RadialAmplitude_X=11</v>
      </c>
      <c r="W84"/>
      <c r="X84"/>
      <c r="Y84"/>
    </row>
    <row r="85" spans="1:25" x14ac:dyDescent="0.25">
      <c r="A85">
        <v>323</v>
      </c>
      <c r="B85" t="s">
        <v>233</v>
      </c>
      <c r="C85" s="39" t="s">
        <v>425</v>
      </c>
      <c r="D85" s="39">
        <v>2.6869999999999998</v>
      </c>
      <c r="E85" s="26">
        <v>292</v>
      </c>
      <c r="F85" s="26">
        <v>299</v>
      </c>
      <c r="G85" s="26"/>
      <c r="H85" s="49" t="str">
        <f>DEC2HEX(I85)</f>
        <v>E3</v>
      </c>
      <c r="I85" s="27">
        <v>227</v>
      </c>
      <c r="J85" s="27" t="str">
        <f>CHAR(I85)</f>
        <v>ã</v>
      </c>
      <c r="L85">
        <f>IF(ISBLANK(D85),IF(E85&gt;0,F85-E85+1,0),0)</f>
        <v>0</v>
      </c>
      <c r="M85" s="45">
        <f>IF(ISBLANK(D85),0,IF(G85=0,F85-E85+1,0))</f>
        <v>8</v>
      </c>
      <c r="Q85" s="42" t="str">
        <f>C85&amp;IF(ISBLANK(D85),"","=")&amp;D85</f>
        <v>AxialAmplitude_Z=2.687</v>
      </c>
      <c r="S85" s="39">
        <v>0.5</v>
      </c>
      <c r="T85" s="42" t="str">
        <f>C85&amp;IF(ISBLANK(S85),"","=")&amp;S85</f>
        <v>AxialAmplitude_Z=0.5</v>
      </c>
      <c r="U85" s="39">
        <v>11</v>
      </c>
      <c r="V85" s="42" t="str">
        <f>C85&amp;IF(ISBLANK(U85),"","=")&amp;U85</f>
        <v>AxialAmplitude_Z=11</v>
      </c>
    </row>
    <row r="86" spans="1:25" x14ac:dyDescent="0.25">
      <c r="A86">
        <v>303</v>
      </c>
      <c r="B86" t="s">
        <v>274</v>
      </c>
      <c r="C86" s="39" t="s">
        <v>419</v>
      </c>
      <c r="D86" s="39">
        <v>3.2000000000000001E-2</v>
      </c>
      <c r="E86" s="26">
        <v>300</v>
      </c>
      <c r="F86" s="26">
        <v>307</v>
      </c>
      <c r="G86" s="26"/>
      <c r="H86" s="49" t="str">
        <f>DEC2HEX(I86)</f>
        <v>55</v>
      </c>
      <c r="I86" s="27">
        <v>85</v>
      </c>
      <c r="J86" s="27" t="str">
        <f>CHAR(I86)</f>
        <v>U</v>
      </c>
      <c r="L86">
        <f>IF(ISBLANK(D86),IF(E86&gt;0,F86-E86+1,0),0)</f>
        <v>0</v>
      </c>
      <c r="M86" s="45">
        <f>IF(ISBLANK(D86),0,IF(G86=0,F86-E86+1,0))</f>
        <v>8</v>
      </c>
      <c r="Q86" s="42" t="str">
        <f>C86&amp;IF(ISBLANK(D86),"","=")&amp;D86</f>
        <v>SegmentLength=0.032</v>
      </c>
      <c r="S86" s="39">
        <v>0.01</v>
      </c>
      <c r="T86" s="42" t="str">
        <f>C86&amp;IF(ISBLANK(S86),"","=")&amp;S86</f>
        <v>SegmentLength=0.01</v>
      </c>
      <c r="U86" s="39">
        <v>11</v>
      </c>
      <c r="V86" s="42" t="str">
        <f>C86&amp;IF(ISBLANK(U86),"","=")&amp;U86</f>
        <v>SegmentLength=11</v>
      </c>
    </row>
    <row r="87" spans="1:25" x14ac:dyDescent="0.25">
      <c r="A87">
        <v>284</v>
      </c>
      <c r="B87" t="s">
        <v>439</v>
      </c>
      <c r="C87" s="39" t="s">
        <v>411</v>
      </c>
      <c r="D87" s="39">
        <v>18.123999999999999</v>
      </c>
      <c r="E87" s="27">
        <v>308</v>
      </c>
      <c r="F87" s="27">
        <v>315</v>
      </c>
      <c r="G87" s="26"/>
      <c r="H87" s="49" t="str">
        <f>DEC2HEX(I87)</f>
        <v>D5</v>
      </c>
      <c r="I87" s="27">
        <v>213</v>
      </c>
      <c r="J87" s="27" t="str">
        <f>CHAR(I87)</f>
        <v>Õ</v>
      </c>
      <c r="L87">
        <f>IF(ISBLANK(D87),IF(E87&gt;0,F87-E87+1,0),0)</f>
        <v>0</v>
      </c>
      <c r="M87" s="45">
        <f>IF(ISBLANK(D87),0,IF(G87=0,F87-E87+1,0))</f>
        <v>8</v>
      </c>
      <c r="Q87" s="42" t="str">
        <f>C87&amp;IF(ISBLANK(D87),"","=")&amp;D87</f>
        <v>Radial_Spindle_Degrees=18.124</v>
      </c>
      <c r="S87" s="39">
        <v>60</v>
      </c>
      <c r="T87" s="42" t="str">
        <f>C87&amp;IF(ISBLANK(S87),"","=")&amp;S87</f>
        <v>Radial_Spindle_Degrees=60</v>
      </c>
      <c r="U87" s="39">
        <v>11</v>
      </c>
      <c r="V87" s="42" t="str">
        <f>C87&amp;IF(ISBLANK(U87),"","=")&amp;U87</f>
        <v>Radial_Spindle_Degrees=11</v>
      </c>
    </row>
    <row r="88" spans="1:25" x14ac:dyDescent="0.25">
      <c r="A88">
        <v>228</v>
      </c>
      <c r="B88" t="s">
        <v>42</v>
      </c>
      <c r="C88" s="39" t="s">
        <v>400</v>
      </c>
      <c r="D88" s="39">
        <v>5.76</v>
      </c>
      <c r="E88" s="27">
        <v>316</v>
      </c>
      <c r="F88" s="27">
        <v>323</v>
      </c>
      <c r="G88" s="26"/>
      <c r="H88" s="49" t="str">
        <f>DEC2HEX(I88)</f>
        <v>B5</v>
      </c>
      <c r="I88" s="27">
        <v>181</v>
      </c>
      <c r="J88" s="27" t="str">
        <f>CHAR(I88)</f>
        <v>µ</v>
      </c>
      <c r="L88">
        <f>IF(ISBLANK(D88),IF(E88&gt;0,F88-E88+1,0),0)</f>
        <v>0</v>
      </c>
      <c r="M88" s="45">
        <f>IF(ISBLANK(D88),0,IF(G88=0,F88-E88+1,0))</f>
        <v>8</v>
      </c>
      <c r="Q88" s="42" t="str">
        <f>C88&amp;IF(ISBLANK(D88),"","=")&amp;D88</f>
        <v>Distance_X2=5.76</v>
      </c>
      <c r="S88" s="39">
        <v>0.1</v>
      </c>
      <c r="T88" s="42" t="str">
        <f>C88&amp;IF(ISBLANK(S88),"","=")&amp;S88</f>
        <v>Distance_X2=0.1</v>
      </c>
      <c r="U88" s="39">
        <v>11</v>
      </c>
      <c r="V88" s="42" t="str">
        <f>C88&amp;IF(ISBLANK(U88),"","=")&amp;U88</f>
        <v>Distance_X2=11</v>
      </c>
    </row>
    <row r="89" spans="1:25" x14ac:dyDescent="0.25">
      <c r="A89">
        <v>289</v>
      </c>
      <c r="B89" t="s">
        <v>439</v>
      </c>
      <c r="C89" s="39" t="s">
        <v>415</v>
      </c>
      <c r="D89" s="39">
        <v>7.8959999999999999</v>
      </c>
      <c r="E89" s="27">
        <v>324</v>
      </c>
      <c r="F89" s="27">
        <v>331</v>
      </c>
      <c r="G89" s="26"/>
      <c r="H89" s="49" t="str">
        <f>DEC2HEX(I89)</f>
        <v>CD</v>
      </c>
      <c r="I89" s="27">
        <v>205</v>
      </c>
      <c r="J89" s="27" t="str">
        <f>CHAR(I89)</f>
        <v>Í</v>
      </c>
      <c r="L89">
        <f>IF(ISBLANK(D89),IF(E89&gt;0,F89-E89+1,0),0)</f>
        <v>0</v>
      </c>
      <c r="M89" s="45">
        <f>IF(ISBLANK(D89),0,IF(G89=0,F89-E89+1,0))</f>
        <v>8</v>
      </c>
      <c r="Q89" s="42" t="str">
        <f>C89&amp;IF(ISBLANK(D89),"","=")&amp;D89</f>
        <v>Axial_Axis_Distance=7.896</v>
      </c>
      <c r="S89" s="39">
        <v>0.6</v>
      </c>
      <c r="T89" s="42" t="str">
        <f>C89&amp;IF(ISBLANK(S89),"","=")&amp;S89</f>
        <v>Axial_Axis_Distance=0.6</v>
      </c>
      <c r="U89" s="39">
        <v>11</v>
      </c>
      <c r="V89" s="42" t="str">
        <f>C89&amp;IF(ISBLANK(U89),"","=")&amp;U89</f>
        <v>Axial_Axis_Distance=11</v>
      </c>
    </row>
    <row r="90" spans="1:25" x14ac:dyDescent="0.25">
      <c r="A90">
        <v>233</v>
      </c>
      <c r="B90" t="s">
        <v>42</v>
      </c>
      <c r="C90" s="39" t="s">
        <v>401</v>
      </c>
      <c r="D90" s="39">
        <v>5.78</v>
      </c>
      <c r="E90" s="27">
        <v>332</v>
      </c>
      <c r="F90" s="27">
        <v>339</v>
      </c>
      <c r="G90" s="26"/>
      <c r="H90" s="49" t="str">
        <f>DEC2HEX(I90)</f>
        <v>B5</v>
      </c>
      <c r="I90" s="27">
        <v>181</v>
      </c>
      <c r="J90" s="27" t="str">
        <f>CHAR(I90)</f>
        <v>µ</v>
      </c>
      <c r="L90">
        <f>IF(ISBLANK(D90),IF(E90&gt;0,F90-E90+1,0),0)</f>
        <v>0</v>
      </c>
      <c r="M90" s="45">
        <f>IF(ISBLANK(D90),0,IF(G90=0,F90-E90+1,0))</f>
        <v>8</v>
      </c>
      <c r="Q90" s="42" t="str">
        <f>C90&amp;IF(ISBLANK(D90),"","=")&amp;D90</f>
        <v>Distance_M3-1=5.78</v>
      </c>
      <c r="S90" s="39">
        <v>0.2</v>
      </c>
      <c r="T90" s="42" t="str">
        <f>C90&amp;IF(ISBLANK(S90),"","=")&amp;S90</f>
        <v>Distance_M3-1=0.2</v>
      </c>
      <c r="U90" s="39">
        <v>11</v>
      </c>
      <c r="V90" s="42" t="str">
        <f>C90&amp;IF(ISBLANK(U90),"","=")&amp;U90</f>
        <v>Distance_M3-1=11</v>
      </c>
    </row>
    <row r="91" spans="1:25" s="84" customFormat="1" x14ac:dyDescent="0.25">
      <c r="A91">
        <v>227</v>
      </c>
      <c r="B91" t="s">
        <v>42</v>
      </c>
      <c r="C91" s="39" t="s">
        <v>399</v>
      </c>
      <c r="D91" s="39">
        <v>5.75</v>
      </c>
      <c r="E91" s="26">
        <v>340</v>
      </c>
      <c r="F91" s="26">
        <v>347</v>
      </c>
      <c r="G91" s="26"/>
      <c r="H91" s="49" t="str">
        <f>DEC2HEX(I91)</f>
        <v>B5</v>
      </c>
      <c r="I91" s="27">
        <v>181</v>
      </c>
      <c r="J91" s="27" t="str">
        <f>CHAR(I91)</f>
        <v>µ</v>
      </c>
      <c r="K91" s="39"/>
      <c r="L91">
        <f>IF(ISBLANK(D91),IF(E91&gt;0,F91-E91+1,0),0)</f>
        <v>0</v>
      </c>
      <c r="M91" s="45">
        <f>IF(ISBLANK(D91),0,IF(G91=0,F91-E91+1,0))</f>
        <v>8</v>
      </c>
      <c r="N91" s="54"/>
      <c r="O91" s="54"/>
      <c r="P91" s="54"/>
      <c r="Q91" s="42" t="str">
        <f>C91&amp;IF(ISBLANK(D91),"","=")&amp;D91</f>
        <v>Distance_X1=5.75</v>
      </c>
      <c r="R91"/>
      <c r="S91" s="39">
        <v>0.2</v>
      </c>
      <c r="T91" s="42" t="str">
        <f>C91&amp;IF(ISBLANK(S91),"","=")&amp;S91</f>
        <v>Distance_X1=0.2</v>
      </c>
      <c r="U91" s="39">
        <v>11</v>
      </c>
      <c r="V91" s="42" t="str">
        <f>C91&amp;IF(ISBLANK(U91),"","=")&amp;U91</f>
        <v>Distance_X1=11</v>
      </c>
      <c r="W91"/>
      <c r="X91"/>
      <c r="Y91"/>
    </row>
    <row r="92" spans="1:25" x14ac:dyDescent="0.25">
      <c r="A92">
        <v>232</v>
      </c>
      <c r="B92" t="s">
        <v>42</v>
      </c>
      <c r="C92" s="39" t="s">
        <v>378</v>
      </c>
      <c r="D92" s="39">
        <v>88</v>
      </c>
      <c r="E92" s="26">
        <v>348</v>
      </c>
      <c r="F92" s="26">
        <v>351</v>
      </c>
      <c r="G92" s="26">
        <v>16</v>
      </c>
      <c r="H92" s="49" t="str">
        <f>DEC2HEX(I92)</f>
        <v>6F</v>
      </c>
      <c r="I92" s="26">
        <v>111</v>
      </c>
      <c r="J92" s="27" t="str">
        <f>CHAR(I92)</f>
        <v>o</v>
      </c>
      <c r="L92">
        <f>IF(ISBLANK(D92),IF(E92&gt;0,F92-E92+1,0),0)</f>
        <v>0</v>
      </c>
      <c r="M92" s="45">
        <f>IF(ISBLANK(D92),0,IF(G92=0,F92-E92+1,0))</f>
        <v>0</v>
      </c>
      <c r="Q92" s="42" t="str">
        <f>C92&amp;IF(ISBLANK(D92),"","=")&amp;D92</f>
        <v>SpeedPercentage_M3=88</v>
      </c>
      <c r="S92" s="39">
        <v>100</v>
      </c>
      <c r="T92" s="42" t="str">
        <f>C92&amp;IF(ISBLANK(S92),"","=")&amp;S92</f>
        <v>SpeedPercentage_M3=100</v>
      </c>
      <c r="U92" s="39">
        <v>11</v>
      </c>
      <c r="V92" s="42" t="str">
        <f>C92&amp;IF(ISBLANK(U92),"","=")&amp;U92</f>
        <v>SpeedPercentage_M3=11</v>
      </c>
    </row>
    <row r="93" spans="1:25" x14ac:dyDescent="0.25">
      <c r="A93">
        <v>238</v>
      </c>
      <c r="B93" t="s">
        <v>42</v>
      </c>
      <c r="C93" s="39" t="s">
        <v>381</v>
      </c>
      <c r="D93" s="39">
        <v>89</v>
      </c>
      <c r="E93" s="26">
        <v>348</v>
      </c>
      <c r="F93" s="26">
        <v>351</v>
      </c>
      <c r="G93" s="26">
        <v>24</v>
      </c>
      <c r="H93" s="49" t="str">
        <f>DEC2HEX(I93)</f>
        <v>6F</v>
      </c>
      <c r="I93" s="26">
        <v>111</v>
      </c>
      <c r="J93" s="27" t="str">
        <f>CHAR(I93)</f>
        <v>o</v>
      </c>
      <c r="L93">
        <f>IF(ISBLANK(D93),IF(E93&gt;0,F93-E93+1,0),0)</f>
        <v>0</v>
      </c>
      <c r="M93" s="45">
        <f>IF(ISBLANK(D93),0,IF(G93=0,F93-E93+1,0))</f>
        <v>0</v>
      </c>
      <c r="Q93" s="42" t="str">
        <f>C93&amp;IF(ISBLANK(D93),"","=")&amp;D93</f>
        <v>SpeedPercentage_M4=89</v>
      </c>
      <c r="S93" s="39">
        <v>100</v>
      </c>
      <c r="T93" s="42" t="str">
        <f>C93&amp;IF(ISBLANK(S93),"","=")&amp;S93</f>
        <v>SpeedPercentage_M4=100</v>
      </c>
      <c r="U93" s="39">
        <v>11</v>
      </c>
      <c r="V93" s="42" t="str">
        <f>C93&amp;IF(ISBLANK(U93),"","=")&amp;U93</f>
        <v>SpeedPercentage_M4=11</v>
      </c>
    </row>
    <row r="94" spans="1:25" x14ac:dyDescent="0.25">
      <c r="A94">
        <v>226</v>
      </c>
      <c r="B94" t="s">
        <v>42</v>
      </c>
      <c r="C94" s="39" t="s">
        <v>369</v>
      </c>
      <c r="D94" s="39">
        <v>85</v>
      </c>
      <c r="E94" s="26">
        <v>348</v>
      </c>
      <c r="F94" s="26">
        <v>351</v>
      </c>
      <c r="G94" s="26">
        <v>8</v>
      </c>
      <c r="H94" s="49" t="str">
        <f>DEC2HEX(I94)</f>
        <v>6F</v>
      </c>
      <c r="I94" s="26">
        <v>111</v>
      </c>
      <c r="J94" s="27" t="str">
        <f>CHAR(I94)</f>
        <v>o</v>
      </c>
      <c r="L94">
        <f>IF(ISBLANK(D94),IF(E94&gt;0,F94-E94+1,0),0)</f>
        <v>0</v>
      </c>
      <c r="M94" s="45">
        <f>IF(ISBLANK(D94),0,IF(G94=0,F94-E94+1,0))</f>
        <v>0</v>
      </c>
      <c r="Q94" s="42" t="str">
        <f>C94&amp;IF(ISBLANK(D94),"","=")&amp;D94</f>
        <v>SpeedPercentage_X=85</v>
      </c>
      <c r="S94" s="39">
        <v>100</v>
      </c>
      <c r="T94" s="42" t="str">
        <f>C94&amp;IF(ISBLANK(S94),"","=")&amp;S94</f>
        <v>SpeedPercentage_X=100</v>
      </c>
      <c r="U94" s="39">
        <v>11</v>
      </c>
      <c r="V94" s="42" t="str">
        <f>C94&amp;IF(ISBLANK(U94),"","=")&amp;U94</f>
        <v>SpeedPercentage_X=11</v>
      </c>
    </row>
    <row r="95" spans="1:25" x14ac:dyDescent="0.25">
      <c r="A95">
        <v>220</v>
      </c>
      <c r="B95" t="s">
        <v>42</v>
      </c>
      <c r="C95" s="39" t="s">
        <v>366</v>
      </c>
      <c r="D95" s="39">
        <v>82</v>
      </c>
      <c r="E95" s="26">
        <v>348</v>
      </c>
      <c r="F95" s="26">
        <v>351</v>
      </c>
      <c r="G95" s="26">
        <v>0</v>
      </c>
      <c r="H95" s="49" t="str">
        <f>DEC2HEX(I95)</f>
        <v>6F</v>
      </c>
      <c r="I95" s="26">
        <v>111</v>
      </c>
      <c r="J95" s="27" t="str">
        <f>CHAR(I95)</f>
        <v>o</v>
      </c>
      <c r="L95">
        <f>IF(ISBLANK(D95),IF(E95&gt;0,F95-E95+1,0),0)</f>
        <v>0</v>
      </c>
      <c r="M95" s="45">
        <f>IF(ISBLANK(D95),0,IF(G95=0,F95-E95+1,0))</f>
        <v>4</v>
      </c>
      <c r="Q95" s="42" t="str">
        <f>C95&amp;IF(ISBLANK(D95),"","=")&amp;D95</f>
        <v>SpeedPercentage_Z=82</v>
      </c>
      <c r="S95" s="39">
        <v>100</v>
      </c>
      <c r="T95" s="42" t="str">
        <f>C95&amp;IF(ISBLANK(S95),"","=")&amp;S95</f>
        <v>SpeedPercentage_Z=100</v>
      </c>
      <c r="U95" s="39">
        <v>11</v>
      </c>
      <c r="V95" s="42" t="str">
        <f>C95&amp;IF(ISBLANK(U95),"","=")&amp;U95</f>
        <v>SpeedPercentage_Z=11</v>
      </c>
    </row>
    <row r="96" spans="1:25" x14ac:dyDescent="0.25">
      <c r="A96">
        <v>193</v>
      </c>
      <c r="B96" t="s">
        <v>0</v>
      </c>
      <c r="C96" s="39" t="s">
        <v>384</v>
      </c>
      <c r="D96" s="39">
        <v>60.35</v>
      </c>
      <c r="E96" s="26">
        <v>352</v>
      </c>
      <c r="F96" s="26">
        <v>359</v>
      </c>
      <c r="G96" s="26"/>
      <c r="H96" s="49" t="str">
        <f>DEC2HEX(I96)</f>
        <v>BF</v>
      </c>
      <c r="I96" s="27">
        <v>191</v>
      </c>
      <c r="J96" s="27" t="str">
        <f>CHAR(I96)</f>
        <v>¿</v>
      </c>
      <c r="L96">
        <f>IF(ISBLANK(D96),IF(E96&gt;0,F96-E96+1,0),0)</f>
        <v>0</v>
      </c>
      <c r="M96" s="45">
        <f>IF(ISBLANK(D96),0,IF(G96=0,F96-E96+1,0))</f>
        <v>8</v>
      </c>
      <c r="Q96" s="42" t="str">
        <f>C96&amp;IF(ISBLANK(D96),"","=")&amp;D96</f>
        <v>Size_1=60.35</v>
      </c>
      <c r="S96" s="39">
        <v>60</v>
      </c>
      <c r="T96" s="42" t="str">
        <f>C96&amp;IF(ISBLANK(S96),"","=")&amp;S96</f>
        <v>Size_1=60</v>
      </c>
      <c r="U96" s="39">
        <v>11</v>
      </c>
      <c r="V96" s="42" t="str">
        <f>C96&amp;IF(ISBLANK(U96),"","=")&amp;U96</f>
        <v>Size_1=11</v>
      </c>
    </row>
    <row r="97" spans="1:22" x14ac:dyDescent="0.25">
      <c r="A97">
        <v>197</v>
      </c>
      <c r="B97" t="s">
        <v>0</v>
      </c>
      <c r="C97" s="39" t="s">
        <v>387</v>
      </c>
      <c r="D97" s="39">
        <v>22.5</v>
      </c>
      <c r="E97" s="26">
        <v>360</v>
      </c>
      <c r="F97" s="26">
        <v>367</v>
      </c>
      <c r="G97" s="26"/>
      <c r="H97" s="49" t="str">
        <f>DEC2HEX(I97)</f>
        <v>BF</v>
      </c>
      <c r="I97" s="27">
        <v>191</v>
      </c>
      <c r="J97" s="27" t="str">
        <f>CHAR(I97)</f>
        <v>¿</v>
      </c>
      <c r="L97">
        <f>IF(ISBLANK(D97),IF(E97&gt;0,F97-E97+1,0),0)</f>
        <v>0</v>
      </c>
      <c r="M97" s="45">
        <f>IF(ISBLANK(D97),0,IF(G97=0,F97-E97+1,0))</f>
        <v>8</v>
      </c>
      <c r="Q97" s="42" t="str">
        <f>C97&amp;IF(ISBLANK(D97),"","=")&amp;D97</f>
        <v>Size_2=22.5</v>
      </c>
      <c r="S97" s="39">
        <v>180</v>
      </c>
      <c r="T97" s="42" t="str">
        <f>C97&amp;IF(ISBLANK(S97),"","=")&amp;S97</f>
        <v>Size_2=180</v>
      </c>
      <c r="U97" s="39">
        <v>180</v>
      </c>
      <c r="V97" s="42" t="str">
        <f>C97&amp;IF(ISBLANK(U97),"","=")&amp;U97</f>
        <v>Size_2=180</v>
      </c>
    </row>
    <row r="98" spans="1:22" x14ac:dyDescent="0.25">
      <c r="A98">
        <v>181</v>
      </c>
      <c r="B98" t="s">
        <v>0</v>
      </c>
      <c r="C98" s="39" t="s">
        <v>378</v>
      </c>
      <c r="D98" s="39">
        <v>73</v>
      </c>
      <c r="E98" s="26">
        <v>368</v>
      </c>
      <c r="F98" s="26">
        <v>371</v>
      </c>
      <c r="G98" s="26">
        <v>16</v>
      </c>
      <c r="H98" s="49" t="str">
        <f>DEC2HEX(I98)</f>
        <v>6F</v>
      </c>
      <c r="I98" s="26">
        <v>111</v>
      </c>
      <c r="J98" s="27" t="str">
        <f>CHAR(I98)</f>
        <v>o</v>
      </c>
      <c r="L98">
        <f>IF(ISBLANK(D98),IF(E98&gt;0,F98-E98+1,0),0)</f>
        <v>0</v>
      </c>
      <c r="M98" s="45">
        <f>IF(ISBLANK(D98),0,IF(G98=0,F98-E98+1,0))</f>
        <v>0</v>
      </c>
      <c r="Q98" s="42" t="str">
        <f>C98&amp;IF(ISBLANK(D98),"","=")&amp;D98</f>
        <v>SpeedPercentage_M3=73</v>
      </c>
      <c r="S98" s="39">
        <v>100</v>
      </c>
      <c r="T98" s="42" t="str">
        <f>C98&amp;IF(ISBLANK(S98),"","=")&amp;S98</f>
        <v>SpeedPercentage_M3=100</v>
      </c>
      <c r="U98" s="39">
        <v>11</v>
      </c>
      <c r="V98" s="42" t="str">
        <f>C98&amp;IF(ISBLANK(U98),"","=")&amp;U98</f>
        <v>SpeedPercentage_M3=11</v>
      </c>
    </row>
    <row r="99" spans="1:22" x14ac:dyDescent="0.25">
      <c r="A99">
        <v>185</v>
      </c>
      <c r="B99" t="s">
        <v>0</v>
      </c>
      <c r="C99" s="39" t="s">
        <v>381</v>
      </c>
      <c r="D99" s="39">
        <v>85</v>
      </c>
      <c r="E99" s="26">
        <v>368</v>
      </c>
      <c r="F99" s="26">
        <v>371</v>
      </c>
      <c r="G99" s="26">
        <v>24</v>
      </c>
      <c r="H99" s="49" t="str">
        <f>DEC2HEX(I99)</f>
        <v>6F</v>
      </c>
      <c r="I99" s="26">
        <v>111</v>
      </c>
      <c r="J99" s="27" t="str">
        <f>CHAR(I99)</f>
        <v>o</v>
      </c>
      <c r="L99">
        <f>IF(ISBLANK(D99),IF(E99&gt;0,F99-E99+1,0),0)</f>
        <v>0</v>
      </c>
      <c r="M99" s="45">
        <f>IF(ISBLANK(D99),0,IF(G99=0,F99-E99+1,0))</f>
        <v>0</v>
      </c>
      <c r="Q99" s="42" t="str">
        <f>C99&amp;IF(ISBLANK(D99),"","=")&amp;D99</f>
        <v>SpeedPercentage_M4=85</v>
      </c>
      <c r="S99" s="39">
        <v>100</v>
      </c>
      <c r="T99" s="42" t="str">
        <f>C99&amp;IF(ISBLANK(S99),"","=")&amp;S99</f>
        <v>SpeedPercentage_M4=100</v>
      </c>
      <c r="U99" s="39">
        <v>11</v>
      </c>
      <c r="V99" s="42" t="str">
        <f>C99&amp;IF(ISBLANK(U99),"","=")&amp;U99</f>
        <v>SpeedPercentage_M4=11</v>
      </c>
    </row>
    <row r="100" spans="1:22" x14ac:dyDescent="0.25">
      <c r="A100">
        <v>68</v>
      </c>
      <c r="B100" t="s">
        <v>183</v>
      </c>
      <c r="C100" s="39" t="s">
        <v>349</v>
      </c>
      <c r="D100" s="39">
        <v>26</v>
      </c>
      <c r="E100" s="26">
        <v>368</v>
      </c>
      <c r="F100" s="26">
        <v>371</v>
      </c>
      <c r="G100" s="26">
        <v>8</v>
      </c>
      <c r="H100" s="49" t="str">
        <f>DEC2HEX(I100)</f>
        <v>AE</v>
      </c>
      <c r="I100" s="27">
        <v>174</v>
      </c>
      <c r="J100" s="27" t="str">
        <f>CHAR(I100)</f>
        <v>®</v>
      </c>
      <c r="L100">
        <f>IF(ISBLANK(D100),IF(E100&gt;0,F100-E100+1,0),0)</f>
        <v>0</v>
      </c>
      <c r="M100" s="45">
        <f>IF(ISBLANK(D100),0,IF(G100=0,F100-E100+1,0))</f>
        <v>0</v>
      </c>
      <c r="Q100" s="42" t="str">
        <f>C100&amp;IF(ISBLANK(D100),"","=")&amp;D100</f>
        <v>Max_M4=26</v>
      </c>
      <c r="S100" s="39">
        <v>26</v>
      </c>
      <c r="T100" s="42" t="str">
        <f>C100&amp;IF(ISBLANK(S100),"","=")&amp;S100</f>
        <v>Max_M4=26</v>
      </c>
      <c r="U100" s="39">
        <v>31</v>
      </c>
      <c r="V100" s="42" t="str">
        <f>C100&amp;IF(ISBLANK(U100),"","=")&amp;U100</f>
        <v>Max_M4=31</v>
      </c>
    </row>
    <row r="101" spans="1:22" x14ac:dyDescent="0.25">
      <c r="A101">
        <v>67</v>
      </c>
      <c r="B101" t="s">
        <v>183</v>
      </c>
      <c r="C101" s="39" t="s">
        <v>348</v>
      </c>
      <c r="D101" s="39">
        <v>24</v>
      </c>
      <c r="E101" s="26">
        <v>368</v>
      </c>
      <c r="F101" s="26">
        <v>371</v>
      </c>
      <c r="G101" s="26">
        <v>0</v>
      </c>
      <c r="H101" s="49" t="str">
        <f>DEC2HEX(I101)</f>
        <v>AF</v>
      </c>
      <c r="I101" s="27">
        <v>175</v>
      </c>
      <c r="J101" s="27" t="str">
        <f>CHAR(I101)</f>
        <v>¯</v>
      </c>
      <c r="L101">
        <f>IF(ISBLANK(D101),IF(E101&gt;0,F101-E101+1,0),0)</f>
        <v>0</v>
      </c>
      <c r="M101" s="45">
        <f>IF(ISBLANK(D101),0,IF(G101=0,F101-E101+1,0))</f>
        <v>4</v>
      </c>
      <c r="Q101" s="42" t="str">
        <f>C101&amp;IF(ISBLANK(D101),"","=")&amp;D101</f>
        <v>Min_M4=24</v>
      </c>
      <c r="S101" s="39">
        <v>24</v>
      </c>
      <c r="T101" s="42" t="str">
        <f>C101&amp;IF(ISBLANK(S101),"","=")&amp;S101</f>
        <v>Min_M4=24</v>
      </c>
      <c r="U101" s="39">
        <v>31</v>
      </c>
      <c r="V101" s="42" t="str">
        <f>C101&amp;IF(ISBLANK(U101),"","=")&amp;U101</f>
        <v>Min_M4=31</v>
      </c>
    </row>
    <row r="102" spans="1:22" x14ac:dyDescent="0.25">
      <c r="A102">
        <v>295</v>
      </c>
      <c r="B102" t="s">
        <v>36</v>
      </c>
      <c r="C102" s="39" t="s">
        <v>417</v>
      </c>
      <c r="D102" s="39">
        <v>8</v>
      </c>
      <c r="E102" s="27">
        <v>372</v>
      </c>
      <c r="F102" s="27">
        <v>375</v>
      </c>
      <c r="G102" s="26"/>
      <c r="H102" s="49" t="str">
        <f>DEC2HEX(I102)</f>
        <v>FC</v>
      </c>
      <c r="I102" s="27">
        <v>252</v>
      </c>
      <c r="J102" s="27" t="str">
        <f>CHAR(I102)</f>
        <v>ü</v>
      </c>
      <c r="L102">
        <f>IF(ISBLANK(D102),IF(E102&gt;0,F102-E102+1,0),0)</f>
        <v>0</v>
      </c>
      <c r="M102" s="45">
        <f>IF(ISBLANK(D102),0,IF(G102=0,F102-E102+1,0))</f>
        <v>4</v>
      </c>
      <c r="Q102" s="42" t="str">
        <f>C102&amp;IF(ISBLANK(D102),"","=")&amp;D102</f>
        <v>PatternsPer360=8</v>
      </c>
      <c r="S102" s="39">
        <v>2</v>
      </c>
      <c r="T102" s="42" t="str">
        <f>C102&amp;IF(ISBLANK(S102),"","=")&amp;S102</f>
        <v>PatternsPer360=2</v>
      </c>
      <c r="U102" s="39">
        <v>11</v>
      </c>
      <c r="V102" s="42" t="str">
        <f>C102&amp;IF(ISBLANK(U102),"","=")&amp;U102</f>
        <v>PatternsPer360=11</v>
      </c>
    </row>
    <row r="103" spans="1:22" x14ac:dyDescent="0.25">
      <c r="A103">
        <v>157</v>
      </c>
      <c r="B103" t="s">
        <v>236</v>
      </c>
      <c r="C103" s="39" t="s">
        <v>379</v>
      </c>
      <c r="D103" s="39">
        <v>5068</v>
      </c>
      <c r="E103" s="27">
        <v>376</v>
      </c>
      <c r="F103" s="27">
        <v>379</v>
      </c>
      <c r="G103" s="27"/>
      <c r="H103" s="49" t="str">
        <f>DEC2HEX(I103)</f>
        <v>B9</v>
      </c>
      <c r="I103" s="27">
        <v>185</v>
      </c>
      <c r="J103" s="27" t="str">
        <f>CHAR(I103)</f>
        <v>¹</v>
      </c>
      <c r="L103">
        <f>IF(ISBLANK(D103),IF(E103&gt;0,F103-E103+1,0),0)</f>
        <v>0</v>
      </c>
      <c r="M103" s="45">
        <f>IF(ISBLANK(D103),0,IF(G103=0,F103-E103+1,0))</f>
        <v>4</v>
      </c>
      <c r="Q103" s="42" t="str">
        <f>C103&amp;IF(ISBLANK(D103),"","=")&amp;D103</f>
        <v>MaxSpeed_M4=5068</v>
      </c>
      <c r="S103" s="39">
        <v>30000</v>
      </c>
      <c r="T103" s="42" t="str">
        <f>C103&amp;IF(ISBLANK(S103),"","=")&amp;S103</f>
        <v>MaxSpeed_M4=30000</v>
      </c>
      <c r="U103" s="39">
        <v>1000</v>
      </c>
      <c r="V103" s="42" t="str">
        <f>C103&amp;IF(ISBLANK(U103),"","=")&amp;U103</f>
        <v>MaxSpeed_M4=1000</v>
      </c>
    </row>
    <row r="104" spans="1:22" x14ac:dyDescent="0.25">
      <c r="A104">
        <v>50</v>
      </c>
      <c r="B104" t="s">
        <v>235</v>
      </c>
      <c r="C104" s="39" t="s">
        <v>338</v>
      </c>
      <c r="D104" s="39">
        <v>30</v>
      </c>
      <c r="E104" s="26">
        <v>380</v>
      </c>
      <c r="F104" s="26">
        <v>387</v>
      </c>
      <c r="G104" s="26"/>
      <c r="H104" s="49" t="str">
        <f>DEC2HEX(I104)</f>
        <v>A9</v>
      </c>
      <c r="I104" s="27">
        <v>169</v>
      </c>
      <c r="J104" s="27" t="str">
        <f>CHAR(I104)</f>
        <v>©</v>
      </c>
      <c r="K104" s="109"/>
      <c r="L104">
        <f>IF(ISBLANK(D104),IF(E104&gt;0,F104-E104+1,0),0)</f>
        <v>0</v>
      </c>
      <c r="M104" s="45">
        <f>IF(ISBLANK(D104),0,IF(G104=0,F104-E104+1,0))</f>
        <v>8</v>
      </c>
      <c r="Q104" s="42" t="str">
        <f>C104&amp;IF(ISBLANK(D104),"","=")&amp;D104</f>
        <v>GearRatio_M4=30</v>
      </c>
      <c r="S104" s="39">
        <v>30</v>
      </c>
      <c r="T104" s="42" t="str">
        <f>C104&amp;IF(ISBLANK(S104),"","=")&amp;S104</f>
        <v>GearRatio_M4=30</v>
      </c>
      <c r="U104" s="39">
        <v>12</v>
      </c>
      <c r="V104" s="42" t="str">
        <f>C104&amp;IF(ISBLANK(U104),"","=")&amp;U104</f>
        <v>GearRatio_M4=12</v>
      </c>
    </row>
    <row r="105" spans="1:22" x14ac:dyDescent="0.25">
      <c r="A105">
        <v>132</v>
      </c>
      <c r="B105" t="s">
        <v>236</v>
      </c>
      <c r="C105" s="39" t="s">
        <v>446</v>
      </c>
      <c r="D105" s="39">
        <v>39.450000000000003</v>
      </c>
      <c r="E105" s="51">
        <v>388</v>
      </c>
      <c r="F105" s="51">
        <v>395</v>
      </c>
      <c r="G105" s="26"/>
      <c r="H105" s="49" t="str">
        <f>DEC2HEX(I105)</f>
        <v>7E</v>
      </c>
      <c r="I105" s="27">
        <v>126</v>
      </c>
      <c r="J105" s="27" t="str">
        <f>CHAR(I105)</f>
        <v>~</v>
      </c>
      <c r="K105"/>
      <c r="L105">
        <f>IF(ISBLANK(D105),IF(E105&gt;0,F105-E105+1,0),0)</f>
        <v>0</v>
      </c>
      <c r="M105" s="45">
        <f>IF(ISBLANK(D105),0,IF(G105=0,F105-E105+1,0))</f>
        <v>8</v>
      </c>
      <c r="Q105" s="42" t="str">
        <f>C105&amp;IF(ISBLANK(D105),"","=")&amp;D105</f>
        <v>TargetDistance_Spindle=39.45</v>
      </c>
      <c r="S105" s="39">
        <v>360</v>
      </c>
      <c r="T105" s="42" t="str">
        <f>C105&amp;IF(ISBLANK(S105),"","=")&amp;S105</f>
        <v>TargetDistance_Spindle=360</v>
      </c>
      <c r="U105" s="39">
        <v>11</v>
      </c>
      <c r="V105" s="42" t="str">
        <f>C105&amp;IF(ISBLANK(U105),"","=")&amp;U105</f>
        <v>TargetDistance_Spindle=11</v>
      </c>
    </row>
    <row r="106" spans="1:22" x14ac:dyDescent="0.25">
      <c r="A106">
        <v>222</v>
      </c>
      <c r="B106" t="s">
        <v>42</v>
      </c>
      <c r="C106" s="39" t="s">
        <v>398</v>
      </c>
      <c r="D106" s="39">
        <v>3.1</v>
      </c>
      <c r="E106" s="27">
        <v>396</v>
      </c>
      <c r="F106" s="27">
        <v>403</v>
      </c>
      <c r="G106" s="27"/>
      <c r="H106" s="49" t="str">
        <f>DEC2HEX(I106)</f>
        <v>B5</v>
      </c>
      <c r="I106" s="27">
        <v>181</v>
      </c>
      <c r="J106" s="27" t="str">
        <f>CHAR(I106)</f>
        <v>µ</v>
      </c>
      <c r="K106" s="109"/>
      <c r="L106">
        <f>IF(ISBLANK(D106),IF(E106&gt;0,F106-E106+1,0),0)</f>
        <v>0</v>
      </c>
      <c r="M106" s="45">
        <f>IF(ISBLANK(D106),0,IF(G106=0,F106-E106+1,0))</f>
        <v>8</v>
      </c>
      <c r="Q106" s="42" t="str">
        <f>C106&amp;IF(ISBLANK(D106),"","=")&amp;D106</f>
        <v>Distance_Z2=3.1</v>
      </c>
      <c r="S106" s="39">
        <v>0.1</v>
      </c>
      <c r="T106" s="42" t="str">
        <f>C106&amp;IF(ISBLANK(S106),"","=")&amp;S106</f>
        <v>Distance_Z2=0.1</v>
      </c>
      <c r="U106" s="39">
        <v>11</v>
      </c>
      <c r="V106" s="42" t="str">
        <f>C106&amp;IF(ISBLANK(U106),"","=")&amp;U106</f>
        <v>Distance_Z2=11</v>
      </c>
    </row>
    <row r="107" spans="1:22" x14ac:dyDescent="0.25">
      <c r="A107">
        <v>49</v>
      </c>
      <c r="B107" t="s">
        <v>235</v>
      </c>
      <c r="C107" s="109" t="s">
        <v>337</v>
      </c>
      <c r="D107" s="39">
        <v>200</v>
      </c>
      <c r="E107" s="26">
        <v>404</v>
      </c>
      <c r="F107" s="26">
        <v>407</v>
      </c>
      <c r="G107" s="26"/>
      <c r="H107" s="49" t="str">
        <f>DEC2HEX(I107)</f>
        <v>A7</v>
      </c>
      <c r="I107" s="27">
        <v>167</v>
      </c>
      <c r="J107" s="27" t="str">
        <f>CHAR(I107)</f>
        <v>§</v>
      </c>
      <c r="L107">
        <f>IF(ISBLANK(D107),IF(E107&gt;0,F107-E107+1,0),0)</f>
        <v>0</v>
      </c>
      <c r="M107" s="45">
        <f>IF(ISBLANK(D107),0,IF(G107=0,F107-E107+1,0))</f>
        <v>4</v>
      </c>
      <c r="Q107" s="42" t="str">
        <f>C107&amp;IF(ISBLANK(D107),"","=")&amp;D107</f>
        <v>StepsPer360_M4=200</v>
      </c>
      <c r="S107" s="39">
        <v>200</v>
      </c>
      <c r="T107" s="42" t="str">
        <f>C107&amp;IF(ISBLANK(S107),"","=")&amp;S107</f>
        <v>StepsPer360_M4=200</v>
      </c>
      <c r="U107" s="39">
        <v>300</v>
      </c>
      <c r="V107" s="42" t="str">
        <f>C107&amp;IF(ISBLANK(U107),"","=")&amp;U107</f>
        <v>StepsPer360_M4=300</v>
      </c>
    </row>
    <row r="108" spans="1:22" x14ac:dyDescent="0.25">
      <c r="A108">
        <v>43</v>
      </c>
      <c r="B108" t="s">
        <v>234</v>
      </c>
      <c r="C108" s="39" t="s">
        <v>334</v>
      </c>
      <c r="D108" s="39">
        <v>1.0235399999999999</v>
      </c>
      <c r="E108" s="26">
        <v>408</v>
      </c>
      <c r="F108" s="26">
        <v>415</v>
      </c>
      <c r="G108" s="26"/>
      <c r="H108" s="52" t="str">
        <f>DEC2HEX(I108)</f>
        <v>74</v>
      </c>
      <c r="I108" s="53">
        <v>116</v>
      </c>
      <c r="J108" s="53" t="str">
        <f>CHAR(I108)</f>
        <v>t</v>
      </c>
      <c r="L108">
        <f>IF(ISBLANK(D108),IF(E108&gt;0,F108-E108+1,0),0)</f>
        <v>0</v>
      </c>
      <c r="M108" s="45">
        <f>IF(ISBLANK(D108),0,IF(G108=0,F108-E108+1,0))</f>
        <v>8</v>
      </c>
      <c r="Q108" s="42" t="str">
        <f>C108&amp;IF(ISBLANK(D108),"","=")&amp;D108</f>
        <v>DistancePer360_M3=1.02354</v>
      </c>
      <c r="S108" s="39">
        <v>0.01</v>
      </c>
      <c r="T108" s="42" t="str">
        <f>C108&amp;IF(ISBLANK(S108),"","=")&amp;S108</f>
        <v>DistancePer360_M3=0.01</v>
      </c>
      <c r="U108" s="39">
        <v>12</v>
      </c>
      <c r="V108" s="42" t="str">
        <f>C108&amp;IF(ISBLANK(U108),"","=")&amp;U108</f>
        <v>DistancePer360_M3=12</v>
      </c>
    </row>
    <row r="109" spans="1:22" x14ac:dyDescent="0.25">
      <c r="A109">
        <v>73</v>
      </c>
      <c r="B109" t="s">
        <v>183</v>
      </c>
      <c r="C109" s="39" t="s">
        <v>352</v>
      </c>
      <c r="D109" s="39">
        <v>1</v>
      </c>
      <c r="E109" s="26">
        <v>416</v>
      </c>
      <c r="F109" s="26">
        <v>419</v>
      </c>
      <c r="G109" s="26">
        <v>8</v>
      </c>
      <c r="H109" s="49" t="str">
        <f>DEC2HEX(I109)</f>
        <v>A1</v>
      </c>
      <c r="I109" s="27">
        <v>161</v>
      </c>
      <c r="J109" s="27" t="str">
        <f>CHAR(I109)</f>
        <v>¡</v>
      </c>
      <c r="K109" s="39" t="s">
        <v>588</v>
      </c>
      <c r="L109">
        <f>IF(ISBLANK(D109),IF(E109&gt;0,F109-E109+1,0),0)</f>
        <v>0</v>
      </c>
      <c r="M109" s="45">
        <f>IF(ISBLANK(D109),0,IF(G109=0,F109-E109+1,0))</f>
        <v>0</v>
      </c>
      <c r="Q109" s="42" t="str">
        <f>C109&amp;IF(ISBLANK(D109),"","=")&amp;D109</f>
        <v>NC-NO=1</v>
      </c>
      <c r="S109" s="39">
        <v>1</v>
      </c>
      <c r="T109" s="42" t="str">
        <f>C109&amp;IF(ISBLANK(S109),"","=")&amp;S109</f>
        <v>NC-NO=1</v>
      </c>
      <c r="U109" s="39">
        <v>0</v>
      </c>
      <c r="V109" s="42" t="str">
        <f>C109&amp;IF(ISBLANK(U109),"","=")&amp;U109</f>
        <v>NC-NO=0</v>
      </c>
    </row>
    <row r="110" spans="1:22" x14ac:dyDescent="0.25">
      <c r="A110">
        <v>42</v>
      </c>
      <c r="B110" t="s">
        <v>234</v>
      </c>
      <c r="C110" s="39" t="s">
        <v>333</v>
      </c>
      <c r="D110" s="39">
        <v>1</v>
      </c>
      <c r="E110" s="26">
        <v>416</v>
      </c>
      <c r="F110" s="26">
        <v>419</v>
      </c>
      <c r="G110" s="26">
        <v>0</v>
      </c>
      <c r="H110" s="52" t="str">
        <f>DEC2HEX(I110)</f>
        <v>DB</v>
      </c>
      <c r="I110" s="53">
        <v>219</v>
      </c>
      <c r="J110" s="53" t="str">
        <f>CHAR(I110)</f>
        <v>Û</v>
      </c>
      <c r="K110" s="39" t="s">
        <v>589</v>
      </c>
      <c r="L110">
        <f>IF(ISBLANK(D110),IF(E110&gt;0,F110-E110+1,0),0)</f>
        <v>0</v>
      </c>
      <c r="M110" s="45">
        <f>IF(ISBLANK(D110),0,IF(G110=0,F110-E110+1,0))</f>
        <v>4</v>
      </c>
      <c r="Q110" s="42" t="str">
        <f>C110&amp;IF(ISBLANK(D110),"","=")&amp;D110</f>
        <v>Polarity_M3=1</v>
      </c>
      <c r="S110" s="39">
        <v>1</v>
      </c>
      <c r="T110" s="42" t="str">
        <f>C110&amp;IF(ISBLANK(S110),"","=")&amp;S110</f>
        <v>Polarity_M3=1</v>
      </c>
      <c r="U110" s="39">
        <v>0</v>
      </c>
      <c r="V110" s="42" t="str">
        <f>C110&amp;IF(ISBLANK(U110),"","=")&amp;U110</f>
        <v>Polarity_M3=0</v>
      </c>
    </row>
    <row r="111" spans="1:22" x14ac:dyDescent="0.25">
      <c r="A111">
        <v>44</v>
      </c>
      <c r="B111" t="s">
        <v>234</v>
      </c>
      <c r="C111" s="39" t="s">
        <v>457</v>
      </c>
      <c r="D111" s="39">
        <v>0</v>
      </c>
      <c r="E111" s="26">
        <v>416</v>
      </c>
      <c r="F111" s="26">
        <v>419</v>
      </c>
      <c r="G111" s="26">
        <v>16</v>
      </c>
      <c r="H111" s="52" t="str">
        <f>DEC2HEX(I111)</f>
        <v>C3</v>
      </c>
      <c r="I111" s="53">
        <v>195</v>
      </c>
      <c r="J111" s="53" t="str">
        <f>CHAR(I111)</f>
        <v>Ã</v>
      </c>
      <c r="K111" s="39" t="s">
        <v>590</v>
      </c>
      <c r="L111">
        <f>IF(ISBLANK(D111),IF(E111&gt;0,F111-E111+1,0),0)</f>
        <v>0</v>
      </c>
      <c r="M111" s="45">
        <f>IF(ISBLANK(D111),0,IF(G111=0,F111-E111+1,0))</f>
        <v>0</v>
      </c>
      <c r="Q111" s="42" t="str">
        <f>C111&amp;IF(ISBLANK(D111),"","=")&amp;D111</f>
        <v>RadialOrLineal_M3=0</v>
      </c>
      <c r="S111" s="39">
        <v>0</v>
      </c>
      <c r="T111" s="42" t="str">
        <f>C111&amp;IF(ISBLANK(S111),"","=")&amp;S111</f>
        <v>RadialOrLineal_M3=0</v>
      </c>
      <c r="U111" s="39">
        <v>1</v>
      </c>
      <c r="V111" s="42" t="str">
        <f>C111&amp;IF(ISBLANK(U111),"","=")&amp;U111</f>
        <v>RadialOrLineal_M3=1</v>
      </c>
    </row>
    <row r="112" spans="1:22" x14ac:dyDescent="0.25">
      <c r="A112">
        <v>11</v>
      </c>
      <c r="B112" t="s">
        <v>185</v>
      </c>
      <c r="C112" s="39" t="s">
        <v>312</v>
      </c>
      <c r="D112" s="39">
        <v>0</v>
      </c>
      <c r="E112" s="26">
        <v>416</v>
      </c>
      <c r="F112" s="26">
        <v>419</v>
      </c>
      <c r="G112" s="26">
        <v>24</v>
      </c>
      <c r="H112" s="49" t="str">
        <f>DEC2HEX(I112)</f>
        <v>50</v>
      </c>
      <c r="I112" s="27">
        <v>80</v>
      </c>
      <c r="J112" s="27" t="str">
        <f>CHAR(I112)</f>
        <v>P</v>
      </c>
      <c r="K112" s="39" t="s">
        <v>591</v>
      </c>
      <c r="L112">
        <f>IF(ISBLANK(D112),IF(E112&gt;0,F112-E112+1,0),0)</f>
        <v>0</v>
      </c>
      <c r="M112" s="45">
        <f>IF(ISBLANK(D112),0,IF(G112=0,F112-E112+1,0))</f>
        <v>0</v>
      </c>
      <c r="Q112" s="42" t="str">
        <f>C112&amp;IF(ISBLANK(D112),"","=")&amp;D112</f>
        <v>KeepSteppersEnabled=0</v>
      </c>
      <c r="S112" s="39">
        <v>0</v>
      </c>
      <c r="T112" s="42" t="str">
        <f>C112&amp;IF(ISBLANK(S112),"","=")&amp;S112</f>
        <v>KeepSteppersEnabled=0</v>
      </c>
      <c r="U112" s="39">
        <v>1</v>
      </c>
      <c r="V112" s="42" t="str">
        <f>C112&amp;IF(ISBLANK(U112),"","=")&amp;U112</f>
        <v>KeepSteppersEnabled=1</v>
      </c>
    </row>
    <row r="113" spans="1:25" x14ac:dyDescent="0.25">
      <c r="A113">
        <v>237</v>
      </c>
      <c r="B113" t="s">
        <v>42</v>
      </c>
      <c r="C113" s="39" t="s">
        <v>380</v>
      </c>
      <c r="D113" s="39">
        <v>5089</v>
      </c>
      <c r="E113" s="26">
        <v>420</v>
      </c>
      <c r="F113" s="26">
        <v>423</v>
      </c>
      <c r="G113" s="26"/>
      <c r="H113" s="49" t="str">
        <f>DEC2HEX(I113)</f>
        <v>BA</v>
      </c>
      <c r="I113" s="27">
        <v>186</v>
      </c>
      <c r="J113" s="27" t="str">
        <f>CHAR(I113)</f>
        <v>º</v>
      </c>
      <c r="L113">
        <f>IF(ISBLANK(D113),IF(E113&gt;0,F113-E113+1,0),0)</f>
        <v>0</v>
      </c>
      <c r="M113" s="45">
        <f>IF(ISBLANK(D113),0,IF(G113=0,F113-E113+1,0))</f>
        <v>4</v>
      </c>
      <c r="Q113" s="42" t="str">
        <f>C113&amp;IF(ISBLANK(D113),"","=")&amp;D113</f>
        <v>Accel_M4=5089</v>
      </c>
      <c r="S113" s="39">
        <v>20000</v>
      </c>
      <c r="T113" s="42" t="str">
        <f>C113&amp;IF(ISBLANK(S113),"","=")&amp;S113</f>
        <v>Accel_M4=20000</v>
      </c>
      <c r="U113" s="39">
        <v>1000</v>
      </c>
      <c r="V113" s="42" t="str">
        <f>C113&amp;IF(ISBLANK(U113),"","=")&amp;U113</f>
        <v>Accel_M4=1000</v>
      </c>
    </row>
    <row r="114" spans="1:25" x14ac:dyDescent="0.25">
      <c r="A114">
        <v>64</v>
      </c>
      <c r="B114" t="s">
        <v>183</v>
      </c>
      <c r="C114" s="109" t="s">
        <v>345</v>
      </c>
      <c r="D114" s="109">
        <v>26</v>
      </c>
      <c r="E114" s="26">
        <v>424</v>
      </c>
      <c r="F114" s="26">
        <v>427</v>
      </c>
      <c r="G114" s="26">
        <v>24</v>
      </c>
      <c r="H114" s="110" t="str">
        <f>DEC2HEX(I114)</f>
        <v>DF</v>
      </c>
      <c r="I114" s="27">
        <v>223</v>
      </c>
      <c r="J114" s="27" t="str">
        <f>CHAR(I114)</f>
        <v>ß</v>
      </c>
      <c r="L114">
        <f>IF(ISBLANK(D114),IF(E114&gt;0,F114-E114+1,0),0)</f>
        <v>0</v>
      </c>
      <c r="M114" s="45">
        <f>IF(ISBLANK(D114),0,IF(G114=0,F114-E114+1,0))</f>
        <v>0</v>
      </c>
      <c r="Q114" s="42" t="str">
        <f>C114&amp;IF(ISBLANK(D114),"","=")&amp;D114</f>
        <v>Max_X=26</v>
      </c>
      <c r="S114" s="39">
        <v>26</v>
      </c>
      <c r="T114" s="42" t="str">
        <f>C114&amp;IF(ISBLANK(S114),"","=")&amp;S114</f>
        <v>Max_X=26</v>
      </c>
      <c r="U114" s="109">
        <v>31</v>
      </c>
      <c r="V114" s="42" t="str">
        <f>C114&amp;IF(ISBLANK(U114),"","=")&amp;U114</f>
        <v>Max_X=31</v>
      </c>
    </row>
    <row r="115" spans="1:25" x14ac:dyDescent="0.25">
      <c r="A115">
        <v>62</v>
      </c>
      <c r="B115" t="s">
        <v>183</v>
      </c>
      <c r="C115" s="39" t="s">
        <v>343</v>
      </c>
      <c r="D115" s="39">
        <v>26</v>
      </c>
      <c r="E115" s="26">
        <v>424</v>
      </c>
      <c r="F115" s="26">
        <v>427</v>
      </c>
      <c r="G115" s="26">
        <v>0</v>
      </c>
      <c r="H115" s="110" t="str">
        <f>DEC2HEX(I115)</f>
        <v>DD</v>
      </c>
      <c r="I115" s="27">
        <v>221</v>
      </c>
      <c r="J115" s="27" t="str">
        <f>CHAR(I115)</f>
        <v>Ý</v>
      </c>
      <c r="L115">
        <f>IF(ISBLANK(D115),IF(E115&gt;0,F115-E115+1,0),0)</f>
        <v>0</v>
      </c>
      <c r="M115" s="45">
        <f>IF(ISBLANK(D115),0,IF(G115=0,F115-E115+1,0))</f>
        <v>4</v>
      </c>
      <c r="Q115" s="42" t="str">
        <f>C115&amp;IF(ISBLANK(D115),"","=")&amp;D115</f>
        <v>Max_Z=26</v>
      </c>
      <c r="S115" s="39">
        <v>26</v>
      </c>
      <c r="T115" s="42" t="str">
        <f>C115&amp;IF(ISBLANK(S115),"","=")&amp;S115</f>
        <v>Max_Z=26</v>
      </c>
      <c r="U115" s="39">
        <v>31</v>
      </c>
      <c r="V115" s="42" t="str">
        <f>C115&amp;IF(ISBLANK(U115),"","=")&amp;U115</f>
        <v>Max_Z=31</v>
      </c>
    </row>
    <row r="116" spans="1:25" x14ac:dyDescent="0.25">
      <c r="A116">
        <v>63</v>
      </c>
      <c r="B116" t="s">
        <v>183</v>
      </c>
      <c r="C116" s="39" t="s">
        <v>344</v>
      </c>
      <c r="D116" s="39">
        <v>24</v>
      </c>
      <c r="E116" s="26">
        <v>424</v>
      </c>
      <c r="F116" s="26">
        <v>427</v>
      </c>
      <c r="G116" s="26">
        <v>16</v>
      </c>
      <c r="H116" s="49" t="str">
        <f>DEC2HEX(I116)</f>
        <v>DE</v>
      </c>
      <c r="I116" s="27">
        <v>222</v>
      </c>
      <c r="J116" s="27" t="str">
        <f>CHAR(I116)</f>
        <v>Þ</v>
      </c>
      <c r="L116">
        <f>IF(ISBLANK(D116),IF(E116&gt;0,F116-E116+1,0),0)</f>
        <v>0</v>
      </c>
      <c r="M116" s="45">
        <f>IF(ISBLANK(D116),0,IF(G116=0,F116-E116+1,0))</f>
        <v>0</v>
      </c>
      <c r="Q116" s="42" t="str">
        <f>C116&amp;IF(ISBLANK(D116),"","=")&amp;D116</f>
        <v>Min_X=24</v>
      </c>
      <c r="S116" s="39">
        <v>24</v>
      </c>
      <c r="T116" s="42" t="str">
        <f>C116&amp;IF(ISBLANK(S116),"","=")&amp;S116</f>
        <v>Min_X=24</v>
      </c>
      <c r="U116" s="39">
        <v>31</v>
      </c>
      <c r="V116" s="42" t="str">
        <f>C116&amp;IF(ISBLANK(U116),"","=")&amp;U116</f>
        <v>Min_X=31</v>
      </c>
    </row>
    <row r="117" spans="1:25" x14ac:dyDescent="0.25">
      <c r="A117">
        <v>61</v>
      </c>
      <c r="B117" t="s">
        <v>183</v>
      </c>
      <c r="C117" s="39" t="s">
        <v>342</v>
      </c>
      <c r="D117" s="39">
        <v>24</v>
      </c>
      <c r="E117" s="26">
        <v>424</v>
      </c>
      <c r="F117" s="26">
        <v>427</v>
      </c>
      <c r="G117" s="26">
        <v>8</v>
      </c>
      <c r="H117" s="49" t="str">
        <f>DEC2HEX(I117)</f>
        <v>DC</v>
      </c>
      <c r="I117" s="27">
        <v>220</v>
      </c>
      <c r="J117" s="27" t="str">
        <f>CHAR(I117)</f>
        <v>Ü</v>
      </c>
      <c r="L117">
        <f>IF(ISBLANK(D117),IF(E117&gt;0,F117-E117+1,0),0)</f>
        <v>0</v>
      </c>
      <c r="M117" s="45">
        <f>IF(ISBLANK(D117),0,IF(G117=0,F117-E117+1,0))</f>
        <v>0</v>
      </c>
      <c r="Q117" s="42" t="str">
        <f>C117&amp;IF(ISBLANK(D117),"","=")&amp;D117</f>
        <v>Min_Z=24</v>
      </c>
      <c r="S117" s="39">
        <v>24</v>
      </c>
      <c r="T117" s="42" t="str">
        <f>C117&amp;IF(ISBLANK(S117),"","=")&amp;S117</f>
        <v>Min_Z=24</v>
      </c>
      <c r="U117" s="39">
        <v>31</v>
      </c>
      <c r="V117" s="42" t="str">
        <f>C117&amp;IF(ISBLANK(U117),"","=")&amp;U117</f>
        <v>Min_Z=31</v>
      </c>
    </row>
    <row r="118" spans="1:25" s="29" customFormat="1" x14ac:dyDescent="0.25">
      <c r="A118">
        <v>203</v>
      </c>
      <c r="B118" t="s">
        <v>0</v>
      </c>
      <c r="C118" s="99" t="s">
        <v>391</v>
      </c>
      <c r="D118" s="99">
        <v>0</v>
      </c>
      <c r="E118" s="100">
        <v>428</v>
      </c>
      <c r="F118" s="27">
        <v>431</v>
      </c>
      <c r="G118" s="26"/>
      <c r="H118" s="49" t="str">
        <f>DEC2HEX(I118)</f>
        <v>45</v>
      </c>
      <c r="I118" s="27">
        <v>69</v>
      </c>
      <c r="J118" s="27" t="str">
        <f>CHAR(I118)</f>
        <v>E</v>
      </c>
      <c r="K118" s="39"/>
      <c r="L118">
        <f>IF(ISBLANK(D118),IF(E118&gt;0,F118-E118+1,0),0)</f>
        <v>0</v>
      </c>
      <c r="M118" s="45">
        <f>IF(ISBLANK(D118),0,IF(G118=0,F118-E118+1,0))</f>
        <v>4</v>
      </c>
      <c r="N118" s="54"/>
      <c r="O118" s="54"/>
      <c r="P118" s="54"/>
      <c r="Q118" s="42" t="str">
        <f>C118&amp;IF(ISBLANK(D118),"","=")&amp;D118</f>
        <v>DivisionsOrDegrees_4=0</v>
      </c>
      <c r="R118"/>
      <c r="S118" s="39">
        <v>0</v>
      </c>
      <c r="T118" s="42" t="str">
        <f>C118&amp;IF(ISBLANK(S118),"","=")&amp;S118</f>
        <v>DivisionsOrDegrees_4=0</v>
      </c>
      <c r="U118" s="39">
        <v>1</v>
      </c>
      <c r="V118" s="42" t="str">
        <f>C118&amp;IF(ISBLANK(U118),"","=")&amp;U118</f>
        <v>DivisionsOrDegrees_4=1</v>
      </c>
      <c r="W118"/>
      <c r="X118"/>
      <c r="Y118"/>
    </row>
    <row r="119" spans="1:25" x14ac:dyDescent="0.25">
      <c r="A119">
        <v>137</v>
      </c>
      <c r="B119" t="s">
        <v>236</v>
      </c>
      <c r="C119" s="39" t="s">
        <v>365</v>
      </c>
      <c r="D119" s="39">
        <v>5063</v>
      </c>
      <c r="E119" s="27">
        <v>432</v>
      </c>
      <c r="F119" s="27">
        <v>435</v>
      </c>
      <c r="G119" s="27"/>
      <c r="H119" s="49" t="str">
        <f>DEC2HEX(I119)</f>
        <v>BA</v>
      </c>
      <c r="I119" s="27">
        <v>186</v>
      </c>
      <c r="J119" s="27" t="str">
        <f>CHAR(I119)</f>
        <v>º</v>
      </c>
      <c r="L119">
        <f>IF(ISBLANK(D119),IF(E119&gt;0,F119-E119+1,0),0)</f>
        <v>0</v>
      </c>
      <c r="M119" s="45">
        <f>IF(ISBLANK(D119),0,IF(G119=0,F119-E119+1,0))</f>
        <v>4</v>
      </c>
      <c r="Q119" s="42" t="str">
        <f>C119&amp;IF(ISBLANK(D119),"","=")&amp;D119</f>
        <v>Accel_Z=5063</v>
      </c>
      <c r="S119" s="39">
        <v>20000</v>
      </c>
      <c r="T119" s="42" t="str">
        <f>C119&amp;IF(ISBLANK(S119),"","=")&amp;S119</f>
        <v>Accel_Z=20000</v>
      </c>
      <c r="U119" s="39">
        <v>1000</v>
      </c>
      <c r="V119" s="42" t="str">
        <f>C119&amp;IF(ISBLANK(U119),"","=")&amp;U119</f>
        <v>Accel_Z=1000</v>
      </c>
    </row>
    <row r="120" spans="1:25" x14ac:dyDescent="0.25">
      <c r="A120">
        <v>294</v>
      </c>
      <c r="B120" t="s">
        <v>36</v>
      </c>
      <c r="C120" s="39" t="s">
        <v>416</v>
      </c>
      <c r="D120" s="39">
        <v>4</v>
      </c>
      <c r="E120" s="26">
        <v>436</v>
      </c>
      <c r="F120" s="26">
        <v>439</v>
      </c>
      <c r="G120" s="26">
        <v>8</v>
      </c>
      <c r="H120" s="49" t="str">
        <f>DEC2HEX(I120)</f>
        <v>B6</v>
      </c>
      <c r="I120" s="27">
        <v>182</v>
      </c>
      <c r="J120" s="27" t="str">
        <f>CHAR(I120)</f>
        <v>¶</v>
      </c>
      <c r="L120">
        <f>IF(ISBLANK(D120),IF(E120&gt;0,F120-E120+1,0),0)</f>
        <v>0</v>
      </c>
      <c r="M120" s="45">
        <f>IF(ISBLANK(D120),0,IF(G120=0,F120-E120+1,0))</f>
        <v>0</v>
      </c>
      <c r="Q120" s="42" t="str">
        <f>C120&amp;IF(ISBLANK(D120),"","=")&amp;D120</f>
        <v>PatternType=4</v>
      </c>
      <c r="S120" s="39">
        <v>4</v>
      </c>
      <c r="T120" s="42" t="str">
        <f>C120&amp;IF(ISBLANK(S120),"","=")&amp;S120</f>
        <v>PatternType=4</v>
      </c>
      <c r="U120" s="39">
        <v>3</v>
      </c>
      <c r="V120" s="42" t="str">
        <f>C120&amp;IF(ISBLANK(U120),"","=")&amp;U120</f>
        <v>PatternType=3</v>
      </c>
    </row>
    <row r="121" spans="1:25" x14ac:dyDescent="0.25">
      <c r="A121">
        <v>216</v>
      </c>
      <c r="B121" t="s">
        <v>42</v>
      </c>
      <c r="C121" s="39" t="s">
        <v>260</v>
      </c>
      <c r="D121" s="39">
        <v>1</v>
      </c>
      <c r="E121" s="26">
        <v>436</v>
      </c>
      <c r="F121" s="26">
        <v>439</v>
      </c>
      <c r="G121" s="26">
        <v>24</v>
      </c>
      <c r="H121" s="49" t="str">
        <f>DEC2HEX(I121)</f>
        <v>42</v>
      </c>
      <c r="I121" s="27">
        <v>66</v>
      </c>
      <c r="J121" s="27" t="str">
        <f>CHAR(I121)</f>
        <v>B</v>
      </c>
      <c r="L121">
        <f>IF(ISBLANK(D121),IF(E121&gt;0,F121-E121+1,0),0)</f>
        <v>0</v>
      </c>
      <c r="M121" s="45">
        <f>IF(ISBLANK(D121),0,IF(G121=0,F121-E121+1,0))</f>
        <v>0</v>
      </c>
      <c r="Q121" s="42" t="str">
        <f>C121&amp;IF(ISBLANK(D121),"","=")&amp;D121</f>
        <v>AxisId=1</v>
      </c>
      <c r="S121" s="39">
        <v>1</v>
      </c>
      <c r="T121" s="42" t="str">
        <f>C121&amp;IF(ISBLANK(S121),"","=")&amp;S121</f>
        <v>AxisId=1</v>
      </c>
      <c r="U121" s="39">
        <v>3</v>
      </c>
      <c r="V121" s="42" t="str">
        <f>C121&amp;IF(ISBLANK(U121),"","=")&amp;U121</f>
        <v>AxisId=3</v>
      </c>
    </row>
    <row r="122" spans="1:25" s="84" customFormat="1" x14ac:dyDescent="0.25">
      <c r="A122">
        <v>305</v>
      </c>
      <c r="B122" t="s">
        <v>274</v>
      </c>
      <c r="C122" s="39" t="s">
        <v>420</v>
      </c>
      <c r="D122" s="39">
        <v>2</v>
      </c>
      <c r="E122" s="26">
        <v>436</v>
      </c>
      <c r="F122" s="26">
        <v>439</v>
      </c>
      <c r="G122" s="26">
        <v>0</v>
      </c>
      <c r="H122" s="49" t="str">
        <f>DEC2HEX(I122)</f>
        <v>4C</v>
      </c>
      <c r="I122" s="27">
        <v>76</v>
      </c>
      <c r="J122" s="27" t="str">
        <f>CHAR(I122)</f>
        <v>L</v>
      </c>
      <c r="K122" s="39"/>
      <c r="L122">
        <f>IF(ISBLANK(D122),IF(E122&gt;0,F122-E122+1,0),0)</f>
        <v>0</v>
      </c>
      <c r="M122" s="45">
        <f>IF(ISBLANK(D122),0,IF(G122=0,F122-E122+1,0))</f>
        <v>4</v>
      </c>
      <c r="N122" s="54"/>
      <c r="O122" s="54"/>
      <c r="P122" s="54"/>
      <c r="Q122" s="42" t="str">
        <f>C122&amp;IF(ISBLANK(D122),"","=")&amp;D122</f>
        <v>SegmentsOrActual=2</v>
      </c>
      <c r="R122"/>
      <c r="S122" s="39">
        <v>2</v>
      </c>
      <c r="T122" s="42" t="str">
        <f>C122&amp;IF(ISBLANK(S122),"","=")&amp;S122</f>
        <v>SegmentsOrActual=2</v>
      </c>
      <c r="U122" s="39">
        <v>3</v>
      </c>
      <c r="V122" s="42" t="str">
        <f>C122&amp;IF(ISBLANK(U122),"","=")&amp;U122</f>
        <v>SegmentsOrActual=3</v>
      </c>
      <c r="W122"/>
      <c r="X122"/>
      <c r="Y122"/>
    </row>
    <row r="123" spans="1:25" x14ac:dyDescent="0.25">
      <c r="A123">
        <v>281</v>
      </c>
      <c r="B123" t="s">
        <v>439</v>
      </c>
      <c r="C123" s="39" t="s">
        <v>408</v>
      </c>
      <c r="D123" s="39">
        <v>1</v>
      </c>
      <c r="E123" s="26">
        <v>436</v>
      </c>
      <c r="F123" s="26">
        <v>439</v>
      </c>
      <c r="G123" s="26">
        <v>16</v>
      </c>
      <c r="H123" s="49" t="str">
        <f>DEC2HEX(I123)</f>
        <v>44</v>
      </c>
      <c r="I123" s="27">
        <v>68</v>
      </c>
      <c r="J123" s="27" t="str">
        <f>CHAR(I123)</f>
        <v>D</v>
      </c>
      <c r="L123">
        <f>IF(ISBLANK(D123),IF(E123&gt;0,F123-E123+1,0),0)</f>
        <v>0</v>
      </c>
      <c r="M123" s="45">
        <f>IF(ISBLANK(D123),0,IF(G123=0,F123-E123+1,0))</f>
        <v>0</v>
      </c>
      <c r="Q123" s="42" t="str">
        <f>C123&amp;IF(ISBLANK(D123),"","=")&amp;D123</f>
        <v>Style=1</v>
      </c>
      <c r="S123" s="39">
        <v>1</v>
      </c>
      <c r="T123" s="42" t="str">
        <f>C123&amp;IF(ISBLANK(S123),"","=")&amp;S123</f>
        <v>Style=1</v>
      </c>
      <c r="U123" s="39">
        <v>2</v>
      </c>
      <c r="V123" s="42" t="str">
        <f>C123&amp;IF(ISBLANK(U123),"","=")&amp;U123</f>
        <v>Style=2</v>
      </c>
    </row>
    <row r="124" spans="1:25" x14ac:dyDescent="0.25">
      <c r="A124">
        <v>207</v>
      </c>
      <c r="B124" t="s">
        <v>0</v>
      </c>
      <c r="C124" s="99" t="s">
        <v>394</v>
      </c>
      <c r="D124" s="99">
        <v>0</v>
      </c>
      <c r="E124" s="100">
        <v>440</v>
      </c>
      <c r="F124" s="26">
        <v>443</v>
      </c>
      <c r="G124" s="26"/>
      <c r="H124" s="49" t="str">
        <f>DEC2HEX(I124)</f>
        <v>45</v>
      </c>
      <c r="I124" s="27">
        <v>69</v>
      </c>
      <c r="J124" s="27" t="str">
        <f>CHAR(I124)</f>
        <v>E</v>
      </c>
      <c r="L124">
        <f>IF(ISBLANK(D124),IF(E124&gt;0,F124-E124+1,0),0)</f>
        <v>0</v>
      </c>
      <c r="M124" s="45">
        <f>IF(ISBLANK(D124),0,IF(G124=0,F124-E124+1,0))</f>
        <v>4</v>
      </c>
      <c r="Q124" s="42" t="str">
        <f>C124&amp;IF(ISBLANK(D124),"","=")&amp;D124</f>
        <v>DivisionsOrDegrees_5=0</v>
      </c>
      <c r="S124" s="39">
        <v>0</v>
      </c>
      <c r="T124" s="42" t="str">
        <f>C124&amp;IF(ISBLANK(S124),"","=")&amp;S124</f>
        <v>DivisionsOrDegrees_5=0</v>
      </c>
      <c r="U124" s="39">
        <v>1</v>
      </c>
      <c r="V124" s="42" t="str">
        <f>C124&amp;IF(ISBLANK(U124),"","=")&amp;U124</f>
        <v>DivisionsOrDegrees_5=1</v>
      </c>
    </row>
    <row r="125" spans="1:25" x14ac:dyDescent="0.25">
      <c r="A125">
        <v>345</v>
      </c>
      <c r="B125" s="34" t="s">
        <v>42</v>
      </c>
      <c r="C125" s="44" t="s">
        <v>188</v>
      </c>
      <c r="D125" s="44" t="s">
        <v>451</v>
      </c>
      <c r="E125" s="35">
        <v>444</v>
      </c>
      <c r="F125" s="34">
        <v>451</v>
      </c>
      <c r="G125" s="35"/>
      <c r="H125" s="82"/>
      <c r="I125" s="35"/>
      <c r="J125" s="35"/>
      <c r="L125">
        <f>IF(ISBLANK(D125),IF(E125&gt;0,F125-E125+1,0),0)</f>
        <v>0</v>
      </c>
      <c r="M125" s="45">
        <f>IF(ISBLANK(D125),0,IF(G125=0,F125-E125+1,0))</f>
        <v>8</v>
      </c>
      <c r="S125" s="44" t="s">
        <v>451</v>
      </c>
      <c r="U125" s="44" t="s">
        <v>451</v>
      </c>
    </row>
    <row r="126" spans="1:25" x14ac:dyDescent="0.25">
      <c r="A126">
        <v>337</v>
      </c>
      <c r="B126" t="s">
        <v>233</v>
      </c>
      <c r="C126" s="39" t="s">
        <v>379</v>
      </c>
      <c r="D126" s="39">
        <v>1100</v>
      </c>
      <c r="E126" s="26">
        <v>452</v>
      </c>
      <c r="F126" s="26">
        <v>455</v>
      </c>
      <c r="G126" s="26"/>
      <c r="H126" s="49" t="str">
        <f>DEC2HEX(I126)</f>
        <v>B9</v>
      </c>
      <c r="I126" s="27">
        <v>185</v>
      </c>
      <c r="J126" s="27" t="str">
        <f>CHAR(I126)</f>
        <v>¹</v>
      </c>
      <c r="L126">
        <f>IF(ISBLANK(D126),IF(E126&gt;0,F126-E126+1,0),0)</f>
        <v>0</v>
      </c>
      <c r="M126" s="45">
        <f>IF(ISBLANK(D126),0,IF(G126=0,F126-E126+1,0))</f>
        <v>4</v>
      </c>
      <c r="Q126" s="42" t="str">
        <f>C126&amp;IF(ISBLANK(D126),"","=")&amp;D126</f>
        <v>MaxSpeed_M4=1100</v>
      </c>
      <c r="S126" s="39">
        <v>5000</v>
      </c>
      <c r="T126" s="42" t="str">
        <f>C126&amp;IF(ISBLANK(S126),"","=")&amp;S126</f>
        <v>MaxSpeed_M4=5000</v>
      </c>
      <c r="U126" s="39">
        <v>11</v>
      </c>
      <c r="V126" s="42" t="str">
        <f>C126&amp;IF(ISBLANK(U126),"","=")&amp;U126</f>
        <v>MaxSpeed_M4=11</v>
      </c>
    </row>
    <row r="127" spans="1:25" x14ac:dyDescent="0.25">
      <c r="A127">
        <v>144</v>
      </c>
      <c r="B127" t="s">
        <v>236</v>
      </c>
      <c r="C127" s="39" t="s">
        <v>368</v>
      </c>
      <c r="D127" s="39">
        <v>5066</v>
      </c>
      <c r="E127" s="26">
        <v>456</v>
      </c>
      <c r="F127" s="26">
        <v>459</v>
      </c>
      <c r="G127" s="26"/>
      <c r="H127" s="49" t="str">
        <f>DEC2HEX(I127)</f>
        <v>BA</v>
      </c>
      <c r="I127" s="27">
        <v>186</v>
      </c>
      <c r="J127" s="27" t="str">
        <f>CHAR(I127)</f>
        <v>º</v>
      </c>
      <c r="L127">
        <f>IF(ISBLANK(D127),IF(E127&gt;0,F127-E127+1,0),0)</f>
        <v>0</v>
      </c>
      <c r="M127" s="45">
        <f>IF(ISBLANK(D127),0,IF(G127=0,F127-E127+1,0))</f>
        <v>4</v>
      </c>
      <c r="Q127" s="42" t="str">
        <f>C127&amp;IF(ISBLANK(D127),"","=")&amp;D127</f>
        <v>Accel_X=5066</v>
      </c>
      <c r="S127" s="39">
        <v>20000</v>
      </c>
      <c r="T127" s="42" t="str">
        <f>C127&amp;IF(ISBLANK(S127),"","=")&amp;S127</f>
        <v>Accel_X=20000</v>
      </c>
      <c r="U127" s="39">
        <v>1000</v>
      </c>
      <c r="V127" s="42" t="str">
        <f>C127&amp;IF(ISBLANK(U127),"","=")&amp;U127</f>
        <v>Accel_X=1000</v>
      </c>
    </row>
    <row r="128" spans="1:25" x14ac:dyDescent="0.25">
      <c r="A128">
        <v>51</v>
      </c>
      <c r="B128" t="s">
        <v>235</v>
      </c>
      <c r="C128" s="39" t="s">
        <v>339</v>
      </c>
      <c r="D128" s="39">
        <v>1</v>
      </c>
      <c r="E128" s="26">
        <v>460</v>
      </c>
      <c r="F128" s="26">
        <v>463</v>
      </c>
      <c r="G128" s="26">
        <v>24</v>
      </c>
      <c r="H128" s="49" t="str">
        <f>DEC2HEX(I128)</f>
        <v>75</v>
      </c>
      <c r="I128" s="27">
        <v>117</v>
      </c>
      <c r="J128" s="27" t="str">
        <f>CHAR(I128)</f>
        <v>u</v>
      </c>
      <c r="L128">
        <f>IF(ISBLANK(D128),IF(E128&gt;0,F128-E128+1,0),0)</f>
        <v>0</v>
      </c>
      <c r="M128" s="45">
        <f>IF(ISBLANK(D128),0,IF(G128=0,F128-E128+1,0))</f>
        <v>0</v>
      </c>
      <c r="Q128" s="42" t="str">
        <f>C128&amp;IF(ISBLANK(D128),"","=")&amp;D128</f>
        <v>Polarity_M4=1</v>
      </c>
      <c r="S128" s="39">
        <v>1</v>
      </c>
      <c r="T128" s="42" t="str">
        <f>C128&amp;IF(ISBLANK(S128),"","=")&amp;S128</f>
        <v>Polarity_M4=1</v>
      </c>
      <c r="U128" s="39">
        <v>0</v>
      </c>
      <c r="V128" s="42" t="str">
        <f>C128&amp;IF(ISBLANK(U128),"","=")&amp;U128</f>
        <v>Polarity_M4=0</v>
      </c>
    </row>
    <row r="129" spans="1:22" x14ac:dyDescent="0.25">
      <c r="A129">
        <v>53</v>
      </c>
      <c r="B129" t="s">
        <v>235</v>
      </c>
      <c r="C129" s="39" t="s">
        <v>456</v>
      </c>
      <c r="D129" s="39">
        <v>1</v>
      </c>
      <c r="E129" s="26">
        <v>460</v>
      </c>
      <c r="F129" s="26">
        <v>463</v>
      </c>
      <c r="G129" s="26">
        <v>8</v>
      </c>
      <c r="H129" s="49" t="str">
        <f>DEC2HEX(I129)</f>
        <v>A2</v>
      </c>
      <c r="I129" s="27">
        <v>162</v>
      </c>
      <c r="J129" s="27" t="str">
        <f>CHAR(I129)</f>
        <v>¢</v>
      </c>
      <c r="L129">
        <f>IF(ISBLANK(D129),IF(E129&gt;0,F129-E129+1,0),0)</f>
        <v>0</v>
      </c>
      <c r="M129" s="45">
        <f>IF(ISBLANK(D129),0,IF(G129=0,F129-E129+1,0))</f>
        <v>0</v>
      </c>
      <c r="Q129" s="42" t="str">
        <f>C129&amp;IF(ISBLANK(D129),"","=")&amp;D129</f>
        <v>RadialOrLineal_M4=1</v>
      </c>
      <c r="S129" s="39">
        <v>1</v>
      </c>
      <c r="T129" s="42" t="str">
        <f>C129&amp;IF(ISBLANK(S129),"","=")&amp;S129</f>
        <v>RadialOrLineal_M4=1</v>
      </c>
      <c r="U129" s="39">
        <v>0</v>
      </c>
      <c r="V129" s="42" t="str">
        <f>C129&amp;IF(ISBLANK(U129),"","=")&amp;U129</f>
        <v>RadialOrLineal_M4=0</v>
      </c>
    </row>
    <row r="130" spans="1:22" x14ac:dyDescent="0.25">
      <c r="A130">
        <v>17</v>
      </c>
      <c r="B130" t="s">
        <v>8</v>
      </c>
      <c r="C130" s="39" t="s">
        <v>316</v>
      </c>
      <c r="D130" s="39">
        <v>1</v>
      </c>
      <c r="E130" s="26">
        <v>460</v>
      </c>
      <c r="F130" s="26">
        <v>463</v>
      </c>
      <c r="G130" s="26">
        <v>16</v>
      </c>
      <c r="H130" s="49" t="str">
        <f>DEC2HEX(I130)</f>
        <v>D8</v>
      </c>
      <c r="I130" s="27">
        <v>216</v>
      </c>
      <c r="J130" s="27" t="str">
        <f>CHAR(I130)</f>
        <v>Ø</v>
      </c>
      <c r="L130">
        <f>IF(ISBLANK(D130),IF(E130&gt;0,F130-E130+1,0),0)</f>
        <v>0</v>
      </c>
      <c r="M130" s="45">
        <f>IF(ISBLANK(D130),0,IF(G130=0,F130-E130+1,0))</f>
        <v>0</v>
      </c>
      <c r="Q130" s="42" t="str">
        <f>C130&amp;IF(ISBLANK(D130),"","=")&amp;D130</f>
        <v>Polarity_Spindle=1</v>
      </c>
      <c r="S130" s="39">
        <v>1</v>
      </c>
      <c r="T130" s="42" t="str">
        <f>C130&amp;IF(ISBLANK(S130),"","=")&amp;S130</f>
        <v>Polarity_Spindle=1</v>
      </c>
      <c r="U130" s="39">
        <v>0</v>
      </c>
      <c r="V130" s="42" t="str">
        <f>C130&amp;IF(ISBLANK(U130),"","=")&amp;U130</f>
        <v>Polarity_Spindle=0</v>
      </c>
    </row>
    <row r="131" spans="1:22" x14ac:dyDescent="0.25">
      <c r="A131">
        <v>22</v>
      </c>
      <c r="B131" t="s">
        <v>41</v>
      </c>
      <c r="C131" s="39" t="s">
        <v>320</v>
      </c>
      <c r="D131" s="39">
        <v>1</v>
      </c>
      <c r="E131" s="26">
        <v>460</v>
      </c>
      <c r="F131" s="26">
        <v>463</v>
      </c>
      <c r="G131" s="26">
        <v>0</v>
      </c>
      <c r="H131" s="49" t="str">
        <f>DEC2HEX(I131)</f>
        <v>D9</v>
      </c>
      <c r="I131" s="27">
        <v>217</v>
      </c>
      <c r="J131" s="27" t="str">
        <f>CHAR(I131)</f>
        <v>Ù</v>
      </c>
      <c r="L131">
        <f>IF(ISBLANK(D131),IF(E131&gt;0,F131-E131+1,0),0)</f>
        <v>0</v>
      </c>
      <c r="M131" s="45">
        <f>IF(ISBLANK(D131),0,IF(G131=0,F131-E131+1,0))</f>
        <v>4</v>
      </c>
      <c r="Q131" s="42" t="str">
        <f>C131&amp;IF(ISBLANK(D131),"","=")&amp;D131</f>
        <v>Polarity_Z=1</v>
      </c>
      <c r="S131" s="39">
        <v>1</v>
      </c>
      <c r="T131" s="42" t="str">
        <f>C131&amp;IF(ISBLANK(S131),"","=")&amp;S131</f>
        <v>Polarity_Z=1</v>
      </c>
      <c r="U131" s="39">
        <v>0</v>
      </c>
      <c r="V131" s="42" t="str">
        <f>C131&amp;IF(ISBLANK(U131),"","=")&amp;U131</f>
        <v>Polarity_Z=0</v>
      </c>
    </row>
    <row r="132" spans="1:22" x14ac:dyDescent="0.25">
      <c r="A132">
        <v>393</v>
      </c>
      <c r="B132" t="s">
        <v>442</v>
      </c>
      <c r="C132" s="39" t="s">
        <v>640</v>
      </c>
      <c r="E132" s="26">
        <v>464</v>
      </c>
      <c r="F132" s="26">
        <v>467</v>
      </c>
      <c r="G132" s="26"/>
      <c r="L132">
        <f>IF(ISBLANK(#REF!),IF(E132&gt;0,F132-E132+1,0),0)</f>
        <v>0</v>
      </c>
      <c r="M132" s="45">
        <f>IF(ISBLANK(#REF!),0,IF(G132=0,F132-E132+1,0))</f>
        <v>4</v>
      </c>
    </row>
    <row r="133" spans="1:22" x14ac:dyDescent="0.25">
      <c r="A133">
        <v>20</v>
      </c>
      <c r="B133" t="s">
        <v>41</v>
      </c>
      <c r="C133" s="39" t="s">
        <v>318</v>
      </c>
      <c r="D133" s="39">
        <v>200</v>
      </c>
      <c r="E133" s="26">
        <v>468</v>
      </c>
      <c r="F133" s="26">
        <v>471</v>
      </c>
      <c r="G133" s="26"/>
      <c r="H133" s="49" t="str">
        <f>DEC2HEX(I133)</f>
        <v>7A</v>
      </c>
      <c r="I133" s="27">
        <v>122</v>
      </c>
      <c r="J133" s="27" t="str">
        <f>CHAR(I133)</f>
        <v>z</v>
      </c>
      <c r="K133" s="109"/>
      <c r="L133">
        <f>IF(ISBLANK(D133),IF(E133&gt;0,F133-E133+1,0),0)</f>
        <v>0</v>
      </c>
      <c r="M133" s="45">
        <f>IF(ISBLANK(D133),0,IF(G133=0,F133-E133+1,0))</f>
        <v>4</v>
      </c>
      <c r="Q133" s="42" t="str">
        <f>C133&amp;IF(ISBLANK(D133),"","=")&amp;D133</f>
        <v>StepsPer360_Z=200</v>
      </c>
      <c r="S133" s="39">
        <v>200</v>
      </c>
      <c r="T133" s="42" t="str">
        <f>C133&amp;IF(ISBLANK(S133),"","=")&amp;S133</f>
        <v>StepsPer360_Z=200</v>
      </c>
      <c r="U133" s="39">
        <v>400</v>
      </c>
      <c r="V133" s="42" t="str">
        <f>C133&amp;IF(ISBLANK(U133),"","=")&amp;U133</f>
        <v>StepsPer360_Z=400</v>
      </c>
    </row>
    <row r="134" spans="1:22" x14ac:dyDescent="0.25">
      <c r="A134">
        <v>394</v>
      </c>
      <c r="B134" t="s">
        <v>0</v>
      </c>
      <c r="C134" s="39" t="s">
        <v>641</v>
      </c>
      <c r="E134" s="26">
        <v>472</v>
      </c>
      <c r="F134" s="26">
        <v>475</v>
      </c>
      <c r="G134" s="26"/>
      <c r="K134" s="109"/>
      <c r="L134">
        <f>IF(ISBLANK(#REF!),IF(E134&gt;0,F134-E134+1,0),0)</f>
        <v>0</v>
      </c>
      <c r="M134" s="45">
        <f>IF(ISBLANK(#REF!),0,IF(G134=0,F134-E134+1,0))</f>
        <v>4</v>
      </c>
    </row>
    <row r="135" spans="1:22" x14ac:dyDescent="0.25">
      <c r="A135">
        <v>151</v>
      </c>
      <c r="B135" t="s">
        <v>236</v>
      </c>
      <c r="C135" s="39" t="s">
        <v>377</v>
      </c>
      <c r="D135" s="39">
        <v>5069</v>
      </c>
      <c r="E135" s="26">
        <v>476</v>
      </c>
      <c r="F135" s="26">
        <v>479</v>
      </c>
      <c r="G135" s="26"/>
      <c r="H135" s="49" t="str">
        <f>DEC2HEX(I135)</f>
        <v>BA</v>
      </c>
      <c r="I135" s="27">
        <v>186</v>
      </c>
      <c r="J135" s="27" t="str">
        <f>CHAR(I135)</f>
        <v>º</v>
      </c>
      <c r="L135">
        <f>IF(ISBLANK(D135),IF(E135&gt;0,F135-E135+1,0),0)</f>
        <v>0</v>
      </c>
      <c r="M135" s="45">
        <f>IF(ISBLANK(D135),0,IF(G135=0,F135-E135+1,0))</f>
        <v>4</v>
      </c>
      <c r="Q135" s="42" t="str">
        <f>C135&amp;IF(ISBLANK(D135),"","=")&amp;D135</f>
        <v>Accel_M3=5069</v>
      </c>
      <c r="S135" s="39">
        <v>20000</v>
      </c>
      <c r="T135" s="42" t="str">
        <f>C135&amp;IF(ISBLANK(S135),"","=")&amp;S135</f>
        <v>Accel_M3=20000</v>
      </c>
      <c r="U135" s="39">
        <v>1000</v>
      </c>
      <c r="V135" s="42" t="str">
        <f>C135&amp;IF(ISBLANK(U135),"","=")&amp;U135</f>
        <v>Accel_M3=1000</v>
      </c>
    </row>
    <row r="136" spans="1:22" x14ac:dyDescent="0.25">
      <c r="A136">
        <v>129</v>
      </c>
      <c r="B136" t="s">
        <v>236</v>
      </c>
      <c r="C136" s="39" t="s">
        <v>353</v>
      </c>
      <c r="D136" s="39">
        <v>25060</v>
      </c>
      <c r="E136" s="26">
        <v>480</v>
      </c>
      <c r="F136" s="26">
        <v>483</v>
      </c>
      <c r="G136" s="26"/>
      <c r="H136" s="49" t="str">
        <f>DEC2HEX(I136)</f>
        <v>3A</v>
      </c>
      <c r="I136" s="27">
        <v>58</v>
      </c>
      <c r="J136" s="27" t="str">
        <f>CHAR(I136)</f>
        <v>:</v>
      </c>
      <c r="L136">
        <f>IF(ISBLANK(D136),IF(E136&gt;0,F136-E136+1,0),0)</f>
        <v>0</v>
      </c>
      <c r="M136" s="45">
        <f>IF(ISBLANK(D136),0,IF(G136=0,F136-E136+1,0))</f>
        <v>4</v>
      </c>
      <c r="Q136" s="42" t="str">
        <f>C136&amp;IF(ISBLANK(D136),"","=")&amp;D136</f>
        <v>MaxSpeed_Spindle=25060</v>
      </c>
      <c r="S136" s="39">
        <v>30000</v>
      </c>
      <c r="T136" s="42" t="str">
        <f>C136&amp;IF(ISBLANK(S136),"","=")&amp;S136</f>
        <v>MaxSpeed_Spindle=30000</v>
      </c>
      <c r="U136" s="39">
        <v>1000</v>
      </c>
      <c r="V136" s="42" t="str">
        <f>C136&amp;IF(ISBLANK(U136),"","=")&amp;U136</f>
        <v>MaxSpeed_Spindle=1000</v>
      </c>
    </row>
    <row r="137" spans="1:22" x14ac:dyDescent="0.25">
      <c r="A137">
        <v>28</v>
      </c>
      <c r="B137" t="s">
        <v>222</v>
      </c>
      <c r="C137" s="39" t="s">
        <v>323</v>
      </c>
      <c r="D137" s="39">
        <v>200</v>
      </c>
      <c r="E137" s="26">
        <v>484</v>
      </c>
      <c r="F137" s="26">
        <v>487</v>
      </c>
      <c r="G137" s="26"/>
      <c r="H137" s="49" t="str">
        <f>DEC2HEX(I137)</f>
        <v>BC</v>
      </c>
      <c r="I137" s="27">
        <v>188</v>
      </c>
      <c r="J137" s="27" t="str">
        <f>CHAR(I137)</f>
        <v>¼</v>
      </c>
      <c r="L137">
        <f>IF(ISBLANK(D137),IF(E137&gt;0,F137-E137+1,0),0)</f>
        <v>0</v>
      </c>
      <c r="M137" s="45">
        <f>IF(ISBLANK(D137),0,IF(G137=0,F137-E137+1,0))</f>
        <v>4</v>
      </c>
      <c r="Q137" s="42" t="str">
        <f>C137&amp;IF(ISBLANK(D137),"","=")&amp;D137</f>
        <v>StepsPer360_X=200</v>
      </c>
      <c r="R137" s="4"/>
      <c r="S137" s="39">
        <v>200</v>
      </c>
      <c r="T137" s="42" t="str">
        <f>C137&amp;IF(ISBLANK(S137),"","=")&amp;S137</f>
        <v>StepsPer360_X=200</v>
      </c>
      <c r="U137" s="39">
        <v>400</v>
      </c>
      <c r="V137" s="42" t="str">
        <f>C137&amp;IF(ISBLANK(U137),"","=")&amp;U137</f>
        <v>StepsPer360_X=400</v>
      </c>
    </row>
    <row r="138" spans="1:22" x14ac:dyDescent="0.25">
      <c r="A138">
        <v>29</v>
      </c>
      <c r="B138" t="s">
        <v>222</v>
      </c>
      <c r="C138" s="39" t="s">
        <v>324</v>
      </c>
      <c r="D138" s="39">
        <v>0.187</v>
      </c>
      <c r="E138" s="26">
        <v>488</v>
      </c>
      <c r="F138" s="26">
        <v>495</v>
      </c>
      <c r="G138" s="26"/>
      <c r="H138" s="49" t="str">
        <f>DEC2HEX(I138)</f>
        <v>BD</v>
      </c>
      <c r="I138" s="27">
        <v>189</v>
      </c>
      <c r="J138" s="27" t="str">
        <f>CHAR(I138)</f>
        <v>½</v>
      </c>
      <c r="L138">
        <f>IF(ISBLANK(D138),IF(E138&gt;0,F138-E138+1,0),0)</f>
        <v>0</v>
      </c>
      <c r="M138" s="45">
        <f>IF(ISBLANK(D138),0,IF(G138=0,F138-E138+1,0))</f>
        <v>8</v>
      </c>
      <c r="Q138" s="42" t="str">
        <f>C138&amp;IF(ISBLANK(D138),"","=")&amp;D138</f>
        <v>DistancePer360_X=0.187</v>
      </c>
      <c r="S138" s="39">
        <v>0.01</v>
      </c>
      <c r="T138" s="42" t="str">
        <f>C138&amp;IF(ISBLANK(S138),"","=")&amp;S138</f>
        <v>DistancePer360_X=0.01</v>
      </c>
      <c r="U138" s="39">
        <v>1.02</v>
      </c>
      <c r="V138" s="42" t="str">
        <f>C138&amp;IF(ISBLANK(U138),"","=")&amp;U138</f>
        <v>DistancePer360_X=1.02</v>
      </c>
    </row>
    <row r="139" spans="1:22" x14ac:dyDescent="0.25">
      <c r="A139">
        <v>296</v>
      </c>
      <c r="B139" t="s">
        <v>36</v>
      </c>
      <c r="C139" s="39" t="s">
        <v>418</v>
      </c>
      <c r="D139" s="39">
        <v>24</v>
      </c>
      <c r="E139" s="27">
        <v>496</v>
      </c>
      <c r="F139" s="27">
        <v>499</v>
      </c>
      <c r="G139" s="26"/>
      <c r="H139" s="49" t="str">
        <f>DEC2HEX(I139)</f>
        <v>2E</v>
      </c>
      <c r="I139" s="27">
        <v>46</v>
      </c>
      <c r="J139" s="27" t="str">
        <f>CHAR(I139)</f>
        <v>.</v>
      </c>
      <c r="L139">
        <f>IF(ISBLANK(D139),IF(E139&gt;0,F139-E139+1,0),0)</f>
        <v>0</v>
      </c>
      <c r="M139" s="45">
        <f>IF(ISBLANK(D139),0,IF(G139=0,F139-E139+1,0))</f>
        <v>4</v>
      </c>
      <c r="Q139" s="42" t="str">
        <f>C139&amp;IF(ISBLANK(D139),"","=")&amp;D139</f>
        <v>PatternCount=24</v>
      </c>
      <c r="S139" s="39">
        <v>2</v>
      </c>
      <c r="T139" s="42" t="str">
        <f>C139&amp;IF(ISBLANK(S139),"","=")&amp;S139</f>
        <v>PatternCount=2</v>
      </c>
      <c r="U139" s="39">
        <v>11</v>
      </c>
      <c r="V139" s="42" t="str">
        <f>C139&amp;IF(ISBLANK(U139),"","=")&amp;U139</f>
        <v>PatternCount=11</v>
      </c>
    </row>
    <row r="140" spans="1:22" x14ac:dyDescent="0.25">
      <c r="A140">
        <v>234</v>
      </c>
      <c r="B140" t="s">
        <v>42</v>
      </c>
      <c r="C140" s="39" t="s">
        <v>402</v>
      </c>
      <c r="D140" s="39">
        <v>5.79</v>
      </c>
      <c r="E140" s="26">
        <v>500</v>
      </c>
      <c r="F140" s="26">
        <v>507</v>
      </c>
      <c r="G140" s="26"/>
      <c r="H140" s="49" t="str">
        <f>DEC2HEX(I140)</f>
        <v>B5</v>
      </c>
      <c r="I140" s="27">
        <v>181</v>
      </c>
      <c r="J140" s="27" t="str">
        <f>CHAR(I140)</f>
        <v>µ</v>
      </c>
      <c r="K140" s="109"/>
      <c r="L140">
        <f>IF(ISBLANK(D140),IF(E140&gt;0,F140-E140+1,0),0)</f>
        <v>0</v>
      </c>
      <c r="M140" s="45">
        <f>IF(ISBLANK(D140),0,IF(G140=0,F140-E140+1,0))</f>
        <v>8</v>
      </c>
      <c r="Q140" s="42" t="str">
        <f>C140&amp;IF(ISBLANK(D140),"","=")&amp;D140</f>
        <v>Distance_M3-2=5.79</v>
      </c>
      <c r="S140" s="39">
        <v>0.1</v>
      </c>
      <c r="T140" s="42" t="str">
        <f>C140&amp;IF(ISBLANK(S140),"","=")&amp;S140</f>
        <v>Distance_M3-2=0.1</v>
      </c>
      <c r="U140" s="39">
        <v>11</v>
      </c>
      <c r="V140" s="42" t="str">
        <f>C140&amp;IF(ISBLANK(U140),"","=")&amp;U140</f>
        <v>Distance_M3-2=11</v>
      </c>
    </row>
    <row r="141" spans="1:22" x14ac:dyDescent="0.25">
      <c r="A141">
        <v>183</v>
      </c>
      <c r="B141" t="s">
        <v>0</v>
      </c>
      <c r="C141" s="39" t="s">
        <v>379</v>
      </c>
      <c r="D141" s="39">
        <v>5072</v>
      </c>
      <c r="E141" s="27">
        <v>508</v>
      </c>
      <c r="F141" s="27">
        <v>511</v>
      </c>
      <c r="G141" s="27"/>
      <c r="H141" s="49" t="str">
        <f>DEC2HEX(I141)</f>
        <v>B9</v>
      </c>
      <c r="I141" s="27">
        <v>185</v>
      </c>
      <c r="J141" s="27" t="str">
        <f>CHAR(I141)</f>
        <v>¹</v>
      </c>
      <c r="K141" s="109"/>
      <c r="L141">
        <f>IF(ISBLANK(D141),IF(E141&gt;0,F141-E141+1,0),0)</f>
        <v>0</v>
      </c>
      <c r="M141" s="45">
        <f>IF(ISBLANK(D141),0,IF(G141=0,F141-E141+1,0))</f>
        <v>4</v>
      </c>
      <c r="Q141" s="42" t="str">
        <f>C141&amp;IF(ISBLANK(D141),"","=")&amp;D141</f>
        <v>MaxSpeed_M4=5072</v>
      </c>
      <c r="S141" s="39">
        <v>30000</v>
      </c>
      <c r="T141" s="42" t="str">
        <f>C141&amp;IF(ISBLANK(S141),"","=")&amp;S141</f>
        <v>MaxSpeed_M4=30000</v>
      </c>
      <c r="U141" s="39">
        <v>1000</v>
      </c>
      <c r="V141" s="42" t="str">
        <f>C141&amp;IF(ISBLANK(U141),"","=")&amp;U141</f>
        <v>MaxSpeed_M4=1000</v>
      </c>
    </row>
    <row r="142" spans="1:22" x14ac:dyDescent="0.25">
      <c r="A142">
        <v>21</v>
      </c>
      <c r="B142" t="s">
        <v>41</v>
      </c>
      <c r="C142" s="39" t="s">
        <v>319</v>
      </c>
      <c r="D142" s="39">
        <v>0.187</v>
      </c>
      <c r="E142" s="26">
        <v>512</v>
      </c>
      <c r="F142" s="26">
        <v>519</v>
      </c>
      <c r="G142" s="26"/>
      <c r="H142" s="49" t="str">
        <f>DEC2HEX(I142)</f>
        <v>7B</v>
      </c>
      <c r="I142" s="27">
        <v>123</v>
      </c>
      <c r="J142" s="27" t="str">
        <f>CHAR(I142)</f>
        <v>{</v>
      </c>
      <c r="L142">
        <f>IF(ISBLANK(D142),IF(E142&gt;0,F142-E142+1,0),0)</f>
        <v>0</v>
      </c>
      <c r="M142" s="45">
        <f>IF(ISBLANK(D142),0,IF(G142=0,F142-E142+1,0))</f>
        <v>8</v>
      </c>
      <c r="Q142" s="42" t="str">
        <f>C142&amp;IF(ISBLANK(D142),"","=")&amp;D142</f>
        <v>DistancePer360_Z=0.187</v>
      </c>
      <c r="S142" s="39">
        <v>0.01</v>
      </c>
      <c r="T142" s="42" t="str">
        <f>C142&amp;IF(ISBLANK(S142),"","=")&amp;S142</f>
        <v>DistancePer360_Z=0.01</v>
      </c>
      <c r="U142" s="39">
        <v>1.3653999999999999E-2</v>
      </c>
      <c r="V142" s="42" t="str">
        <f>C142&amp;IF(ISBLANK(U142),"","=")&amp;U142</f>
        <v>DistancePer360_Z=0.013654</v>
      </c>
    </row>
    <row r="143" spans="1:22" x14ac:dyDescent="0.25">
      <c r="A143">
        <v>334</v>
      </c>
      <c r="B143" t="s">
        <v>233</v>
      </c>
      <c r="C143" s="39" t="s">
        <v>428</v>
      </c>
      <c r="D143" s="39">
        <v>3.4780000000000002</v>
      </c>
      <c r="E143" s="26">
        <v>520</v>
      </c>
      <c r="F143" s="26">
        <v>527</v>
      </c>
      <c r="G143" s="26"/>
      <c r="H143" s="49" t="str">
        <f>DEC2HEX(I143)</f>
        <v>E4</v>
      </c>
      <c r="I143" s="27">
        <v>228</v>
      </c>
      <c r="J143" s="27" t="str">
        <f>CHAR(I143)</f>
        <v>ä</v>
      </c>
      <c r="L143">
        <f>IF(ISBLANK(D143),IF(E143&gt;0,F143-E143+1,0),0)</f>
        <v>0</v>
      </c>
      <c r="M143" s="45">
        <f>IF(ISBLANK(D143),0,IF(G143=0,F143-E143+1,0))</f>
        <v>8</v>
      </c>
      <c r="Q143" s="42" t="str">
        <f>C143&amp;IF(ISBLANK(D143),"","=")&amp;D143</f>
        <v>RadialAmplitude_M3=3.478</v>
      </c>
      <c r="S143" s="39">
        <v>0.5</v>
      </c>
      <c r="T143" s="42" t="str">
        <f>C143&amp;IF(ISBLANK(S143),"","=")&amp;S143</f>
        <v>RadialAmplitude_M3=0.5</v>
      </c>
      <c r="U143" s="39">
        <v>11</v>
      </c>
      <c r="V143" s="42" t="str">
        <f>C143&amp;IF(ISBLANK(U143),"","=")&amp;U143</f>
        <v>RadialAmplitude_M3=11</v>
      </c>
    </row>
    <row r="144" spans="1:22" x14ac:dyDescent="0.25">
      <c r="A144">
        <v>335</v>
      </c>
      <c r="B144" t="s">
        <v>233</v>
      </c>
      <c r="C144" s="39" t="s">
        <v>429</v>
      </c>
      <c r="D144" s="39">
        <v>3.5</v>
      </c>
      <c r="E144" s="26">
        <v>528</v>
      </c>
      <c r="F144" s="26">
        <v>535</v>
      </c>
      <c r="G144" s="26"/>
      <c r="H144" s="49" t="str">
        <f>DEC2HEX(I144)</f>
        <v>E3</v>
      </c>
      <c r="I144" s="27">
        <v>227</v>
      </c>
      <c r="J144" s="27" t="str">
        <f>CHAR(I144)</f>
        <v>ã</v>
      </c>
      <c r="L144">
        <f>IF(ISBLANK(D144),IF(E144&gt;0,F144-E144+1,0),0)</f>
        <v>0</v>
      </c>
      <c r="M144" s="45">
        <f>IF(ISBLANK(D144),0,IF(G144=0,F144-E144+1,0))</f>
        <v>8</v>
      </c>
      <c r="Q144" s="42" t="str">
        <f>C144&amp;IF(ISBLANK(D144),"","=")&amp;D144</f>
        <v>AxialAmplitude_M3=3.5</v>
      </c>
      <c r="S144" s="39">
        <v>0.5</v>
      </c>
      <c r="T144" s="42" t="str">
        <f>C144&amp;IF(ISBLANK(S144),"","=")&amp;S144</f>
        <v>AxialAmplitude_M3=0.5</v>
      </c>
      <c r="U144" s="39">
        <v>11</v>
      </c>
      <c r="V144" s="42" t="str">
        <f>C144&amp;IF(ISBLANK(U144),"","=")&amp;U144</f>
        <v>AxialAmplitude_M3=11</v>
      </c>
    </row>
    <row r="145" spans="1:25" x14ac:dyDescent="0.25">
      <c r="A145">
        <v>208</v>
      </c>
      <c r="B145" t="s">
        <v>0</v>
      </c>
      <c r="C145" s="99" t="s">
        <v>395</v>
      </c>
      <c r="D145" s="99">
        <v>0</v>
      </c>
      <c r="E145" s="100">
        <v>536</v>
      </c>
      <c r="F145" s="26">
        <v>539</v>
      </c>
      <c r="G145" s="26"/>
      <c r="H145" s="49" t="str">
        <f>DEC2HEX(I145)</f>
        <v>C4</v>
      </c>
      <c r="I145" s="27">
        <v>196</v>
      </c>
      <c r="J145" s="27" t="str">
        <f>CHAR(I145)</f>
        <v>Ä</v>
      </c>
      <c r="L145">
        <f>IF(ISBLANK(D145),IF(E145&gt;0,F145-E145+1,0),0)</f>
        <v>0</v>
      </c>
      <c r="M145" s="45">
        <f>IF(ISBLANK(D145),0,IF(G145=0,F145-E145+1,0))</f>
        <v>4</v>
      </c>
      <c r="Q145" s="42" t="str">
        <f>C145&amp;IF(ISBLANK(D145),"","=")&amp;D145</f>
        <v>FixedOrFile_5=0</v>
      </c>
      <c r="R145" s="38"/>
      <c r="S145" s="39">
        <v>0</v>
      </c>
      <c r="T145" s="42" t="str">
        <f>C145&amp;IF(ISBLANK(S145),"","=")&amp;S145</f>
        <v>FixedOrFile_5=0</v>
      </c>
      <c r="U145" s="39">
        <v>1</v>
      </c>
      <c r="V145" s="42" t="str">
        <f>C145&amp;IF(ISBLANK(U145),"","=")&amp;U145</f>
        <v>FixedOrFile_5=1</v>
      </c>
    </row>
    <row r="146" spans="1:25" x14ac:dyDescent="0.25">
      <c r="A146">
        <v>392</v>
      </c>
      <c r="E146">
        <v>540</v>
      </c>
      <c r="F146">
        <v>543</v>
      </c>
      <c r="H146" s="47"/>
      <c r="I146" s="4"/>
      <c r="J146" s="4"/>
      <c r="L146">
        <f>IF(ISBLANK(#REF!),IF(E146&gt;0,F146-E146+1,0),0)</f>
        <v>0</v>
      </c>
      <c r="M146" s="45">
        <f>IF(ISBLANK(#REF!),0,IF(G146=0,F146-E146+1,0))</f>
        <v>4</v>
      </c>
      <c r="N146"/>
      <c r="O146"/>
      <c r="P146"/>
      <c r="Q146"/>
    </row>
    <row r="147" spans="1:25" x14ac:dyDescent="0.25">
      <c r="A147">
        <v>40</v>
      </c>
      <c r="B147" t="s">
        <v>234</v>
      </c>
      <c r="C147" s="39" t="s">
        <v>331</v>
      </c>
      <c r="D147" s="39">
        <v>200</v>
      </c>
      <c r="E147" s="26">
        <v>544</v>
      </c>
      <c r="F147" s="26">
        <v>547</v>
      </c>
      <c r="G147" s="26"/>
      <c r="H147" s="52" t="str">
        <f>DEC2HEX(I147)</f>
        <v>77</v>
      </c>
      <c r="I147" s="53">
        <v>119</v>
      </c>
      <c r="J147" s="53" t="str">
        <f>CHAR(I147)</f>
        <v>w</v>
      </c>
      <c r="K147" s="109"/>
      <c r="L147">
        <f>IF(ISBLANK(D147),IF(E147&gt;0,F147-E147+1,0),0)</f>
        <v>0</v>
      </c>
      <c r="M147" s="45">
        <f>IF(ISBLANK(D147),0,IF(G147=0,F147-E147+1,0))</f>
        <v>4</v>
      </c>
      <c r="Q147" s="42" t="str">
        <f>C147&amp;IF(ISBLANK(D147),"","=")&amp;D147</f>
        <v>StepsPer360_M3=200</v>
      </c>
      <c r="S147" s="39">
        <v>200</v>
      </c>
      <c r="T147" s="42" t="str">
        <f>C147&amp;IF(ISBLANK(S147),"","=")&amp;S147</f>
        <v>StepsPer360_M3=200</v>
      </c>
      <c r="U147" s="39">
        <v>600</v>
      </c>
      <c r="V147" s="42" t="str">
        <f>C147&amp;IF(ISBLANK(U147),"","=")&amp;U147</f>
        <v>StepsPer360_M3=600</v>
      </c>
    </row>
    <row r="148" spans="1:25" x14ac:dyDescent="0.25">
      <c r="A148">
        <v>41</v>
      </c>
      <c r="B148" t="s">
        <v>234</v>
      </c>
      <c r="C148" s="39" t="s">
        <v>332</v>
      </c>
      <c r="D148" s="39">
        <v>30</v>
      </c>
      <c r="E148" s="26">
        <v>548</v>
      </c>
      <c r="F148" s="26">
        <v>555</v>
      </c>
      <c r="G148" s="26"/>
      <c r="H148" s="52" t="str">
        <f>DEC2HEX(I148)</f>
        <v>78</v>
      </c>
      <c r="I148" s="53">
        <v>120</v>
      </c>
      <c r="J148" s="53" t="str">
        <f>CHAR(I148)</f>
        <v>x</v>
      </c>
      <c r="K148" s="109"/>
      <c r="L148">
        <f>IF(ISBLANK(D148),IF(E148&gt;0,F148-E148+1,0),0)</f>
        <v>0</v>
      </c>
      <c r="M148" s="45">
        <f>IF(ISBLANK(D148),0,IF(G148=0,F148-E148+1,0))</f>
        <v>8</v>
      </c>
      <c r="Q148" s="42" t="str">
        <f>C148&amp;IF(ISBLANK(D148),"","=")&amp;D148</f>
        <v>GearRatio_M3=30</v>
      </c>
      <c r="S148" s="39">
        <v>1</v>
      </c>
      <c r="T148" s="42" t="str">
        <f>C148&amp;IF(ISBLANK(S148),"","=")&amp;S148</f>
        <v>GearRatio_M3=1</v>
      </c>
      <c r="U148" s="39">
        <v>34</v>
      </c>
      <c r="V148" s="42" t="str">
        <f>C148&amp;IF(ISBLANK(U148),"","=")&amp;U148</f>
        <v>GearRatio_M3=34</v>
      </c>
    </row>
    <row r="149" spans="1:25" x14ac:dyDescent="0.25">
      <c r="A149">
        <v>283</v>
      </c>
      <c r="B149" t="s">
        <v>439</v>
      </c>
      <c r="C149" s="39" t="s">
        <v>410</v>
      </c>
      <c r="D149" s="39">
        <v>5</v>
      </c>
      <c r="E149" s="27">
        <v>556</v>
      </c>
      <c r="F149" s="27">
        <v>559</v>
      </c>
      <c r="G149" s="26"/>
      <c r="H149" s="49" t="str">
        <f>DEC2HEX(I149)</f>
        <v>D4</v>
      </c>
      <c r="I149" s="27">
        <v>212</v>
      </c>
      <c r="J149" s="27" t="str">
        <f>CHAR(I149)</f>
        <v>Ô</v>
      </c>
      <c r="L149">
        <f>IF(ISBLANK(D149),IF(E149&gt;0,F149-E149+1,0),0)</f>
        <v>0</v>
      </c>
      <c r="M149" s="45">
        <f>IF(ISBLANK(D149),0,IF(G149=0,F149-E149+1,0))</f>
        <v>4</v>
      </c>
      <c r="Q149" s="42" t="str">
        <f>C149&amp;IF(ISBLANK(D149),"","=")&amp;D149</f>
        <v>Radial_Waves=5</v>
      </c>
      <c r="S149" s="39">
        <v>2</v>
      </c>
      <c r="T149" s="42" t="str">
        <f>C149&amp;IF(ISBLANK(S149),"","=")&amp;S149</f>
        <v>Radial_Waves=2</v>
      </c>
      <c r="U149" s="39">
        <v>11</v>
      </c>
      <c r="V149" s="42" t="str">
        <f>C149&amp;IF(ISBLANK(U149),"","=")&amp;U149</f>
        <v>Radial_Waves=11</v>
      </c>
    </row>
    <row r="150" spans="1:25" x14ac:dyDescent="0.25">
      <c r="A150">
        <v>184</v>
      </c>
      <c r="B150" t="s">
        <v>0</v>
      </c>
      <c r="C150" s="39" t="s">
        <v>380</v>
      </c>
      <c r="D150" s="39">
        <v>5073</v>
      </c>
      <c r="E150" s="26">
        <v>560</v>
      </c>
      <c r="F150" s="26">
        <v>563</v>
      </c>
      <c r="G150" s="26"/>
      <c r="H150" s="49" t="str">
        <f>DEC2HEX(I150)</f>
        <v>BA</v>
      </c>
      <c r="I150" s="27">
        <v>186</v>
      </c>
      <c r="J150" s="27" t="str">
        <f>CHAR(I150)</f>
        <v>º</v>
      </c>
      <c r="L150">
        <f>IF(ISBLANK(D150),IF(E150&gt;0,F150-E150+1,0),0)</f>
        <v>0</v>
      </c>
      <c r="M150" s="45">
        <f>IF(ISBLANK(D150),0,IF(G150=0,F150-E150+1,0))</f>
        <v>4</v>
      </c>
      <c r="Q150" s="42" t="str">
        <f>C150&amp;IF(ISBLANK(D150),"","=")&amp;D150</f>
        <v>Accel_M4=5073</v>
      </c>
      <c r="S150" s="39">
        <v>20000</v>
      </c>
      <c r="T150" s="42" t="str">
        <f>C150&amp;IF(ISBLANK(S150),"","=")&amp;S150</f>
        <v>Accel_M4=20000</v>
      </c>
      <c r="U150" s="39">
        <v>1000</v>
      </c>
      <c r="V150" s="42" t="str">
        <f>C150&amp;IF(ISBLANK(U150),"","=")&amp;U150</f>
        <v>Accel_M4=1000</v>
      </c>
    </row>
    <row r="151" spans="1:25" x14ac:dyDescent="0.25">
      <c r="A151">
        <v>27</v>
      </c>
      <c r="B151" t="s">
        <v>222</v>
      </c>
      <c r="C151" s="39" t="s">
        <v>322</v>
      </c>
      <c r="D151" s="39">
        <v>32</v>
      </c>
      <c r="E151" s="26">
        <v>564</v>
      </c>
      <c r="F151" s="26">
        <v>567</v>
      </c>
      <c r="G151" s="26"/>
      <c r="H151" s="49" t="str">
        <f>DEC2HEX(I151)</f>
        <v>BB</v>
      </c>
      <c r="I151" s="27">
        <v>187</v>
      </c>
      <c r="J151" s="27" t="str">
        <f>CHAR(I151)</f>
        <v>»</v>
      </c>
      <c r="L151">
        <f>IF(ISBLANK(D151),IF(E151&gt;0,F151-E151+1,0),0)</f>
        <v>0</v>
      </c>
      <c r="M151" s="45">
        <f>IF(ISBLANK(D151),0,IF(G151=0,F151-E151+1,0))</f>
        <v>4</v>
      </c>
      <c r="Q151" s="42" t="str">
        <f>C151&amp;IF(ISBLANK(D151),"","=")&amp;D151</f>
        <v>Microsteps_X=32</v>
      </c>
      <c r="S151" s="39">
        <v>32</v>
      </c>
      <c r="T151" s="42" t="str">
        <f>C151&amp;IF(ISBLANK(S151),"","=")&amp;S151</f>
        <v>Microsteps_X=32</v>
      </c>
      <c r="U151" s="39">
        <v>16</v>
      </c>
      <c r="V151" s="42" t="str">
        <f>C151&amp;IF(ISBLANK(U151),"","=")&amp;U151</f>
        <v>Microsteps_X=16</v>
      </c>
    </row>
    <row r="152" spans="1:25" x14ac:dyDescent="0.25">
      <c r="A152">
        <v>33</v>
      </c>
      <c r="B152" t="s">
        <v>438</v>
      </c>
      <c r="C152" s="39" t="s">
        <v>326</v>
      </c>
      <c r="D152" s="39">
        <v>32</v>
      </c>
      <c r="E152" s="26">
        <v>568</v>
      </c>
      <c r="F152" s="26">
        <v>571</v>
      </c>
      <c r="G152" s="26"/>
      <c r="H152" s="49" t="str">
        <f>DEC2HEX(I152)</f>
        <v>EF</v>
      </c>
      <c r="I152" s="27">
        <v>239</v>
      </c>
      <c r="J152" s="27" t="str">
        <f>CHAR(I152)</f>
        <v>ï</v>
      </c>
      <c r="L152">
        <f>IF(ISBLANK(D152),IF(E152&gt;0,F152-E152+1,0),0)</f>
        <v>0</v>
      </c>
      <c r="M152" s="45">
        <f>IF(ISBLANK(D152),0,IF(G152=0,F152-E152+1,0))</f>
        <v>4</v>
      </c>
      <c r="Q152" s="42" t="str">
        <f>C152&amp;IF(ISBLANK(D152),"","=")&amp;D152</f>
        <v>Microsteps_AltX=32</v>
      </c>
      <c r="S152" s="39">
        <v>32</v>
      </c>
      <c r="T152" s="42" t="str">
        <f>C152&amp;IF(ISBLANK(S152),"","=")&amp;S152</f>
        <v>Microsteps_AltX=32</v>
      </c>
      <c r="U152" s="39">
        <v>8</v>
      </c>
      <c r="V152" s="42" t="str">
        <f>C152&amp;IF(ISBLANK(U152),"","=")&amp;U152</f>
        <v>Microsteps_AltX=8</v>
      </c>
    </row>
    <row r="153" spans="1:25" x14ac:dyDescent="0.25">
      <c r="A153">
        <v>192</v>
      </c>
      <c r="B153" t="s">
        <v>0</v>
      </c>
      <c r="C153" s="99" t="s">
        <v>383</v>
      </c>
      <c r="D153" s="99">
        <v>0</v>
      </c>
      <c r="E153" s="100">
        <v>572</v>
      </c>
      <c r="F153" s="26">
        <v>575</v>
      </c>
      <c r="G153" s="26"/>
      <c r="H153" s="49" t="str">
        <f>DEC2HEX(I153)</f>
        <v>C4</v>
      </c>
      <c r="I153" s="27">
        <v>196</v>
      </c>
      <c r="J153" s="27" t="str">
        <f>CHAR(I153)</f>
        <v>Ä</v>
      </c>
      <c r="L153">
        <f>IF(ISBLANK(D153),IF(E153&gt;0,F153-E153+1,0),0)</f>
        <v>0</v>
      </c>
      <c r="M153" s="45">
        <f>IF(ISBLANK(D153),0,IF(G153=0,F153-E153+1,0))</f>
        <v>4</v>
      </c>
      <c r="Q153" s="42" t="str">
        <f>C153&amp;IF(ISBLANK(D153),"","=")&amp;D153</f>
        <v>FixedOrFile_1=0</v>
      </c>
      <c r="S153" s="39">
        <v>0</v>
      </c>
      <c r="T153" s="42" t="str">
        <f>C153&amp;IF(ISBLANK(S153),"","=")&amp;S153</f>
        <v>FixedOrFile_1=0</v>
      </c>
      <c r="U153" s="39">
        <v>1</v>
      </c>
      <c r="V153" s="42" t="str">
        <f>C153&amp;IF(ISBLANK(U153),"","=")&amp;U153</f>
        <v>FixedOrFile_1=1</v>
      </c>
    </row>
    <row r="154" spans="1:25" x14ac:dyDescent="0.25">
      <c r="A154">
        <v>66</v>
      </c>
      <c r="B154" t="s">
        <v>183</v>
      </c>
      <c r="C154" s="39" t="s">
        <v>347</v>
      </c>
      <c r="D154" s="39">
        <v>26</v>
      </c>
      <c r="E154" s="26">
        <v>576</v>
      </c>
      <c r="F154" s="26">
        <v>579</v>
      </c>
      <c r="G154" s="26">
        <v>8</v>
      </c>
      <c r="H154" s="49" t="str">
        <f>DEC2HEX(I154)</f>
        <v>E1</v>
      </c>
      <c r="I154" s="27">
        <v>225</v>
      </c>
      <c r="J154" s="27" t="str">
        <f>CHAR(I154)</f>
        <v>á</v>
      </c>
      <c r="K154" s="109"/>
      <c r="L154">
        <f>IF(ISBLANK(D154),IF(E154&gt;0,F154-E154+1,0),0)</f>
        <v>0</v>
      </c>
      <c r="M154" s="45">
        <f>IF(ISBLANK(D154),0,IF(G154=0,F154-E154+1,0))</f>
        <v>0</v>
      </c>
      <c r="Q154" s="42" t="str">
        <f>C154&amp;IF(ISBLANK(D154),"","=")&amp;D154</f>
        <v>Max_M3=26</v>
      </c>
      <c r="S154" s="39">
        <v>26</v>
      </c>
      <c r="T154" s="42" t="str">
        <f>C154&amp;IF(ISBLANK(S154),"","=")&amp;S154</f>
        <v>Max_M3=26</v>
      </c>
      <c r="U154" s="39">
        <v>31</v>
      </c>
      <c r="V154" s="42" t="str">
        <f>C154&amp;IF(ISBLANK(U154),"","=")&amp;U154</f>
        <v>Max_M3=31</v>
      </c>
    </row>
    <row r="155" spans="1:25" x14ac:dyDescent="0.25">
      <c r="A155">
        <v>65</v>
      </c>
      <c r="B155" t="s">
        <v>183</v>
      </c>
      <c r="C155" s="39" t="s">
        <v>346</v>
      </c>
      <c r="D155" s="39">
        <v>24</v>
      </c>
      <c r="E155" s="26">
        <v>576</v>
      </c>
      <c r="F155" s="26">
        <v>579</v>
      </c>
      <c r="G155" s="26">
        <v>0</v>
      </c>
      <c r="H155" s="49" t="str">
        <f>DEC2HEX(I155)</f>
        <v>E0</v>
      </c>
      <c r="I155" s="27">
        <v>224</v>
      </c>
      <c r="J155" s="27" t="str">
        <f>CHAR(I155)</f>
        <v>à</v>
      </c>
      <c r="K155" s="109"/>
      <c r="L155">
        <f>IF(ISBLANK(D155),IF(E155&gt;0,F155-E155+1,0),0)</f>
        <v>0</v>
      </c>
      <c r="M155" s="45">
        <f>IF(ISBLANK(D155),0,IF(G155=0,F155-E155+1,0))</f>
        <v>4</v>
      </c>
      <c r="Q155" s="42" t="str">
        <f>C155&amp;IF(ISBLANK(D155),"","=")&amp;D155</f>
        <v>Min_M3=24</v>
      </c>
      <c r="S155" s="39">
        <v>24</v>
      </c>
      <c r="T155" s="42" t="str">
        <f>C155&amp;IF(ISBLANK(S155),"","=")&amp;S155</f>
        <v>Min_M3=24</v>
      </c>
      <c r="U155" s="39">
        <v>31</v>
      </c>
      <c r="V155" s="42" t="str">
        <f>C155&amp;IF(ISBLANK(U155),"","=")&amp;U155</f>
        <v>Min_M3=31</v>
      </c>
    </row>
    <row r="156" spans="1:25" s="29" customFormat="1" x14ac:dyDescent="0.25">
      <c r="A156">
        <v>71</v>
      </c>
      <c r="B156" t="s">
        <v>183</v>
      </c>
      <c r="C156" s="39" t="s">
        <v>351</v>
      </c>
      <c r="D156" s="39">
        <v>28</v>
      </c>
      <c r="E156" s="26">
        <v>576</v>
      </c>
      <c r="F156" s="26">
        <v>579</v>
      </c>
      <c r="G156" s="26">
        <v>16</v>
      </c>
      <c r="H156" s="49" t="str">
        <f>DEC2HEX(I156)</f>
        <v>47</v>
      </c>
      <c r="I156" s="27">
        <v>71</v>
      </c>
      <c r="J156" s="27" t="str">
        <f>CHAR(I156)</f>
        <v>G</v>
      </c>
      <c r="K156" s="39"/>
      <c r="L156">
        <f>IF(ISBLANK(D156),IF(E156&gt;0,F156-E156+1,0),0)</f>
        <v>0</v>
      </c>
      <c r="M156" s="45">
        <f>IF(ISBLANK(D156),0,IF(G156=0,F156-E156+1,0))</f>
        <v>0</v>
      </c>
      <c r="N156" s="54"/>
      <c r="O156" s="54"/>
      <c r="P156" s="54"/>
      <c r="Q156" s="42" t="str">
        <f>C156&amp;IF(ISBLANK(D156),"","=")&amp;D156</f>
        <v>Stop=28</v>
      </c>
      <c r="R156"/>
      <c r="S156" s="39">
        <v>28</v>
      </c>
      <c r="T156" s="42" t="str">
        <f>C156&amp;IF(ISBLANK(S156),"","=")&amp;S156</f>
        <v>Stop=28</v>
      </c>
      <c r="U156" s="39">
        <v>31</v>
      </c>
      <c r="V156" s="42" t="str">
        <f>C156&amp;IF(ISBLANK(U156),"","=")&amp;U156</f>
        <v>Stop=31</v>
      </c>
      <c r="W156"/>
      <c r="X156"/>
      <c r="Y156"/>
    </row>
    <row r="157" spans="1:25" x14ac:dyDescent="0.25">
      <c r="A157">
        <v>70</v>
      </c>
      <c r="B157" t="s">
        <v>183</v>
      </c>
      <c r="C157" s="39" t="s">
        <v>350</v>
      </c>
      <c r="D157" s="39">
        <v>0</v>
      </c>
      <c r="E157" s="26">
        <v>576</v>
      </c>
      <c r="F157" s="26">
        <v>579</v>
      </c>
      <c r="G157" s="26">
        <v>24</v>
      </c>
      <c r="H157" s="49" t="str">
        <f>DEC2HEX(I157)</f>
        <v>56</v>
      </c>
      <c r="I157" s="27">
        <v>86</v>
      </c>
      <c r="J157" s="27" t="str">
        <f>CHAR(I157)</f>
        <v>V</v>
      </c>
      <c r="L157">
        <f>IF(ISBLANK(D157),IF(E157&gt;0,F157-E157+1,0),0)</f>
        <v>0</v>
      </c>
      <c r="M157" s="45">
        <f>IF(ISBLANK(D157),0,IF(G157=0,F157-E157+1,0))</f>
        <v>0</v>
      </c>
      <c r="Q157" s="42" t="str">
        <f>C157&amp;IF(ISBLANK(D157),"","=")&amp;D157</f>
        <v>StopSpindle=0</v>
      </c>
      <c r="S157" s="39">
        <v>1</v>
      </c>
      <c r="T157" s="42" t="str">
        <f>C157&amp;IF(ISBLANK(S157),"","=")&amp;S157</f>
        <v>StopSpindle=1</v>
      </c>
      <c r="U157" s="39">
        <v>1</v>
      </c>
      <c r="V157" s="42" t="str">
        <f>C157&amp;IF(ISBLANK(U157),"","=")&amp;U157</f>
        <v>StopSpindle=1</v>
      </c>
    </row>
    <row r="158" spans="1:25" x14ac:dyDescent="0.25">
      <c r="A158">
        <v>201</v>
      </c>
      <c r="B158" t="s">
        <v>0</v>
      </c>
      <c r="C158" s="39" t="s">
        <v>390</v>
      </c>
      <c r="D158" s="39">
        <v>11.24</v>
      </c>
      <c r="E158" s="26">
        <v>580</v>
      </c>
      <c r="F158" s="26">
        <v>587</v>
      </c>
      <c r="G158" s="26"/>
      <c r="H158" s="49" t="str">
        <f>DEC2HEX(I158)</f>
        <v>BF</v>
      </c>
      <c r="I158" s="27">
        <v>191</v>
      </c>
      <c r="J158" s="27" t="str">
        <f>CHAR(I158)</f>
        <v>¿</v>
      </c>
      <c r="L158">
        <f>IF(ISBLANK(D158),IF(E158&gt;0,F158-E158+1,0),0)</f>
        <v>0</v>
      </c>
      <c r="M158" s="45">
        <f>IF(ISBLANK(D158),0,IF(G158=0,F158-E158+1,0))</f>
        <v>8</v>
      </c>
      <c r="Q158" s="42" t="str">
        <f>C158&amp;IF(ISBLANK(D158),"","=")&amp;D158</f>
        <v>Size_3=11.24</v>
      </c>
      <c r="S158" s="39">
        <v>45</v>
      </c>
      <c r="T158" s="42" t="str">
        <f>C158&amp;IF(ISBLANK(S158),"","=")&amp;S158</f>
        <v>Size_3=45</v>
      </c>
      <c r="U158" s="39">
        <v>11</v>
      </c>
      <c r="V158" s="42" t="str">
        <f>C158&amp;IF(ISBLANK(U158),"","=")&amp;U158</f>
        <v>Size_3=11</v>
      </c>
    </row>
    <row r="159" spans="1:25" x14ac:dyDescent="0.25">
      <c r="A159">
        <v>204</v>
      </c>
      <c r="B159" t="s">
        <v>0</v>
      </c>
      <c r="C159" s="99" t="s">
        <v>392</v>
      </c>
      <c r="D159" s="99">
        <v>0</v>
      </c>
      <c r="E159" s="101">
        <v>588</v>
      </c>
      <c r="F159" s="27">
        <v>591</v>
      </c>
      <c r="G159" s="26"/>
      <c r="H159" s="49" t="str">
        <f>DEC2HEX(I159)</f>
        <v>C4</v>
      </c>
      <c r="I159" s="27">
        <v>196</v>
      </c>
      <c r="J159" s="27" t="str">
        <f>CHAR(I159)</f>
        <v>Ä</v>
      </c>
      <c r="L159">
        <f>IF(ISBLANK(D159),IF(E159&gt;0,F159-E159+1,0),0)</f>
        <v>0</v>
      </c>
      <c r="M159" s="45">
        <f>IF(ISBLANK(D159),0,IF(G159=0,F159-E159+1,0))</f>
        <v>4</v>
      </c>
      <c r="Q159" s="42" t="str">
        <f>C159&amp;IF(ISBLANK(D159),"","=")&amp;D159</f>
        <v>FixedOrFile_4=0</v>
      </c>
      <c r="S159" s="39">
        <v>0</v>
      </c>
      <c r="T159" s="42" t="str">
        <f>C159&amp;IF(ISBLANK(S159),"","=")&amp;S159</f>
        <v>FixedOrFile_4=0</v>
      </c>
      <c r="U159" s="39">
        <v>1</v>
      </c>
      <c r="V159" s="42" t="str">
        <f>C159&amp;IF(ISBLANK(U159),"","=")&amp;U159</f>
        <v>FixedOrFile_4=1</v>
      </c>
    </row>
    <row r="160" spans="1:25" x14ac:dyDescent="0.25">
      <c r="A160">
        <v>200</v>
      </c>
      <c r="B160" t="s">
        <v>0</v>
      </c>
      <c r="C160" s="99" t="s">
        <v>389</v>
      </c>
      <c r="D160" s="99">
        <v>0</v>
      </c>
      <c r="E160" s="100">
        <v>592</v>
      </c>
      <c r="F160" s="26">
        <v>595</v>
      </c>
      <c r="G160" s="26"/>
      <c r="H160" s="49" t="str">
        <f>DEC2HEX(I160)</f>
        <v>C4</v>
      </c>
      <c r="I160" s="27">
        <v>196</v>
      </c>
      <c r="J160" s="27" t="str">
        <f>CHAR(I160)</f>
        <v>Ä</v>
      </c>
      <c r="L160">
        <f>IF(ISBLANK(D160),IF(E160&gt;0,F160-E160+1,0),0)</f>
        <v>0</v>
      </c>
      <c r="M160" s="45">
        <f>IF(ISBLANK(D160),0,IF(G160=0,F160-E160+1,0))</f>
        <v>4</v>
      </c>
      <c r="Q160" s="42" t="str">
        <f>C160&amp;IF(ISBLANK(D160),"","=")&amp;D160</f>
        <v>FixedOrFile_3=0</v>
      </c>
      <c r="S160" s="39">
        <v>0</v>
      </c>
      <c r="T160" s="42" t="str">
        <f>C160&amp;IF(ISBLANK(S160),"","=")&amp;S160</f>
        <v>FixedOrFile_3=0</v>
      </c>
      <c r="U160" s="39">
        <v>1</v>
      </c>
      <c r="V160" s="42" t="str">
        <f>C160&amp;IF(ISBLANK(U160),"","=")&amp;U160</f>
        <v>FixedOrFile_3=1</v>
      </c>
    </row>
    <row r="161" spans="1:25" x14ac:dyDescent="0.25">
      <c r="A161">
        <v>395</v>
      </c>
      <c r="E161" s="41">
        <v>596</v>
      </c>
      <c r="F161" s="40">
        <v>599</v>
      </c>
      <c r="K161" s="109"/>
      <c r="L161">
        <f>IF(ISBLANK(D161),IF(E161&gt;0,F161-E161+1,0),0)</f>
        <v>4</v>
      </c>
      <c r="M161" s="45">
        <f>IF(ISBLANK(D161),0,IF(G161=0,F161-E161+1,0))</f>
        <v>0</v>
      </c>
    </row>
    <row r="162" spans="1:25" x14ac:dyDescent="0.25">
      <c r="A162">
        <v>52</v>
      </c>
      <c r="B162" t="s">
        <v>235</v>
      </c>
      <c r="C162" s="39" t="s">
        <v>340</v>
      </c>
      <c r="D162" s="39">
        <v>2.5399999999999999E-2</v>
      </c>
      <c r="E162" s="26">
        <v>600</v>
      </c>
      <c r="F162" s="26">
        <v>607</v>
      </c>
      <c r="G162" s="26"/>
      <c r="H162" s="49" t="str">
        <f>DEC2HEX(I162)</f>
        <v>A8</v>
      </c>
      <c r="I162" s="27">
        <v>168</v>
      </c>
      <c r="J162" s="27" t="str">
        <f>CHAR(I162)</f>
        <v>¨</v>
      </c>
      <c r="K162" s="109"/>
      <c r="L162">
        <f>IF(ISBLANK(D162),IF(E162&gt;0,F162-E162+1,0),0)</f>
        <v>0</v>
      </c>
      <c r="M162" s="45">
        <f>IF(ISBLANK(D162),0,IF(G162=0,F162-E162+1,0))</f>
        <v>8</v>
      </c>
      <c r="Q162" s="42" t="str">
        <f>C162&amp;IF(ISBLANK(D162),"","=")&amp;D162</f>
        <v>DistancePer360_M4=0.0254</v>
      </c>
      <c r="S162" s="39">
        <v>0.01</v>
      </c>
      <c r="T162" s="42" t="str">
        <f>C162&amp;IF(ISBLANK(S162),"","=")&amp;S162</f>
        <v>DistancePer360_M4=0.01</v>
      </c>
      <c r="U162" s="39">
        <v>45</v>
      </c>
      <c r="V162" s="42" t="str">
        <f>C162&amp;IF(ISBLANK(U162),"","=")&amp;U162</f>
        <v>DistancePer360_M4=45</v>
      </c>
    </row>
    <row r="163" spans="1:25" x14ac:dyDescent="0.25">
      <c r="A163">
        <v>396</v>
      </c>
      <c r="E163" s="41">
        <v>608</v>
      </c>
      <c r="F163" s="41">
        <v>611</v>
      </c>
      <c r="L163">
        <f>IF(ISBLANK(D163),IF(E163&gt;0,F163-E163+1,0),0)</f>
        <v>4</v>
      </c>
      <c r="M163" s="45">
        <f>IF(ISBLANK(D163),0,IF(G163=0,F163-E163+1,0))</f>
        <v>0</v>
      </c>
    </row>
    <row r="164" spans="1:25" s="84" customFormat="1" x14ac:dyDescent="0.25">
      <c r="A164">
        <v>275</v>
      </c>
      <c r="B164" t="s">
        <v>35</v>
      </c>
      <c r="C164" s="39" t="s">
        <v>406</v>
      </c>
      <c r="D164" s="39">
        <v>0.3</v>
      </c>
      <c r="E164" s="26">
        <v>612</v>
      </c>
      <c r="F164" s="26">
        <v>619</v>
      </c>
      <c r="G164" s="26"/>
      <c r="H164" s="49" t="str">
        <f>DEC2HEX(I164)</f>
        <v>C0</v>
      </c>
      <c r="I164" s="27">
        <v>192</v>
      </c>
      <c r="J164" s="27" t="str">
        <f>CHAR(I164)</f>
        <v>À</v>
      </c>
      <c r="K164" s="39"/>
      <c r="L164">
        <f>IF(ISBLANK(D164),IF(E164&gt;0,F164-E164+1,0),0)</f>
        <v>0</v>
      </c>
      <c r="M164" s="45">
        <f>IF(ISBLANK(D164),0,IF(G164=0,F164-E164+1,0))</f>
        <v>8</v>
      </c>
      <c r="N164" s="54"/>
      <c r="O164" s="54"/>
      <c r="P164" s="54"/>
      <c r="Q164" s="42" t="str">
        <f>C164&amp;IF(ISBLANK(D164),"","=")&amp;D164</f>
        <v>Revolutions=0.3</v>
      </c>
      <c r="R164"/>
      <c r="S164" s="39">
        <v>0.5</v>
      </c>
      <c r="T164" s="42" t="str">
        <f>C164&amp;IF(ISBLANK(S164),"","=")&amp;S164</f>
        <v>Revolutions=0.5</v>
      </c>
      <c r="U164" s="39">
        <v>11</v>
      </c>
      <c r="V164" s="42" t="str">
        <f>C164&amp;IF(ISBLANK(U164),"","=")&amp;U164</f>
        <v>Revolutions=11</v>
      </c>
      <c r="W164"/>
      <c r="X164"/>
      <c r="Y164"/>
    </row>
    <row r="165" spans="1:25" x14ac:dyDescent="0.25">
      <c r="A165">
        <v>297</v>
      </c>
      <c r="B165" t="s">
        <v>36</v>
      </c>
      <c r="C165" s="39" t="s">
        <v>419</v>
      </c>
      <c r="D165" s="39">
        <v>1.2</v>
      </c>
      <c r="E165" s="26">
        <v>620</v>
      </c>
      <c r="F165" s="26">
        <v>627</v>
      </c>
      <c r="G165" s="26"/>
      <c r="H165" s="49" t="str">
        <f>DEC2HEX(I165)</f>
        <v>FB</v>
      </c>
      <c r="I165" s="27">
        <v>251</v>
      </c>
      <c r="J165" s="27" t="str">
        <f>CHAR(I165)</f>
        <v>û</v>
      </c>
      <c r="L165">
        <f>IF(ISBLANK(D165),IF(E165&gt;0,F165-E165+1,0),0)</f>
        <v>0</v>
      </c>
      <c r="M165" s="45">
        <f>IF(ISBLANK(D165),0,IF(G165=0,F165-E165+1,0))</f>
        <v>8</v>
      </c>
      <c r="Q165" s="42" t="str">
        <f>C165&amp;IF(ISBLANK(D165),"","=")&amp;D165</f>
        <v>SegmentLength=1.2</v>
      </c>
      <c r="S165" s="39">
        <v>0.01</v>
      </c>
      <c r="T165" s="42" t="str">
        <f>C165&amp;IF(ISBLANK(S165),"","=")&amp;S165</f>
        <v>SegmentLength=0.01</v>
      </c>
      <c r="U165" s="39">
        <v>11</v>
      </c>
      <c r="V165" s="42" t="str">
        <f>C165&amp;IF(ISBLANK(U165),"","=")&amp;U165</f>
        <v>SegmentLength=11</v>
      </c>
    </row>
    <row r="166" spans="1:25" x14ac:dyDescent="0.25">
      <c r="A166">
        <v>276</v>
      </c>
      <c r="B166" t="s">
        <v>35</v>
      </c>
      <c r="C166" s="39" t="s">
        <v>407</v>
      </c>
      <c r="D166" s="39">
        <v>1.258</v>
      </c>
      <c r="E166" s="26">
        <v>628</v>
      </c>
      <c r="F166" s="26">
        <v>635</v>
      </c>
      <c r="G166" s="26"/>
      <c r="H166" s="49" t="str">
        <f>DEC2HEX(I166)</f>
        <v>C1</v>
      </c>
      <c r="I166" s="27">
        <v>193</v>
      </c>
      <c r="J166" s="27" t="str">
        <f>CHAR(I166)</f>
        <v>Á</v>
      </c>
      <c r="L166">
        <f>IF(ISBLANK(D166),IF(E166&gt;0,F166-E166+1,0),0)</f>
        <v>0</v>
      </c>
      <c r="M166" s="45">
        <f>IF(ISBLANK(D166),0,IF(G166=0,F166-E166+1,0))</f>
        <v>8</v>
      </c>
      <c r="Q166" s="42" t="str">
        <f>C166&amp;IF(ISBLANK(D166),"","=")&amp;D166</f>
        <v>Distance=1.258</v>
      </c>
      <c r="S166" s="39">
        <v>0.02</v>
      </c>
      <c r="T166" s="42" t="str">
        <f>C166&amp;IF(ISBLANK(S166),"","=")&amp;S166</f>
        <v>Distance=0.02</v>
      </c>
      <c r="U166" s="39">
        <v>11</v>
      </c>
      <c r="V166" s="42" t="str">
        <f>C166&amp;IF(ISBLANK(U166),"","=")&amp;U166</f>
        <v>Distance=11</v>
      </c>
    </row>
    <row r="167" spans="1:25" x14ac:dyDescent="0.25">
      <c r="A167">
        <v>301</v>
      </c>
      <c r="B167" t="s">
        <v>274</v>
      </c>
      <c r="C167" s="39" t="s">
        <v>417</v>
      </c>
      <c r="D167" s="39">
        <v>8.5</v>
      </c>
      <c r="E167" s="26">
        <v>636</v>
      </c>
      <c r="F167" s="26">
        <v>643</v>
      </c>
      <c r="G167" s="26"/>
      <c r="H167" s="49" t="str">
        <f>DEC2HEX(I167)</f>
        <v>E6</v>
      </c>
      <c r="I167" s="27">
        <v>230</v>
      </c>
      <c r="J167" s="27" t="str">
        <f>CHAR(I167)</f>
        <v>æ</v>
      </c>
      <c r="L167">
        <f>IF(ISBLANK(D167),IF(E167&gt;0,F167-E167+1,0),0)</f>
        <v>0</v>
      </c>
      <c r="M167" s="45">
        <f>IF(ISBLANK(D167),0,IF(G167=0,F167-E167+1,0))</f>
        <v>8</v>
      </c>
      <c r="Q167" s="42" t="str">
        <f>C167&amp;IF(ISBLANK(D167),"","=")&amp;D167</f>
        <v>PatternsPer360=8.5</v>
      </c>
      <c r="S167" s="39">
        <v>2</v>
      </c>
      <c r="T167" s="42" t="str">
        <f>C167&amp;IF(ISBLANK(S167),"","=")&amp;S167</f>
        <v>PatternsPer360=2</v>
      </c>
      <c r="U167" s="39">
        <v>11</v>
      </c>
      <c r="V167" s="42" t="str">
        <f>C167&amp;IF(ISBLANK(U167),"","=")&amp;U167</f>
        <v>PatternsPer360=11</v>
      </c>
    </row>
    <row r="168" spans="1:25" x14ac:dyDescent="0.25">
      <c r="A168">
        <v>158</v>
      </c>
      <c r="B168" t="s">
        <v>236</v>
      </c>
      <c r="C168" s="39" t="s">
        <v>380</v>
      </c>
      <c r="D168" s="39">
        <v>5069</v>
      </c>
      <c r="E168" s="27">
        <v>644</v>
      </c>
      <c r="F168" s="27">
        <v>647</v>
      </c>
      <c r="G168" s="27"/>
      <c r="H168" s="49" t="str">
        <f>DEC2HEX(I168)</f>
        <v>BA</v>
      </c>
      <c r="I168" s="27">
        <v>186</v>
      </c>
      <c r="J168" s="27" t="str">
        <f>CHAR(I168)</f>
        <v>º</v>
      </c>
      <c r="L168">
        <f>IF(ISBLANK(D168),IF(E168&gt;0,F168-E168+1,0),0)</f>
        <v>0</v>
      </c>
      <c r="M168" s="45">
        <f>IF(ISBLANK(D168),0,IF(G168=0,F168-E168+1,0))</f>
        <v>4</v>
      </c>
      <c r="Q168" s="42" t="str">
        <f>C168&amp;IF(ISBLANK(D168),"","=")&amp;D168</f>
        <v>Accel_M4=5069</v>
      </c>
      <c r="S168" s="39">
        <v>20000</v>
      </c>
      <c r="T168" s="42" t="str">
        <f>C168&amp;IF(ISBLANK(S168),"","=")&amp;S168</f>
        <v>Accel_M4=20000</v>
      </c>
      <c r="U168" s="39">
        <v>1000</v>
      </c>
      <c r="V168" s="42" t="str">
        <f>C168&amp;IF(ISBLANK(U168),"","=")&amp;U168</f>
        <v>Accel_M4=1000</v>
      </c>
    </row>
    <row r="169" spans="1:25" x14ac:dyDescent="0.25">
      <c r="A169">
        <v>130</v>
      </c>
      <c r="B169" t="s">
        <v>236</v>
      </c>
      <c r="C169" s="39" t="s">
        <v>354</v>
      </c>
      <c r="D169" s="39">
        <v>20061</v>
      </c>
      <c r="E169" s="26">
        <v>648</v>
      </c>
      <c r="F169" s="26">
        <v>651</v>
      </c>
      <c r="G169" s="26"/>
      <c r="H169" s="49" t="str">
        <f>DEC2HEX(I169)</f>
        <v>3B</v>
      </c>
      <c r="I169" s="27">
        <v>59</v>
      </c>
      <c r="J169" s="27" t="str">
        <f>CHAR(I169)</f>
        <v>;</v>
      </c>
      <c r="L169">
        <f>IF(ISBLANK(D169),IF(E169&gt;0,F169-E169+1,0),0)</f>
        <v>0</v>
      </c>
      <c r="M169" s="45">
        <f>IF(ISBLANK(D169),0,IF(G169=0,F169-E169+1,0))</f>
        <v>4</v>
      </c>
      <c r="Q169" s="42" t="str">
        <f>C169&amp;IF(ISBLANK(D169),"","=")&amp;D169</f>
        <v>Accel_Spindle=20061</v>
      </c>
      <c r="S169" s="39">
        <v>15000</v>
      </c>
      <c r="T169" s="42" t="str">
        <f>C169&amp;IF(ISBLANK(S169),"","=")&amp;S169</f>
        <v>Accel_Spindle=15000</v>
      </c>
      <c r="U169" s="39">
        <v>1000</v>
      </c>
      <c r="V169" s="42" t="str">
        <f>C169&amp;IF(ISBLANK(U169),"","=")&amp;U169</f>
        <v>Accel_Spindle=1000</v>
      </c>
    </row>
    <row r="170" spans="1:25" x14ac:dyDescent="0.25">
      <c r="A170">
        <v>139</v>
      </c>
      <c r="B170" t="s">
        <v>236</v>
      </c>
      <c r="C170" s="39" t="s">
        <v>447</v>
      </c>
      <c r="D170" s="39">
        <v>2.1230000000000002</v>
      </c>
      <c r="E170" s="27">
        <v>652</v>
      </c>
      <c r="F170" s="27">
        <v>659</v>
      </c>
      <c r="G170" s="26"/>
      <c r="H170" s="49" t="str">
        <f>DEC2HEX(I170)</f>
        <v>67</v>
      </c>
      <c r="I170" s="27">
        <v>103</v>
      </c>
      <c r="J170" s="27" t="str">
        <f>CHAR(I170)</f>
        <v>g</v>
      </c>
      <c r="L170">
        <f>IF(ISBLANK(D170),IF(E170&gt;0,F170-E170+1,0),0)</f>
        <v>0</v>
      </c>
      <c r="M170" s="45">
        <f>IF(ISBLANK(D170),0,IF(G170=0,F170-E170+1,0))</f>
        <v>8</v>
      </c>
      <c r="Q170" s="42" t="str">
        <f>C170&amp;IF(ISBLANK(D170),"","=")&amp;D170</f>
        <v>TargetDistance_Z=2.123</v>
      </c>
      <c r="S170" s="39">
        <v>0.2</v>
      </c>
      <c r="T170" s="42" t="str">
        <f>C170&amp;IF(ISBLANK(S170),"","=")&amp;S170</f>
        <v>TargetDistance_Z=0.2</v>
      </c>
      <c r="U170" s="39">
        <v>11</v>
      </c>
      <c r="V170" s="42" t="str">
        <f>C170&amp;IF(ISBLANK(U170),"","=")&amp;U170</f>
        <v>TargetDistance_Z=11</v>
      </c>
    </row>
    <row r="171" spans="1:25" x14ac:dyDescent="0.25">
      <c r="A171">
        <v>397</v>
      </c>
      <c r="E171" s="40">
        <v>660</v>
      </c>
      <c r="F171" s="40">
        <v>663</v>
      </c>
      <c r="H171" s="47"/>
      <c r="I171" s="4"/>
      <c r="J171" s="4"/>
      <c r="L171">
        <f>IF(ISBLANK(D171),IF(E171&gt;0,F171-E171+1,0),0)</f>
        <v>4</v>
      </c>
      <c r="M171" s="45">
        <f>IF(ISBLANK(D171),0,IF(G171=0,F171-E171+1,0))</f>
        <v>0</v>
      </c>
    </row>
    <row r="172" spans="1:25" x14ac:dyDescent="0.25">
      <c r="A172">
        <v>54</v>
      </c>
      <c r="B172" t="s">
        <v>235</v>
      </c>
      <c r="C172" s="39" t="s">
        <v>341</v>
      </c>
      <c r="D172" s="39">
        <v>11.257999999999999</v>
      </c>
      <c r="E172" s="26">
        <v>664</v>
      </c>
      <c r="F172" s="26">
        <v>671</v>
      </c>
      <c r="G172" s="26"/>
      <c r="H172" s="49" t="str">
        <f>DEC2HEX(I172)</f>
        <v>B0</v>
      </c>
      <c r="I172" s="27">
        <v>176</v>
      </c>
      <c r="J172" s="27" t="str">
        <f>CHAR(I172)</f>
        <v>°</v>
      </c>
      <c r="L172">
        <f>IF(ISBLANK(D172),IF(E172&gt;0,F172-E172+1,0),0)</f>
        <v>0</v>
      </c>
      <c r="M172" s="45">
        <f>IF(ISBLANK(D172),0,IF(G172=0,F172-E172+1,0))</f>
        <v>8</v>
      </c>
      <c r="Q172" s="42" t="str">
        <f>C172&amp;IF(ISBLANK(D172),"","=")&amp;D172</f>
        <v>M4Radius=11.258</v>
      </c>
      <c r="S172" s="39">
        <v>5</v>
      </c>
      <c r="T172" s="42" t="str">
        <f>C172&amp;IF(ISBLANK(S172),"","=")&amp;S172</f>
        <v>M4Radius=5</v>
      </c>
      <c r="U172" s="39">
        <v>1</v>
      </c>
      <c r="V172" s="42" t="str">
        <f>C172&amp;IF(ISBLANK(U172),"","=")&amp;U172</f>
        <v>M4Radius=1</v>
      </c>
    </row>
    <row r="173" spans="1:25" x14ac:dyDescent="0.25">
      <c r="A173">
        <v>205</v>
      </c>
      <c r="B173" t="s">
        <v>0</v>
      </c>
      <c r="C173" s="39" t="s">
        <v>393</v>
      </c>
      <c r="D173" s="39">
        <v>180</v>
      </c>
      <c r="E173" s="26">
        <v>672</v>
      </c>
      <c r="F173" s="26">
        <v>679</v>
      </c>
      <c r="G173" s="26"/>
      <c r="H173" s="49" t="str">
        <f>DEC2HEX(I173)</f>
        <v>BF</v>
      </c>
      <c r="I173" s="27">
        <v>191</v>
      </c>
      <c r="J173" s="27" t="str">
        <f>CHAR(I173)</f>
        <v>¿</v>
      </c>
      <c r="L173">
        <f>IF(ISBLANK(D173),IF(E173&gt;0,F173-E173+1,0),0)</f>
        <v>0</v>
      </c>
      <c r="M173" s="45">
        <f>IF(ISBLANK(D173),0,IF(G173=0,F173-E173+1,0))</f>
        <v>8</v>
      </c>
      <c r="Q173" s="42" t="str">
        <f>C173&amp;IF(ISBLANK(D173),"","=")&amp;D173</f>
        <v>Size_4=180</v>
      </c>
      <c r="S173" s="39">
        <v>4</v>
      </c>
      <c r="T173" s="42" t="str">
        <f>C173&amp;IF(ISBLANK(S173),"","=")&amp;S173</f>
        <v>Size_4=4</v>
      </c>
      <c r="U173" s="39">
        <v>11</v>
      </c>
      <c r="V173" s="42" t="str">
        <f>C173&amp;IF(ISBLANK(U173),"","=")&amp;U173</f>
        <v>Size_4=11</v>
      </c>
    </row>
    <row r="174" spans="1:25" x14ac:dyDescent="0.25">
      <c r="A174">
        <v>209</v>
      </c>
      <c r="B174" t="s">
        <v>0</v>
      </c>
      <c r="C174" s="39" t="s">
        <v>396</v>
      </c>
      <c r="D174" s="39">
        <v>45</v>
      </c>
      <c r="E174" s="27">
        <v>680</v>
      </c>
      <c r="F174" s="27">
        <v>687</v>
      </c>
      <c r="G174" s="26"/>
      <c r="H174" s="49" t="str">
        <f>DEC2HEX(I174)</f>
        <v>BF</v>
      </c>
      <c r="I174" s="27">
        <v>191</v>
      </c>
      <c r="J174" s="27" t="str">
        <f>CHAR(I174)</f>
        <v>¿</v>
      </c>
      <c r="L174">
        <f>IF(ISBLANK(D174),IF(E174&gt;0,F174-E174+1,0),0)</f>
        <v>0</v>
      </c>
      <c r="M174" s="45">
        <f>IF(ISBLANK(D174),0,IF(G174=0,F174-E174+1,0))</f>
        <v>8</v>
      </c>
      <c r="Q174" s="42" t="str">
        <f>C174&amp;IF(ISBLANK(D174),"","=")&amp;D174</f>
        <v>Size_5=45</v>
      </c>
      <c r="S174" s="39">
        <v>5</v>
      </c>
      <c r="T174" s="42" t="str">
        <f>C174&amp;IF(ISBLANK(S174),"","=")&amp;S174</f>
        <v>Size_5=5</v>
      </c>
      <c r="U174" s="39">
        <v>111</v>
      </c>
      <c r="V174" s="42" t="str">
        <f>C174&amp;IF(ISBLANK(U174),"","=")&amp;U174</f>
        <v>Size_5=111</v>
      </c>
    </row>
    <row r="175" spans="1:25" x14ac:dyDescent="0.25">
      <c r="A175">
        <v>45</v>
      </c>
      <c r="B175" t="s">
        <v>234</v>
      </c>
      <c r="C175" s="39" t="s">
        <v>335</v>
      </c>
      <c r="D175" s="39">
        <v>5.1239999999999997</v>
      </c>
      <c r="E175" s="26">
        <v>688</v>
      </c>
      <c r="F175" s="26">
        <v>695</v>
      </c>
      <c r="G175" s="26"/>
      <c r="H175" s="52" t="str">
        <f>DEC2HEX(I175)</f>
        <v>FE</v>
      </c>
      <c r="I175" s="53">
        <v>254</v>
      </c>
      <c r="J175" s="53" t="str">
        <f>CHAR(I175)</f>
        <v>þ</v>
      </c>
      <c r="L175">
        <f>IF(ISBLANK(D175),IF(E175&gt;0,F175-E175+1,0),0)</f>
        <v>0</v>
      </c>
      <c r="M175" s="45">
        <f>IF(ISBLANK(D175),0,IF(G175=0,F175-E175+1,0))</f>
        <v>8</v>
      </c>
      <c r="Q175" s="42" t="str">
        <f>C175&amp;IF(ISBLANK(D175),"","=")&amp;D175</f>
        <v>M3Radius=5.124</v>
      </c>
      <c r="S175" s="39">
        <v>5</v>
      </c>
      <c r="T175" s="42" t="str">
        <f>C175&amp;IF(ISBLANK(S175),"","=")&amp;S175</f>
        <v>M3Radius=5</v>
      </c>
      <c r="U175" s="39">
        <v>65</v>
      </c>
      <c r="V175" s="42" t="str">
        <f>C175&amp;IF(ISBLANK(U175),"","=")&amp;U175</f>
        <v>M3Radius=65</v>
      </c>
    </row>
    <row r="176" spans="1:25" x14ac:dyDescent="0.25">
      <c r="A176">
        <v>314</v>
      </c>
      <c r="B176" t="s">
        <v>233</v>
      </c>
      <c r="C176" s="39" t="s">
        <v>423</v>
      </c>
      <c r="D176" s="39">
        <v>3.125</v>
      </c>
      <c r="E176" s="26">
        <v>696</v>
      </c>
      <c r="F176" s="26">
        <v>703</v>
      </c>
      <c r="G176" s="26"/>
      <c r="H176" s="49" t="str">
        <f>DEC2HEX(I176)</f>
        <v>61</v>
      </c>
      <c r="I176" s="27">
        <v>97</v>
      </c>
      <c r="J176" s="27" t="str">
        <f>CHAR(I176)</f>
        <v>a</v>
      </c>
      <c r="L176">
        <f>IF(ISBLANK(D176),IF(E176&gt;0,F176-E176+1,0),0)</f>
        <v>0</v>
      </c>
      <c r="M176" s="45">
        <f>IF(ISBLANK(D176),0,IF(G176=0,F176-E176+1,0))</f>
        <v>8</v>
      </c>
      <c r="Q176" s="42" t="str">
        <f>C176&amp;IF(ISBLANK(D176),"","=")&amp;D176</f>
        <v>SpindleRevolutions=3.125</v>
      </c>
      <c r="S176" s="39">
        <v>0</v>
      </c>
      <c r="T176" s="42" t="str">
        <f>C176&amp;IF(ISBLANK(S176),"","=")&amp;S176</f>
        <v>SpindleRevolutions=0</v>
      </c>
      <c r="U176" s="39">
        <v>11</v>
      </c>
      <c r="V176" s="42" t="str">
        <f>C176&amp;IF(ISBLANK(U176),"","=")&amp;U176</f>
        <v>SpindleRevolutions=11</v>
      </c>
    </row>
    <row r="177" spans="1:22" x14ac:dyDescent="0.25">
      <c r="A177">
        <v>398</v>
      </c>
      <c r="E177" s="41">
        <v>704</v>
      </c>
      <c r="F177" s="41">
        <v>707</v>
      </c>
      <c r="L177">
        <f>IF(ISBLANK(D177),IF(E177&gt;0,F177-E177+1,0),0)</f>
        <v>4</v>
      </c>
      <c r="M177" s="45">
        <f>IF(ISBLANK(D177),0,IF(G177=0,F177-E177+1,0))</f>
        <v>0</v>
      </c>
    </row>
    <row r="178" spans="1:22" x14ac:dyDescent="0.25">
      <c r="A178">
        <v>196</v>
      </c>
      <c r="B178" t="s">
        <v>0</v>
      </c>
      <c r="C178" s="99" t="s">
        <v>386</v>
      </c>
      <c r="D178" s="99">
        <v>0</v>
      </c>
      <c r="E178" s="100">
        <v>708</v>
      </c>
      <c r="F178" s="26">
        <v>711</v>
      </c>
      <c r="G178" s="26"/>
      <c r="H178" s="49" t="str">
        <f>DEC2HEX(I178)</f>
        <v>C4</v>
      </c>
      <c r="I178" s="27">
        <v>196</v>
      </c>
      <c r="J178" s="27" t="str">
        <f>CHAR(I178)</f>
        <v>Ä</v>
      </c>
      <c r="L178">
        <f>IF(ISBLANK(D178),IF(E178&gt;0,F178-E178+1,0),0)</f>
        <v>0</v>
      </c>
      <c r="M178" s="45">
        <f>IF(ISBLANK(D178),0,IF(G178=0,F178-E178+1,0))</f>
        <v>4</v>
      </c>
      <c r="Q178" s="42" t="str">
        <f>C178&amp;IF(ISBLANK(D178),"","=")&amp;D178</f>
        <v>FixedOrFile_2=0</v>
      </c>
      <c r="S178" s="39">
        <v>0</v>
      </c>
      <c r="T178" s="42" t="str">
        <f>C178&amp;IF(ISBLANK(S178),"","=")&amp;S178</f>
        <v>FixedOrFile_2=0</v>
      </c>
      <c r="U178" s="39">
        <v>1</v>
      </c>
      <c r="V178" s="42" t="str">
        <f>C178&amp;IF(ISBLANK(U178),"","=")&amp;U178</f>
        <v>FixedOrFile_2=1</v>
      </c>
    </row>
    <row r="179" spans="1:22" x14ac:dyDescent="0.25">
      <c r="A179">
        <v>134</v>
      </c>
      <c r="B179" t="s">
        <v>236</v>
      </c>
      <c r="C179" s="99" t="s">
        <v>567</v>
      </c>
      <c r="D179" s="99">
        <v>2</v>
      </c>
      <c r="E179" s="102">
        <v>712</v>
      </c>
      <c r="F179" s="51">
        <v>715</v>
      </c>
      <c r="G179" s="26"/>
      <c r="H179" s="49" t="str">
        <f>DEC2HEX(I179)</f>
        <v>C2</v>
      </c>
      <c r="I179" s="27">
        <v>194</v>
      </c>
      <c r="J179" s="27" t="str">
        <f>CHAR(I179)</f>
        <v>Â</v>
      </c>
      <c r="L179">
        <f>IF(ISBLANK(D179),IF(E179&gt;0,F179-E179+1,0),0)</f>
        <v>0</v>
      </c>
      <c r="M179" s="45">
        <f>IF(ISBLANK(D179),0,IF(G179=0,F179-E179+1,0))</f>
        <v>4</v>
      </c>
      <c r="Q179" s="42" t="str">
        <f>C179&amp;IF(ISBLANK(D179),"","=")&amp;D179</f>
        <v>Direction_Spindle=2</v>
      </c>
      <c r="S179" s="39">
        <v>2</v>
      </c>
      <c r="T179" s="42" t="str">
        <f>C179&amp;IF(ISBLANK(S179),"","=")&amp;S179</f>
        <v>Direction_Spindle=2</v>
      </c>
      <c r="U179" s="39">
        <v>3</v>
      </c>
      <c r="V179" s="42" t="str">
        <f>C179&amp;IF(ISBLANK(U179),"","=")&amp;U179</f>
        <v>Direction_Spindle=3</v>
      </c>
    </row>
    <row r="180" spans="1:22" x14ac:dyDescent="0.25">
      <c r="A180">
        <v>141</v>
      </c>
      <c r="B180" t="s">
        <v>236</v>
      </c>
      <c r="C180" s="99" t="s">
        <v>568</v>
      </c>
      <c r="D180" s="99">
        <v>2</v>
      </c>
      <c r="E180" s="101">
        <v>716</v>
      </c>
      <c r="F180" s="27">
        <v>719</v>
      </c>
      <c r="G180" s="26"/>
      <c r="H180" s="49" t="str">
        <f>DEC2HEX(I180)</f>
        <v>C2</v>
      </c>
      <c r="I180" s="27">
        <v>194</v>
      </c>
      <c r="J180" s="27" t="str">
        <f>CHAR(I180)</f>
        <v>Â</v>
      </c>
      <c r="L180">
        <f>IF(ISBLANK(D180),IF(E180&gt;0,F180-E180+1,0),0)</f>
        <v>0</v>
      </c>
      <c r="M180" s="45">
        <f>IF(ISBLANK(D180),0,IF(G180=0,F180-E180+1,0))</f>
        <v>4</v>
      </c>
      <c r="Q180" s="42" t="str">
        <f>C180&amp;IF(ISBLANK(D180),"","=")&amp;D180</f>
        <v>Direction_Z=2</v>
      </c>
      <c r="S180" s="39">
        <v>2</v>
      </c>
      <c r="T180" s="42" t="str">
        <f>C180&amp;IF(ISBLANK(S180),"","=")&amp;S180</f>
        <v>Direction_Z=2</v>
      </c>
      <c r="U180" s="39">
        <v>3</v>
      </c>
      <c r="V180" s="42" t="str">
        <f>C180&amp;IF(ISBLANK(U180),"","=")&amp;U180</f>
        <v>Direction_Z=3</v>
      </c>
    </row>
    <row r="181" spans="1:22" x14ac:dyDescent="0.25">
      <c r="A181">
        <v>148</v>
      </c>
      <c r="B181" t="s">
        <v>236</v>
      </c>
      <c r="C181" s="99" t="s">
        <v>569</v>
      </c>
      <c r="D181" s="99">
        <v>3</v>
      </c>
      <c r="E181" s="100">
        <v>720</v>
      </c>
      <c r="F181" s="26">
        <v>723</v>
      </c>
      <c r="G181" s="26"/>
      <c r="H181" s="49" t="str">
        <f>DEC2HEX(I181)</f>
        <v>C2</v>
      </c>
      <c r="I181" s="27">
        <v>194</v>
      </c>
      <c r="J181" s="27" t="str">
        <f>CHAR(I181)</f>
        <v>Â</v>
      </c>
      <c r="L181">
        <f>IF(ISBLANK(D181),IF(E181&gt;0,F181-E181+1,0),0)</f>
        <v>0</v>
      </c>
      <c r="M181" s="45">
        <f>IF(ISBLANK(D181),0,IF(G181=0,F181-E181+1,0))</f>
        <v>4</v>
      </c>
      <c r="Q181" s="42" t="str">
        <f>C181&amp;IF(ISBLANK(D181),"","=")&amp;D181</f>
        <v>Direction_X=3</v>
      </c>
      <c r="S181" s="39">
        <v>3</v>
      </c>
      <c r="T181" s="42" t="str">
        <f>C181&amp;IF(ISBLANK(S181),"","=")&amp;S181</f>
        <v>Direction_X=3</v>
      </c>
      <c r="U181" s="39">
        <v>2</v>
      </c>
      <c r="V181" s="42" t="str">
        <f>C181&amp;IF(ISBLANK(U181),"","=")&amp;U181</f>
        <v>Direction_X=2</v>
      </c>
    </row>
    <row r="182" spans="1:22" x14ac:dyDescent="0.25">
      <c r="A182">
        <v>155</v>
      </c>
      <c r="B182" t="s">
        <v>236</v>
      </c>
      <c r="C182" s="99" t="s">
        <v>570</v>
      </c>
      <c r="D182" s="99">
        <v>2</v>
      </c>
      <c r="E182" s="100">
        <v>724</v>
      </c>
      <c r="F182" s="26">
        <v>727</v>
      </c>
      <c r="G182" s="26"/>
      <c r="H182" s="49" t="str">
        <f>DEC2HEX(I182)</f>
        <v>C2</v>
      </c>
      <c r="I182" s="27">
        <v>194</v>
      </c>
      <c r="J182" s="27" t="str">
        <f>CHAR(I182)</f>
        <v>Â</v>
      </c>
      <c r="L182">
        <f>IF(ISBLANK(D182),IF(E182&gt;0,F182-E182+1,0),0)</f>
        <v>0</v>
      </c>
      <c r="M182" s="45">
        <f>IF(ISBLANK(D182),0,IF(G182=0,F182-E182+1,0))</f>
        <v>4</v>
      </c>
      <c r="Q182" s="42" t="str">
        <f>C182&amp;IF(ISBLANK(D182),"","=")&amp;D182</f>
        <v>Direction_M3=2</v>
      </c>
      <c r="S182" s="39">
        <v>2</v>
      </c>
      <c r="T182" s="42" t="str">
        <f>C182&amp;IF(ISBLANK(S182),"","=")&amp;S182</f>
        <v>Direction_M3=2</v>
      </c>
      <c r="U182" s="39">
        <v>3</v>
      </c>
      <c r="V182" s="42" t="str">
        <f>C182&amp;IF(ISBLANK(U182),"","=")&amp;U182</f>
        <v>Direction_M3=3</v>
      </c>
    </row>
    <row r="183" spans="1:22" x14ac:dyDescent="0.25">
      <c r="A183">
        <v>162</v>
      </c>
      <c r="B183" t="s">
        <v>236</v>
      </c>
      <c r="C183" s="99" t="s">
        <v>571</v>
      </c>
      <c r="D183" s="99">
        <v>3</v>
      </c>
      <c r="E183" s="100">
        <v>728</v>
      </c>
      <c r="F183" s="26">
        <v>731</v>
      </c>
      <c r="G183" s="26"/>
      <c r="H183" s="49" t="str">
        <f>DEC2HEX(I183)</f>
        <v>C2</v>
      </c>
      <c r="I183" s="27">
        <v>194</v>
      </c>
      <c r="J183" s="27" t="str">
        <f>CHAR(I183)</f>
        <v>Â</v>
      </c>
      <c r="L183">
        <f>IF(ISBLANK(D183),IF(E183&gt;0,F183-E183+1,0),0)</f>
        <v>0</v>
      </c>
      <c r="M183" s="45">
        <f>IF(ISBLANK(D183),0,IF(G183=0,F183-E183+1,0))</f>
        <v>4</v>
      </c>
      <c r="Q183" s="42" t="str">
        <f>C183&amp;IF(ISBLANK(D183),"","=")&amp;D183</f>
        <v>Direction_M4=3</v>
      </c>
      <c r="S183" s="39">
        <v>3</v>
      </c>
      <c r="T183" s="42" t="str">
        <f>C183&amp;IF(ISBLANK(S183),"","=")&amp;S183</f>
        <v>Direction_M4=3</v>
      </c>
      <c r="U183" s="39">
        <v>2</v>
      </c>
      <c r="V183" s="42" t="str">
        <f>C183&amp;IF(ISBLANK(U183),"","=")&amp;U183</f>
        <v>Direction_M4=2</v>
      </c>
    </row>
    <row r="184" spans="1:22" x14ac:dyDescent="0.25">
      <c r="A184">
        <v>400</v>
      </c>
      <c r="E184" s="41">
        <v>732</v>
      </c>
      <c r="F184" s="41">
        <v>735</v>
      </c>
      <c r="L184">
        <f>IF(ISBLANK(D184),IF(E184&gt;0,F184-E184+1,0),0)</f>
        <v>4</v>
      </c>
      <c r="M184" s="45">
        <f>IF(ISBLANK(D184),0,IF(G184=0,F184-E184+1,0))</f>
        <v>0</v>
      </c>
    </row>
    <row r="185" spans="1:22" x14ac:dyDescent="0.25">
      <c r="A185">
        <v>401</v>
      </c>
      <c r="E185" s="40">
        <v>736</v>
      </c>
      <c r="F185" s="40">
        <v>739</v>
      </c>
      <c r="L185">
        <f>IF(ISBLANK(D185),IF(E185&gt;0,F185-E185+1,0),0)</f>
        <v>4</v>
      </c>
      <c r="M185" s="45">
        <f>IF(ISBLANK(D185),0,IF(G185=0,F185-E185+1,0))</f>
        <v>0</v>
      </c>
    </row>
    <row r="186" spans="1:22" x14ac:dyDescent="0.25">
      <c r="A186">
        <v>287</v>
      </c>
      <c r="B186" t="s">
        <v>439</v>
      </c>
      <c r="C186" s="39" t="s">
        <v>413</v>
      </c>
      <c r="D186" s="39">
        <v>4</v>
      </c>
      <c r="E186" s="27">
        <v>740</v>
      </c>
      <c r="F186" s="27">
        <v>743</v>
      </c>
      <c r="G186" s="26"/>
      <c r="H186" s="49" t="str">
        <f>DEC2HEX(I186)</f>
        <v>CB</v>
      </c>
      <c r="I186" s="27">
        <v>203</v>
      </c>
      <c r="J186" s="27" t="str">
        <f>CHAR(I186)</f>
        <v>Ë</v>
      </c>
      <c r="L186">
        <f>IF(ISBLANK(D186),IF(E186&gt;0,F186-E186+1,0),0)</f>
        <v>0</v>
      </c>
      <c r="M186" s="45">
        <f>IF(ISBLANK(D186),0,IF(G186=0,F186-E186+1,0))</f>
        <v>4</v>
      </c>
      <c r="Q186" s="42" t="str">
        <f>C186&amp;IF(ISBLANK(D186),"","=")&amp;D186</f>
        <v>Axial_Waves=4</v>
      </c>
      <c r="S186" s="39">
        <v>2</v>
      </c>
      <c r="T186" s="42" t="str">
        <f>C186&amp;IF(ISBLANK(S186),"","=")&amp;S186</f>
        <v>Axial_Waves=2</v>
      </c>
      <c r="U186" s="39">
        <v>11</v>
      </c>
      <c r="V186" s="42" t="str">
        <f>C186&amp;IF(ISBLANK(U186),"","=")&amp;U186</f>
        <v>Axial_Waves=11</v>
      </c>
    </row>
    <row r="187" spans="1:22" x14ac:dyDescent="0.25">
      <c r="A187">
        <v>288</v>
      </c>
      <c r="B187" t="s">
        <v>439</v>
      </c>
      <c r="C187" s="39" t="s">
        <v>414</v>
      </c>
      <c r="D187" s="39">
        <v>22.257999999999999</v>
      </c>
      <c r="E187" s="27">
        <v>744</v>
      </c>
      <c r="F187" s="27">
        <v>751</v>
      </c>
      <c r="G187" s="26"/>
      <c r="H187" s="49" t="str">
        <f>DEC2HEX(I187)</f>
        <v>CC</v>
      </c>
      <c r="I187" s="27">
        <v>204</v>
      </c>
      <c r="J187" s="27" t="str">
        <f>CHAR(I187)</f>
        <v>Ì</v>
      </c>
      <c r="L187">
        <f>IF(ISBLANK(D187),IF(E187&gt;0,F187-E187+1,0),0)</f>
        <v>0</v>
      </c>
      <c r="M187" s="45">
        <f>IF(ISBLANK(D187),0,IF(G187=0,F187-E187+1,0))</f>
        <v>8</v>
      </c>
      <c r="Q187" s="42" t="str">
        <f>C187&amp;IF(ISBLANK(D187),"","=")&amp;D187</f>
        <v>Axial_Spindle_Amplitude=22.258</v>
      </c>
      <c r="S187" s="39">
        <v>20</v>
      </c>
      <c r="T187" s="42" t="str">
        <f>C187&amp;IF(ISBLANK(S187),"","=")&amp;S187</f>
        <v>Axial_Spindle_Amplitude=20</v>
      </c>
      <c r="U187" s="39">
        <v>11</v>
      </c>
      <c r="V187" s="42" t="str">
        <f>C187&amp;IF(ISBLANK(U187),"","=")&amp;U187</f>
        <v>Axial_Spindle_Amplitude=11</v>
      </c>
    </row>
    <row r="188" spans="1:22" x14ac:dyDescent="0.25">
      <c r="A188">
        <v>402</v>
      </c>
      <c r="E188" s="40">
        <v>752</v>
      </c>
      <c r="F188" s="40">
        <v>755</v>
      </c>
      <c r="L188">
        <f>IF(ISBLANK(D188),IF(E188&gt;0,F188-E188+1,0),0)</f>
        <v>4</v>
      </c>
      <c r="M188" s="45">
        <f>IF(ISBLANK(D188),0,IF(G188=0,F188-E188+1,0))</f>
        <v>0</v>
      </c>
    </row>
    <row r="189" spans="1:22" x14ac:dyDescent="0.25">
      <c r="A189">
        <v>302</v>
      </c>
      <c r="B189" t="s">
        <v>274</v>
      </c>
      <c r="C189" s="39" t="s">
        <v>418</v>
      </c>
      <c r="D189" s="39">
        <v>12</v>
      </c>
      <c r="E189" s="27">
        <v>756</v>
      </c>
      <c r="F189" s="27">
        <v>759</v>
      </c>
      <c r="G189" s="26"/>
      <c r="H189" s="49" t="str">
        <f>DEC2HEX(I189)</f>
        <v>4D</v>
      </c>
      <c r="I189" s="27">
        <v>77</v>
      </c>
      <c r="J189" s="27" t="str">
        <f>CHAR(I189)</f>
        <v>M</v>
      </c>
      <c r="L189">
        <f>IF(ISBLANK(D189),IF(E189&gt;0,F189-E189+1,0),0)</f>
        <v>0</v>
      </c>
      <c r="M189" s="45">
        <f>IF(ISBLANK(D189),0,IF(G189=0,F189-E189+1,0))</f>
        <v>4</v>
      </c>
      <c r="Q189" s="42" t="str">
        <f>C189&amp;IF(ISBLANK(D189),"","=")&amp;D189</f>
        <v>PatternCount=12</v>
      </c>
      <c r="S189" s="39">
        <v>2</v>
      </c>
      <c r="T189" s="42" t="str">
        <f>C189&amp;IF(ISBLANK(S189),"","=")&amp;S189</f>
        <v>PatternCount=2</v>
      </c>
      <c r="U189" s="39">
        <v>11</v>
      </c>
      <c r="V189" s="42" t="str">
        <f>C189&amp;IF(ISBLANK(U189),"","=")&amp;U189</f>
        <v>PatternCount=11</v>
      </c>
    </row>
    <row r="190" spans="1:22" x14ac:dyDescent="0.25">
      <c r="A190">
        <v>79</v>
      </c>
      <c r="B190" t="s">
        <v>184</v>
      </c>
      <c r="C190" s="39" t="s">
        <v>353</v>
      </c>
      <c r="D190" s="39">
        <v>30000</v>
      </c>
      <c r="E190" s="26">
        <v>760</v>
      </c>
      <c r="F190" s="26">
        <v>763</v>
      </c>
      <c r="G190" s="26"/>
      <c r="H190" s="49" t="str">
        <f>DEC2HEX(I190)</f>
        <v>E8</v>
      </c>
      <c r="I190" s="27">
        <v>232</v>
      </c>
      <c r="J190" s="27" t="str">
        <f>CHAR(I190)</f>
        <v>è</v>
      </c>
      <c r="L190">
        <f>IF(ISBLANK(D190),IF(E190&gt;0,F190-E190+1,0),0)</f>
        <v>0</v>
      </c>
      <c r="M190" s="45">
        <f>IF(ISBLANK(D190),0,IF(G190=0,F190-E190+1,0))</f>
        <v>4</v>
      </c>
      <c r="Q190" s="42" t="str">
        <f>C190&amp;IF(ISBLANK(D190),"","=")&amp;D190</f>
        <v>MaxSpeed_Spindle=30000</v>
      </c>
      <c r="S190" s="39">
        <v>30000</v>
      </c>
      <c r="T190" s="42" t="str">
        <f>C190&amp;IF(ISBLANK(S190),"","=")&amp;S190</f>
        <v>MaxSpeed_Spindle=30000</v>
      </c>
      <c r="U190" s="39">
        <v>1000</v>
      </c>
      <c r="V190" s="42" t="str">
        <f>C190&amp;IF(ISBLANK(U190),"","=")&amp;U190</f>
        <v>MaxSpeed_Spindle=1000</v>
      </c>
    </row>
    <row r="191" spans="1:22" x14ac:dyDescent="0.25">
      <c r="A191">
        <v>80</v>
      </c>
      <c r="B191" t="s">
        <v>184</v>
      </c>
      <c r="C191" s="39" t="s">
        <v>354</v>
      </c>
      <c r="D191" s="39">
        <v>15000</v>
      </c>
      <c r="E191" s="27">
        <v>764</v>
      </c>
      <c r="F191" s="27">
        <v>767</v>
      </c>
      <c r="G191" s="26"/>
      <c r="H191" s="49" t="str">
        <f>DEC2HEX(I191)</f>
        <v>E9</v>
      </c>
      <c r="I191" s="27">
        <v>233</v>
      </c>
      <c r="J191" s="27" t="str">
        <f>CHAR(I191)</f>
        <v>é</v>
      </c>
      <c r="L191">
        <f>IF(ISBLANK(D191),IF(E191&gt;0,F191-E191+1,0),0)</f>
        <v>0</v>
      </c>
      <c r="M191" s="45">
        <f>IF(ISBLANK(D191),0,IF(G191=0,F191-E191+1,0))</f>
        <v>4</v>
      </c>
      <c r="Q191" s="42" t="str">
        <f>C191&amp;IF(ISBLANK(D191),"","=")&amp;D191</f>
        <v>Accel_Spindle=15000</v>
      </c>
      <c r="S191" s="39">
        <v>15000</v>
      </c>
      <c r="T191" s="42" t="str">
        <f>C191&amp;IF(ISBLANK(S191),"","=")&amp;S191</f>
        <v>Accel_Spindle=15000</v>
      </c>
      <c r="U191" s="39">
        <v>1000</v>
      </c>
      <c r="V191" s="42" t="str">
        <f>C191&amp;IF(ISBLANK(U191),"","=")&amp;U191</f>
        <v>Accel_Spindle=1000</v>
      </c>
    </row>
    <row r="192" spans="1:22" x14ac:dyDescent="0.25">
      <c r="A192">
        <v>81</v>
      </c>
      <c r="B192" t="s">
        <v>184</v>
      </c>
      <c r="C192" s="39" t="s">
        <v>355</v>
      </c>
      <c r="D192" s="39">
        <v>30000</v>
      </c>
      <c r="E192" s="26">
        <v>768</v>
      </c>
      <c r="F192" s="26">
        <v>771</v>
      </c>
      <c r="G192" s="26"/>
      <c r="H192" s="49" t="str">
        <f>DEC2HEX(I192)</f>
        <v>EA</v>
      </c>
      <c r="I192" s="27">
        <v>234</v>
      </c>
      <c r="J192" s="27" t="str">
        <f>CHAR(I192)</f>
        <v>ê</v>
      </c>
      <c r="L192">
        <f>IF(ISBLANK(D192),IF(E192&gt;0,F192-E192+1,0),0)</f>
        <v>0</v>
      </c>
      <c r="M192" s="45">
        <f>IF(ISBLANK(D192),0,IF(G192=0,F192-E192+1,0))</f>
        <v>4</v>
      </c>
      <c r="Q192" s="42" t="str">
        <f>C192&amp;IF(ISBLANK(D192),"","=")&amp;D192</f>
        <v>MaxSpeed_Axis_Z=30000</v>
      </c>
      <c r="S192" s="39">
        <v>30000</v>
      </c>
      <c r="T192" s="42" t="str">
        <f>C192&amp;IF(ISBLANK(S192),"","=")&amp;S192</f>
        <v>MaxSpeed_Axis_Z=30000</v>
      </c>
      <c r="U192" s="39">
        <v>1000</v>
      </c>
      <c r="V192" s="42" t="str">
        <f>C192&amp;IF(ISBLANK(U192),"","=")&amp;U192</f>
        <v>MaxSpeed_Axis_Z=1000</v>
      </c>
    </row>
    <row r="193" spans="1:25" x14ac:dyDescent="0.25">
      <c r="A193">
        <v>82</v>
      </c>
      <c r="B193" t="s">
        <v>184</v>
      </c>
      <c r="C193" s="39" t="s">
        <v>356</v>
      </c>
      <c r="D193" s="39">
        <v>15000</v>
      </c>
      <c r="E193" s="26">
        <v>772</v>
      </c>
      <c r="F193" s="26">
        <v>775</v>
      </c>
      <c r="G193" s="26"/>
      <c r="H193" s="49" t="str">
        <f>DEC2HEX(I193)</f>
        <v>EB</v>
      </c>
      <c r="I193" s="27">
        <v>235</v>
      </c>
      <c r="J193" s="27" t="str">
        <f>CHAR(I193)</f>
        <v>ë</v>
      </c>
      <c r="L193">
        <f>IF(ISBLANK(D193),IF(E193&gt;0,F193-E193+1,0),0)</f>
        <v>0</v>
      </c>
      <c r="M193" s="45">
        <f>IF(ISBLANK(D193),0,IF(G193=0,F193-E193+1,0))</f>
        <v>4</v>
      </c>
      <c r="Q193" s="42" t="str">
        <f>C193&amp;IF(ISBLANK(D193),"","=")&amp;D193</f>
        <v>Accel_Axis_Z=15000</v>
      </c>
      <c r="S193" s="39">
        <v>15000</v>
      </c>
      <c r="T193" s="42" t="str">
        <f>C193&amp;IF(ISBLANK(S193),"","=")&amp;S193</f>
        <v>Accel_Axis_Z=15000</v>
      </c>
      <c r="U193" s="39">
        <v>1000</v>
      </c>
      <c r="V193" s="42" t="str">
        <f>C193&amp;IF(ISBLANK(U193),"","=")&amp;U193</f>
        <v>Accel_Axis_Z=1000</v>
      </c>
    </row>
    <row r="194" spans="1:25" x14ac:dyDescent="0.25">
      <c r="A194">
        <v>85</v>
      </c>
      <c r="B194" t="s">
        <v>184</v>
      </c>
      <c r="C194" s="39" t="s">
        <v>359</v>
      </c>
      <c r="D194" s="39">
        <v>30000</v>
      </c>
      <c r="E194" s="26">
        <v>776</v>
      </c>
      <c r="F194" s="26">
        <v>779</v>
      </c>
      <c r="G194" s="26"/>
      <c r="H194" s="49" t="str">
        <f>DEC2HEX(I194)</f>
        <v>EA</v>
      </c>
      <c r="I194" s="27">
        <v>234</v>
      </c>
      <c r="J194" s="27" t="str">
        <f>CHAR(I194)</f>
        <v>ê</v>
      </c>
      <c r="L194">
        <f>IF(ISBLANK(D194),IF(E194&gt;0,F194-E194+1,0),0)</f>
        <v>0</v>
      </c>
      <c r="M194" s="45">
        <f>IF(ISBLANK(D194),0,IF(G194=0,F194-E194+1,0))</f>
        <v>4</v>
      </c>
      <c r="Q194" s="42" t="str">
        <f>C194&amp;IF(ISBLANK(D194),"","=")&amp;D194</f>
        <v>MaxSpeed_Axis_M3=30000</v>
      </c>
      <c r="S194" s="39">
        <v>30000</v>
      </c>
      <c r="T194" s="42" t="str">
        <f>C194&amp;IF(ISBLANK(S194),"","=")&amp;S194</f>
        <v>MaxSpeed_Axis_M3=30000</v>
      </c>
      <c r="U194" s="39">
        <v>1000</v>
      </c>
      <c r="V194" s="42" t="str">
        <f>C194&amp;IF(ISBLANK(U194),"","=")&amp;U194</f>
        <v>MaxSpeed_Axis_M3=1000</v>
      </c>
    </row>
    <row r="195" spans="1:25" x14ac:dyDescent="0.25">
      <c r="A195">
        <v>86</v>
      </c>
      <c r="B195" t="s">
        <v>184</v>
      </c>
      <c r="C195" s="39" t="s">
        <v>360</v>
      </c>
      <c r="D195" s="39">
        <v>15000</v>
      </c>
      <c r="E195" s="26">
        <v>780</v>
      </c>
      <c r="F195" s="26">
        <v>783</v>
      </c>
      <c r="G195" s="26"/>
      <c r="H195" s="49" t="str">
        <f>DEC2HEX(I195)</f>
        <v>EB</v>
      </c>
      <c r="I195" s="27">
        <v>235</v>
      </c>
      <c r="J195" s="27" t="str">
        <f>CHAR(I195)</f>
        <v>ë</v>
      </c>
      <c r="L195">
        <f>IF(ISBLANK(D195),IF(E195&gt;0,F195-E195+1,0),0)</f>
        <v>0</v>
      </c>
      <c r="M195" s="45">
        <f>IF(ISBLANK(D195),0,IF(G195=0,F195-E195+1,0))</f>
        <v>4</v>
      </c>
      <c r="Q195" s="42" t="str">
        <f>C195&amp;IF(ISBLANK(D195),"","=")&amp;D195</f>
        <v>Accel_Axis_M3=15000</v>
      </c>
      <c r="S195" s="39">
        <v>15000</v>
      </c>
      <c r="T195" s="42" t="str">
        <f>C195&amp;IF(ISBLANK(S195),"","=")&amp;S195</f>
        <v>Accel_Axis_M3=15000</v>
      </c>
      <c r="U195" s="39">
        <v>1000</v>
      </c>
      <c r="V195" s="42" t="str">
        <f>C195&amp;IF(ISBLANK(U195),"","=")&amp;U195</f>
        <v>Accel_Axis_M3=1000</v>
      </c>
    </row>
    <row r="196" spans="1:25" x14ac:dyDescent="0.25">
      <c r="A196">
        <v>83</v>
      </c>
      <c r="B196" t="s">
        <v>184</v>
      </c>
      <c r="C196" s="39" t="s">
        <v>357</v>
      </c>
      <c r="D196" s="39">
        <v>30000</v>
      </c>
      <c r="E196" s="26">
        <v>784</v>
      </c>
      <c r="F196" s="26">
        <v>787</v>
      </c>
      <c r="G196" s="26"/>
      <c r="H196" s="49" t="str">
        <f>DEC2HEX(I196)</f>
        <v>EA</v>
      </c>
      <c r="I196" s="27">
        <v>234</v>
      </c>
      <c r="J196" s="27" t="str">
        <f>CHAR(I196)</f>
        <v>ê</v>
      </c>
      <c r="L196">
        <f>IF(ISBLANK(D196),IF(E196&gt;0,F196-E196+1,0),0)</f>
        <v>0</v>
      </c>
      <c r="M196" s="45">
        <f>IF(ISBLANK(D196),0,IF(G196=0,F196-E196+1,0))</f>
        <v>4</v>
      </c>
      <c r="Q196" s="42" t="str">
        <f>C196&amp;IF(ISBLANK(D196),"","=")&amp;D196</f>
        <v>MaxSpeed_Axis_X=30000</v>
      </c>
      <c r="S196" s="39">
        <v>30000</v>
      </c>
      <c r="T196" s="42" t="str">
        <f>C196&amp;IF(ISBLANK(S196),"","=")&amp;S196</f>
        <v>MaxSpeed_Axis_X=30000</v>
      </c>
      <c r="U196" s="39">
        <v>1000</v>
      </c>
      <c r="V196" s="42" t="str">
        <f>C196&amp;IF(ISBLANK(U196),"","=")&amp;U196</f>
        <v>MaxSpeed_Axis_X=1000</v>
      </c>
    </row>
    <row r="197" spans="1:25" x14ac:dyDescent="0.25">
      <c r="A197">
        <v>84</v>
      </c>
      <c r="B197" t="s">
        <v>184</v>
      </c>
      <c r="C197" s="39" t="s">
        <v>358</v>
      </c>
      <c r="D197" s="39">
        <v>15000</v>
      </c>
      <c r="E197" s="26">
        <v>788</v>
      </c>
      <c r="F197" s="26">
        <v>791</v>
      </c>
      <c r="G197" s="26"/>
      <c r="H197" s="49" t="str">
        <f>DEC2HEX(I197)</f>
        <v>EB</v>
      </c>
      <c r="I197" s="27">
        <v>235</v>
      </c>
      <c r="J197" s="27" t="str">
        <f>CHAR(I197)</f>
        <v>ë</v>
      </c>
      <c r="L197">
        <f>IF(ISBLANK(D197),IF(E197&gt;0,F197-E197+1,0),0)</f>
        <v>0</v>
      </c>
      <c r="M197" s="45">
        <f>IF(ISBLANK(D197),0,IF(G197=0,F197-E197+1,0))</f>
        <v>4</v>
      </c>
      <c r="Q197" s="42" t="str">
        <f>C197&amp;IF(ISBLANK(D197),"","=")&amp;D197</f>
        <v>Accel_Axis_X=15000</v>
      </c>
      <c r="S197" s="39">
        <v>15000</v>
      </c>
      <c r="T197" s="42" t="str">
        <f>C197&amp;IF(ISBLANK(S197),"","=")&amp;S197</f>
        <v>Accel_Axis_X=15000</v>
      </c>
      <c r="U197" s="39">
        <v>1000</v>
      </c>
      <c r="V197" s="42" t="str">
        <f>C197&amp;IF(ISBLANK(U197),"","=")&amp;U197</f>
        <v>Accel_Axis_X=1000</v>
      </c>
    </row>
    <row r="198" spans="1:25" x14ac:dyDescent="0.25">
      <c r="A198">
        <v>403</v>
      </c>
      <c r="E198" s="41">
        <v>792</v>
      </c>
      <c r="F198" s="41">
        <v>795</v>
      </c>
      <c r="L198">
        <f>IF(ISBLANK(D198),IF(E198&gt;0,F198-E198+1,0),0)</f>
        <v>4</v>
      </c>
      <c r="M198" s="45">
        <f>IF(ISBLANK(D198),0,IF(G198=0,F198-E198+1,0))</f>
        <v>0</v>
      </c>
    </row>
    <row r="199" spans="1:25" x14ac:dyDescent="0.25">
      <c r="A199">
        <v>264</v>
      </c>
      <c r="B199" t="s">
        <v>442</v>
      </c>
      <c r="C199" s="39" t="s">
        <v>376</v>
      </c>
      <c r="D199" s="39">
        <v>5048</v>
      </c>
      <c r="E199" s="26">
        <v>796</v>
      </c>
      <c r="F199" s="26">
        <v>799</v>
      </c>
      <c r="G199" s="26"/>
      <c r="H199" s="49" t="str">
        <f>DEC2HEX(I199)</f>
        <v>B9</v>
      </c>
      <c r="I199" s="27">
        <v>185</v>
      </c>
      <c r="J199" s="27" t="str">
        <f>CHAR(I199)</f>
        <v>¹</v>
      </c>
      <c r="L199">
        <f>IF(ISBLANK(D199),IF(E199&gt;0,F199-E199+1,0),0)</f>
        <v>0</v>
      </c>
      <c r="M199" s="45">
        <f>IF(ISBLANK(D199),0,IF(G199=0,F199-E199+1,0))</f>
        <v>4</v>
      </c>
      <c r="Q199" s="42" t="str">
        <f>C199&amp;IF(ISBLANK(D199),"","=")&amp;D199</f>
        <v>MaxSpeed_M3=5048</v>
      </c>
      <c r="S199" s="39">
        <v>30000</v>
      </c>
      <c r="T199" s="42" t="str">
        <f>C199&amp;IF(ISBLANK(S199),"","=")&amp;S199</f>
        <v>MaxSpeed_M3=30000</v>
      </c>
      <c r="U199" s="39">
        <v>1000</v>
      </c>
      <c r="V199" s="42" t="str">
        <f>C199&amp;IF(ISBLANK(U199),"","=")&amp;U199</f>
        <v>MaxSpeed_M3=1000</v>
      </c>
    </row>
    <row r="200" spans="1:25" x14ac:dyDescent="0.25">
      <c r="A200">
        <v>265</v>
      </c>
      <c r="B200" t="s">
        <v>442</v>
      </c>
      <c r="C200" s="39" t="s">
        <v>377</v>
      </c>
      <c r="D200" s="39">
        <v>5049</v>
      </c>
      <c r="E200" s="26">
        <v>800</v>
      </c>
      <c r="F200" s="26">
        <v>803</v>
      </c>
      <c r="G200" s="26"/>
      <c r="H200" s="49" t="str">
        <f>DEC2HEX(I200)</f>
        <v>BA</v>
      </c>
      <c r="I200" s="27">
        <v>186</v>
      </c>
      <c r="J200" s="27" t="str">
        <f>CHAR(I200)</f>
        <v>º</v>
      </c>
      <c r="L200">
        <f>IF(ISBLANK(D200),IF(E200&gt;0,F200-E200+1,0),0)</f>
        <v>0</v>
      </c>
      <c r="M200" s="45">
        <f>IF(ISBLANK(D200),0,IF(G200=0,F200-E200+1,0))</f>
        <v>4</v>
      </c>
      <c r="Q200" s="42" t="str">
        <f>C200&amp;IF(ISBLANK(D200),"","=")&amp;D200</f>
        <v>Accel_M3=5049</v>
      </c>
      <c r="S200" s="39">
        <v>20000</v>
      </c>
      <c r="T200" s="42" t="str">
        <f>C200&amp;IF(ISBLANK(S200),"","=")&amp;S200</f>
        <v>Accel_M3=20000</v>
      </c>
      <c r="U200" s="39">
        <v>1000</v>
      </c>
      <c r="V200" s="42" t="str">
        <f>C200&amp;IF(ISBLANK(U200),"","=")&amp;U200</f>
        <v>Accel_M3=1000</v>
      </c>
    </row>
    <row r="201" spans="1:25" x14ac:dyDescent="0.25">
      <c r="A201">
        <v>404</v>
      </c>
      <c r="E201" s="41">
        <v>804</v>
      </c>
      <c r="F201" s="41">
        <v>819</v>
      </c>
      <c r="L201">
        <f>IF(ISBLANK(D201),IF(E201&gt;0,F201-E201+1,0),0)</f>
        <v>16</v>
      </c>
      <c r="M201" s="45">
        <f>IF(ISBLANK(D201),0,IF(G201=0,F201-E201+1,0))</f>
        <v>0</v>
      </c>
    </row>
    <row r="202" spans="1:25" x14ac:dyDescent="0.25">
      <c r="A202">
        <v>332</v>
      </c>
      <c r="B202" t="s">
        <v>233</v>
      </c>
      <c r="C202" s="39" t="s">
        <v>377</v>
      </c>
      <c r="D202" s="39">
        <v>5123</v>
      </c>
      <c r="E202" s="26">
        <v>820</v>
      </c>
      <c r="F202" s="26">
        <v>823</v>
      </c>
      <c r="G202" s="26"/>
      <c r="H202" s="49" t="str">
        <f>DEC2HEX(I202)</f>
        <v>BA</v>
      </c>
      <c r="I202" s="27">
        <v>186</v>
      </c>
      <c r="J202" s="27" t="str">
        <f>CHAR(I202)</f>
        <v>º</v>
      </c>
      <c r="L202">
        <f>IF(ISBLANK(D202),IF(E202&gt;0,F202-E202+1,0),0)</f>
        <v>0</v>
      </c>
      <c r="M202" s="45">
        <f>IF(ISBLANK(D202),0,IF(G202=0,F202-E202+1,0))</f>
        <v>4</v>
      </c>
      <c r="Q202" s="42" t="str">
        <f>C202&amp;IF(ISBLANK(D202),"","=")&amp;D202</f>
        <v>Accel_M3=5123</v>
      </c>
      <c r="S202" s="39">
        <v>20000</v>
      </c>
      <c r="T202" s="42" t="str">
        <f>C202&amp;IF(ISBLANK(S202),"","=")&amp;S202</f>
        <v>Accel_M3=20000</v>
      </c>
      <c r="U202" s="39">
        <v>11</v>
      </c>
      <c r="V202" s="42" t="str">
        <f>C202&amp;IF(ISBLANK(U202),"","=")&amp;U202</f>
        <v>Accel_M3=11</v>
      </c>
    </row>
    <row r="203" spans="1:25" x14ac:dyDescent="0.25">
      <c r="A203">
        <v>331</v>
      </c>
      <c r="B203" t="s">
        <v>233</v>
      </c>
      <c r="C203" s="39" t="s">
        <v>376</v>
      </c>
      <c r="D203" s="39">
        <v>4785</v>
      </c>
      <c r="E203" s="26">
        <v>824</v>
      </c>
      <c r="F203" s="26">
        <v>827</v>
      </c>
      <c r="G203" s="26"/>
      <c r="H203" s="49" t="str">
        <f>DEC2HEX(I203)</f>
        <v>B9</v>
      </c>
      <c r="I203" s="27">
        <v>185</v>
      </c>
      <c r="J203" s="27" t="str">
        <f>CHAR(I203)</f>
        <v>¹</v>
      </c>
      <c r="L203">
        <f>IF(ISBLANK(D203),IF(E203&gt;0,F203-E203+1,0),0)</f>
        <v>0</v>
      </c>
      <c r="M203" s="45">
        <f>IF(ISBLANK(D203),0,IF(G203=0,F203-E203+1,0))</f>
        <v>4</v>
      </c>
      <c r="Q203" s="42" t="str">
        <f>C203&amp;IF(ISBLANK(D203),"","=")&amp;D203</f>
        <v>MaxSpeed_M3=4785</v>
      </c>
      <c r="S203" s="39">
        <v>5000</v>
      </c>
      <c r="T203" s="42" t="str">
        <f>C203&amp;IF(ISBLANK(S203),"","=")&amp;S203</f>
        <v>MaxSpeed_M3=5000</v>
      </c>
      <c r="U203" s="39">
        <v>11</v>
      </c>
      <c r="V203" s="42" t="str">
        <f>C203&amp;IF(ISBLANK(U203),"","=")&amp;U203</f>
        <v>MaxSpeed_M3=11</v>
      </c>
    </row>
    <row r="204" spans="1:25" x14ac:dyDescent="0.25">
      <c r="A204">
        <v>315</v>
      </c>
      <c r="B204" t="s">
        <v>233</v>
      </c>
      <c r="C204" s="39" t="s">
        <v>353</v>
      </c>
      <c r="D204" s="39">
        <v>5687</v>
      </c>
      <c r="E204" s="26">
        <v>828</v>
      </c>
      <c r="F204" s="26">
        <v>831</v>
      </c>
      <c r="G204" s="26"/>
      <c r="H204" s="49" t="str">
        <f>DEC2HEX(I204)</f>
        <v>3A</v>
      </c>
      <c r="I204" s="27">
        <v>58</v>
      </c>
      <c r="J204" s="27" t="str">
        <f>CHAR(I204)</f>
        <v>:</v>
      </c>
      <c r="L204">
        <f>IF(ISBLANK(D204),IF(E204&gt;0,F204-E204+1,0),0)</f>
        <v>0</v>
      </c>
      <c r="M204" s="45">
        <f>IF(ISBLANK(D204),0,IF(G204=0,F204-E204+1,0))</f>
        <v>4</v>
      </c>
      <c r="Q204" s="42" t="str">
        <f>C204&amp;IF(ISBLANK(D204),"","=")&amp;D204</f>
        <v>MaxSpeed_Spindle=5687</v>
      </c>
      <c r="S204" s="39">
        <v>5000</v>
      </c>
      <c r="T204" s="42" t="str">
        <f>C204&amp;IF(ISBLANK(S204),"","=")&amp;S204</f>
        <v>MaxSpeed_Spindle=5000</v>
      </c>
      <c r="U204" s="39">
        <v>1000</v>
      </c>
      <c r="V204" s="42" t="str">
        <f>C204&amp;IF(ISBLANK(U204),"","=")&amp;U204</f>
        <v>MaxSpeed_Spindle=1000</v>
      </c>
    </row>
    <row r="205" spans="1:25" x14ac:dyDescent="0.25">
      <c r="A205">
        <v>316</v>
      </c>
      <c r="B205" t="s">
        <v>233</v>
      </c>
      <c r="C205" s="39" t="s">
        <v>354</v>
      </c>
      <c r="D205" s="39">
        <v>6547</v>
      </c>
      <c r="E205" s="26">
        <v>832</v>
      </c>
      <c r="F205" s="26">
        <v>835</v>
      </c>
      <c r="G205" s="26"/>
      <c r="H205" s="49" t="str">
        <f>DEC2HEX(I205)</f>
        <v>3B</v>
      </c>
      <c r="I205" s="27">
        <v>59</v>
      </c>
      <c r="J205" s="27" t="str">
        <f>CHAR(I205)</f>
        <v>;</v>
      </c>
      <c r="L205">
        <f>IF(ISBLANK(D205),IF(E205&gt;0,F205-E205+1,0),0)</f>
        <v>0</v>
      </c>
      <c r="M205" s="45">
        <f>IF(ISBLANK(D205),0,IF(G205=0,F205-E205+1,0))</f>
        <v>4</v>
      </c>
      <c r="Q205" s="42" t="str">
        <f>C205&amp;IF(ISBLANK(D205),"","=")&amp;D205</f>
        <v>Accel_Spindle=6547</v>
      </c>
      <c r="S205" s="39">
        <v>20000</v>
      </c>
      <c r="T205" s="42" t="str">
        <f>C205&amp;IF(ISBLANK(S205),"","=")&amp;S205</f>
        <v>Accel_Spindle=20000</v>
      </c>
      <c r="U205" s="39">
        <v>1000</v>
      </c>
      <c r="V205" s="42" t="str">
        <f>C205&amp;IF(ISBLANK(U205),"","=")&amp;U205</f>
        <v>Accel_Spindle=1000</v>
      </c>
    </row>
    <row r="206" spans="1:25" x14ac:dyDescent="0.25">
      <c r="A206">
        <v>405</v>
      </c>
      <c r="E206" s="41">
        <v>836</v>
      </c>
      <c r="F206" s="41">
        <v>839</v>
      </c>
      <c r="L206">
        <f>IF(ISBLANK(D206),IF(E206&gt;0,F206-E206+1,0),0)</f>
        <v>4</v>
      </c>
      <c r="M206" s="45">
        <f>IF(ISBLANK(D206),0,IF(G206=0,F206-E206+1,0))</f>
        <v>0</v>
      </c>
    </row>
    <row r="207" spans="1:25" s="1" customFormat="1" x14ac:dyDescent="0.25">
      <c r="A207">
        <v>406</v>
      </c>
      <c r="B207"/>
      <c r="C207" s="39"/>
      <c r="D207" s="39"/>
      <c r="E207" s="41">
        <v>840</v>
      </c>
      <c r="F207" s="41">
        <v>843</v>
      </c>
      <c r="G207"/>
      <c r="H207" s="38"/>
      <c r="I207"/>
      <c r="J207"/>
      <c r="K207" s="39"/>
      <c r="L207">
        <f>IF(ISBLANK(D207),IF(E207&gt;0,F207-E207+1,0),0)</f>
        <v>4</v>
      </c>
      <c r="M207" s="45">
        <f>IF(ISBLANK(D207),0,IF(G207=0,F207-E207+1,0))</f>
        <v>0</v>
      </c>
      <c r="N207" s="54"/>
      <c r="O207" s="54"/>
      <c r="P207" s="54"/>
      <c r="Q207" s="42"/>
      <c r="R207"/>
      <c r="S207" s="39"/>
      <c r="T207"/>
      <c r="U207" s="39"/>
      <c r="V207"/>
      <c r="W207"/>
      <c r="X207"/>
      <c r="Y207"/>
    </row>
    <row r="208" spans="1:25" x14ac:dyDescent="0.25">
      <c r="A208">
        <v>407</v>
      </c>
      <c r="E208" s="41">
        <v>844</v>
      </c>
      <c r="F208" s="41">
        <v>847</v>
      </c>
      <c r="L208">
        <f>IF(ISBLANK(D208),IF(E208&gt;0,F208-E208+1,0),0)</f>
        <v>4</v>
      </c>
      <c r="M208" s="45">
        <f>IF(ISBLANK(D208),0,IF(G208=0,F208-E208+1,0))</f>
        <v>0</v>
      </c>
    </row>
    <row r="209" spans="1:25" x14ac:dyDescent="0.25">
      <c r="A209">
        <v>408</v>
      </c>
      <c r="E209" s="41">
        <v>848</v>
      </c>
      <c r="F209" s="41">
        <v>851</v>
      </c>
      <c r="L209">
        <f>IF(ISBLANK(D209),IF(E209&gt;0,F209-E209+1,0),0)</f>
        <v>4</v>
      </c>
      <c r="M209" s="45">
        <f>IF(ISBLANK(D209),0,IF(G209=0,F209-E209+1,0))</f>
        <v>0</v>
      </c>
    </row>
    <row r="210" spans="1:25" x14ac:dyDescent="0.25">
      <c r="A210">
        <v>409</v>
      </c>
      <c r="E210" s="41">
        <v>852</v>
      </c>
      <c r="F210" s="41">
        <v>867</v>
      </c>
      <c r="L210">
        <f>IF(ISBLANK(D210),IF(E210&gt;0,F210-E210+1,0),0)</f>
        <v>16</v>
      </c>
      <c r="M210" s="45">
        <f>IF(ISBLANK(D210),0,IF(G210=0,F210-E210+1,0))</f>
        <v>0</v>
      </c>
    </row>
    <row r="211" spans="1:25" s="29" customFormat="1" x14ac:dyDescent="0.25">
      <c r="A211">
        <v>326</v>
      </c>
      <c r="B211" t="s">
        <v>233</v>
      </c>
      <c r="C211" s="39" t="s">
        <v>368</v>
      </c>
      <c r="D211" s="39">
        <v>5214</v>
      </c>
      <c r="E211" s="26">
        <v>868</v>
      </c>
      <c r="F211" s="26">
        <v>871</v>
      </c>
      <c r="G211" s="26"/>
      <c r="H211" s="49" t="str">
        <f>DEC2HEX(I211)</f>
        <v>BA</v>
      </c>
      <c r="I211" s="27">
        <v>186</v>
      </c>
      <c r="J211" s="27" t="str">
        <f>CHAR(I211)</f>
        <v>º</v>
      </c>
      <c r="K211" s="39"/>
      <c r="L211">
        <f>IF(ISBLANK(D211),IF(E211&gt;0,F211-E211+1,0),0)</f>
        <v>0</v>
      </c>
      <c r="M211" s="45">
        <f>IF(ISBLANK(D211),0,IF(G211=0,F211-E211+1,0))</f>
        <v>4</v>
      </c>
      <c r="N211" s="54"/>
      <c r="O211" s="54"/>
      <c r="P211" s="54"/>
      <c r="Q211" s="42" t="str">
        <f>C211&amp;IF(ISBLANK(D211),"","=")&amp;D211</f>
        <v>Accel_X=5214</v>
      </c>
      <c r="R211"/>
      <c r="S211" s="39">
        <v>20000</v>
      </c>
      <c r="T211" s="42" t="str">
        <f>C211&amp;IF(ISBLANK(S211),"","=")&amp;S211</f>
        <v>Accel_X=20000</v>
      </c>
      <c r="U211" s="39">
        <v>1000</v>
      </c>
      <c r="V211" s="42" t="str">
        <f>C211&amp;IF(ISBLANK(U211),"","=")&amp;U211</f>
        <v>Accel_X=1000</v>
      </c>
      <c r="W211"/>
      <c r="X211"/>
      <c r="Y211"/>
    </row>
    <row r="212" spans="1:25" x14ac:dyDescent="0.25">
      <c r="A212">
        <v>102</v>
      </c>
      <c r="B212" t="s">
        <v>5</v>
      </c>
      <c r="C212" s="39" t="s">
        <v>353</v>
      </c>
      <c r="D212" s="39">
        <v>15000</v>
      </c>
      <c r="E212" s="26">
        <v>872</v>
      </c>
      <c r="F212" s="26">
        <v>875</v>
      </c>
      <c r="G212" s="26"/>
      <c r="H212" s="49" t="str">
        <f>DEC2HEX(I212)</f>
        <v>3A</v>
      </c>
      <c r="I212" s="27">
        <v>58</v>
      </c>
      <c r="J212" s="27" t="str">
        <f>CHAR(I212)</f>
        <v>:</v>
      </c>
      <c r="L212">
        <f>IF(ISBLANK(D212),IF(E212&gt;0,F212-E212+1,0),0)</f>
        <v>0</v>
      </c>
      <c r="M212" s="45">
        <f>IF(ISBLANK(D212),0,IF(G212=0,F212-E212+1,0))</f>
        <v>4</v>
      </c>
      <c r="Q212" s="42" t="str">
        <f>C212&amp;IF(ISBLANK(D212),"","=")&amp;D212</f>
        <v>MaxSpeed_Spindle=15000</v>
      </c>
      <c r="S212" s="39">
        <v>30000</v>
      </c>
      <c r="T212" s="42" t="str">
        <f>C212&amp;IF(ISBLANK(S212),"","=")&amp;S212</f>
        <v>MaxSpeed_Spindle=30000</v>
      </c>
      <c r="U212" s="39">
        <v>1000</v>
      </c>
      <c r="V212" s="42" t="str">
        <f>C212&amp;IF(ISBLANK(U212),"","=")&amp;U212</f>
        <v>MaxSpeed_Spindle=1000</v>
      </c>
    </row>
    <row r="213" spans="1:25" x14ac:dyDescent="0.25">
      <c r="A213">
        <v>325</v>
      </c>
      <c r="B213" t="s">
        <v>233</v>
      </c>
      <c r="C213" s="39" t="s">
        <v>367</v>
      </c>
      <c r="D213" s="39">
        <v>657</v>
      </c>
      <c r="E213" s="26">
        <v>876</v>
      </c>
      <c r="F213" s="27">
        <v>879</v>
      </c>
      <c r="G213" s="26"/>
      <c r="H213" s="49" t="str">
        <f>DEC2HEX(I213)</f>
        <v>B9</v>
      </c>
      <c r="I213" s="27">
        <v>185</v>
      </c>
      <c r="J213" s="27" t="str">
        <f>CHAR(I213)</f>
        <v>¹</v>
      </c>
      <c r="L213">
        <f>IF(ISBLANK(D213),IF(E213&gt;0,F213-E213+1,0),0)</f>
        <v>0</v>
      </c>
      <c r="M213" s="45">
        <f>IF(ISBLANK(D213),0,IF(G213=0,F213-E213+1,0))</f>
        <v>4</v>
      </c>
      <c r="Q213" s="42" t="str">
        <f>C213&amp;IF(ISBLANK(D213),"","=")&amp;D213</f>
        <v>MaxSpeed_X=657</v>
      </c>
      <c r="S213" s="39">
        <v>5000</v>
      </c>
      <c r="T213" s="42" t="str">
        <f>C213&amp;IF(ISBLANK(S213),"","=")&amp;S213</f>
        <v>MaxSpeed_X=5000</v>
      </c>
      <c r="U213" s="39">
        <v>1000</v>
      </c>
      <c r="V213" s="42" t="str">
        <f>C213&amp;IF(ISBLANK(U213),"","=")&amp;U213</f>
        <v>MaxSpeed_X=1000</v>
      </c>
    </row>
    <row r="214" spans="1:25" s="84" customFormat="1" x14ac:dyDescent="0.25">
      <c r="A214">
        <v>319</v>
      </c>
      <c r="B214" t="s">
        <v>233</v>
      </c>
      <c r="C214" s="39" t="s">
        <v>364</v>
      </c>
      <c r="D214" s="39">
        <v>5698</v>
      </c>
      <c r="E214" s="27">
        <v>880</v>
      </c>
      <c r="F214" s="27">
        <v>883</v>
      </c>
      <c r="G214" s="26"/>
      <c r="H214" s="49" t="str">
        <f>DEC2HEX(I214)</f>
        <v>B9</v>
      </c>
      <c r="I214" s="27">
        <v>185</v>
      </c>
      <c r="J214" s="27" t="str">
        <f>CHAR(I214)</f>
        <v>¹</v>
      </c>
      <c r="K214" s="39"/>
      <c r="L214">
        <f>IF(ISBLANK(D214),IF(E214&gt;0,F214-E214+1,0),0)</f>
        <v>0</v>
      </c>
      <c r="M214" s="45">
        <f>IF(ISBLANK(D214),0,IF(G214=0,F214-E214+1,0))</f>
        <v>4</v>
      </c>
      <c r="N214" s="54"/>
      <c r="O214" s="54"/>
      <c r="P214" s="54"/>
      <c r="Q214" s="42" t="str">
        <f>C214&amp;IF(ISBLANK(D214),"","=")&amp;D214</f>
        <v>MaxSpeed_Z=5698</v>
      </c>
      <c r="R214"/>
      <c r="S214" s="39">
        <v>5000</v>
      </c>
      <c r="T214" s="42" t="str">
        <f>C214&amp;IF(ISBLANK(S214),"","=")&amp;S214</f>
        <v>MaxSpeed_Z=5000</v>
      </c>
      <c r="U214" s="39">
        <v>1000</v>
      </c>
      <c r="V214" s="42" t="str">
        <f>C214&amp;IF(ISBLANK(U214),"","=")&amp;U214</f>
        <v>MaxSpeed_Z=1000</v>
      </c>
      <c r="W214"/>
      <c r="X214"/>
      <c r="Y214"/>
    </row>
    <row r="215" spans="1:25" x14ac:dyDescent="0.25">
      <c r="A215">
        <v>410</v>
      </c>
      <c r="E215" s="40">
        <v>884</v>
      </c>
      <c r="F215" s="40">
        <v>887</v>
      </c>
      <c r="L215">
        <f>IF(ISBLANK(D215),IF(E215&gt;0,F215-E215+1,0),0)</f>
        <v>4</v>
      </c>
      <c r="M215" s="45">
        <f>IF(ISBLANK(D215),0,IF(G215=0,F215-E215+1,0))</f>
        <v>0</v>
      </c>
    </row>
    <row r="216" spans="1:25" x14ac:dyDescent="0.25">
      <c r="A216">
        <v>230</v>
      </c>
      <c r="B216" t="s">
        <v>42</v>
      </c>
      <c r="C216" s="39" t="s">
        <v>376</v>
      </c>
      <c r="D216" s="39">
        <v>5086</v>
      </c>
      <c r="E216" s="26">
        <v>888</v>
      </c>
      <c r="F216" s="26">
        <v>891</v>
      </c>
      <c r="G216" s="26"/>
      <c r="H216" s="49" t="str">
        <f>DEC2HEX(I216)</f>
        <v>B9</v>
      </c>
      <c r="I216" s="27">
        <v>185</v>
      </c>
      <c r="J216" s="27" t="str">
        <f>CHAR(I216)</f>
        <v>¹</v>
      </c>
      <c r="L216">
        <f>IF(ISBLANK(D216),IF(E216&gt;0,F216-E216+1,0),0)</f>
        <v>0</v>
      </c>
      <c r="M216" s="45">
        <f>IF(ISBLANK(D216),0,IF(G216=0,F216-E216+1,0))</f>
        <v>4</v>
      </c>
      <c r="Q216" s="42" t="str">
        <f>C216&amp;IF(ISBLANK(D216),"","=")&amp;D216</f>
        <v>MaxSpeed_M3=5086</v>
      </c>
      <c r="S216" s="39">
        <v>30000</v>
      </c>
      <c r="T216" s="42" t="str">
        <f>C216&amp;IF(ISBLANK(S216),"","=")&amp;S216</f>
        <v>MaxSpeed_M3=30000</v>
      </c>
      <c r="U216" s="39">
        <v>1000</v>
      </c>
      <c r="V216" s="42" t="str">
        <f>C216&amp;IF(ISBLANK(U216),"","=")&amp;U216</f>
        <v>MaxSpeed_M3=1000</v>
      </c>
    </row>
    <row r="217" spans="1:25" x14ac:dyDescent="0.25">
      <c r="A217">
        <v>231</v>
      </c>
      <c r="B217" t="s">
        <v>42</v>
      </c>
      <c r="C217" s="39" t="s">
        <v>377</v>
      </c>
      <c r="D217" s="39">
        <v>5087</v>
      </c>
      <c r="E217" s="26">
        <v>892</v>
      </c>
      <c r="F217" s="26">
        <v>895</v>
      </c>
      <c r="G217" s="26"/>
      <c r="H217" s="49" t="str">
        <f>DEC2HEX(I217)</f>
        <v>BA</v>
      </c>
      <c r="I217" s="27">
        <v>186</v>
      </c>
      <c r="J217" s="27" t="str">
        <f>CHAR(I217)</f>
        <v>º</v>
      </c>
      <c r="L217">
        <f>IF(ISBLANK(D217),IF(E217&gt;0,F217-E217+1,0),0)</f>
        <v>0</v>
      </c>
      <c r="M217" s="45">
        <f>IF(ISBLANK(D217),0,IF(G217=0,F217-E217+1,0))</f>
        <v>4</v>
      </c>
      <c r="Q217" s="42" t="str">
        <f>C217&amp;IF(ISBLANK(D217),"","=")&amp;D217</f>
        <v>Accel_M3=5087</v>
      </c>
      <c r="S217" s="39">
        <v>20000</v>
      </c>
      <c r="T217" s="42" t="str">
        <f>C217&amp;IF(ISBLANK(S217),"","=")&amp;S217</f>
        <v>Accel_M3=20000</v>
      </c>
      <c r="U217" s="39">
        <v>1000</v>
      </c>
      <c r="V217" s="42" t="str">
        <f>C217&amp;IF(ISBLANK(U217),"","=")&amp;U217</f>
        <v>Accel_M3=1000</v>
      </c>
    </row>
    <row r="218" spans="1:25" x14ac:dyDescent="0.25">
      <c r="A218">
        <v>252</v>
      </c>
      <c r="B218" t="s">
        <v>442</v>
      </c>
      <c r="C218" s="39" t="s">
        <v>353</v>
      </c>
      <c r="D218" s="39">
        <v>5040</v>
      </c>
      <c r="E218" s="26">
        <v>896</v>
      </c>
      <c r="F218" s="26">
        <v>899</v>
      </c>
      <c r="G218" s="26"/>
      <c r="H218" s="49" t="str">
        <f>DEC2HEX(I218)</f>
        <v>3A</v>
      </c>
      <c r="I218" s="27">
        <v>58</v>
      </c>
      <c r="J218" s="27" t="str">
        <f>CHAR(I218)</f>
        <v>:</v>
      </c>
      <c r="L218">
        <f>IF(ISBLANK(D218),IF(E218&gt;0,F218-E218+1,0),0)</f>
        <v>0</v>
      </c>
      <c r="M218" s="45">
        <f>IF(ISBLANK(D218),0,IF(G218=0,F218-E218+1,0))</f>
        <v>4</v>
      </c>
      <c r="Q218" s="42" t="str">
        <f>C218&amp;IF(ISBLANK(D218),"","=")&amp;D218</f>
        <v>MaxSpeed_Spindle=5040</v>
      </c>
      <c r="S218" s="39">
        <v>30000</v>
      </c>
      <c r="T218" s="42" t="str">
        <f>C218&amp;IF(ISBLANK(S218),"","=")&amp;S218</f>
        <v>MaxSpeed_Spindle=30000</v>
      </c>
      <c r="U218" s="39">
        <v>1000</v>
      </c>
      <c r="V218" s="42" t="str">
        <f>C218&amp;IF(ISBLANK(U218),"","=")&amp;U218</f>
        <v>MaxSpeed_Spindle=1000</v>
      </c>
    </row>
    <row r="219" spans="1:25" x14ac:dyDescent="0.25">
      <c r="A219">
        <v>411</v>
      </c>
      <c r="E219" s="41">
        <v>900</v>
      </c>
      <c r="F219" s="41">
        <v>903</v>
      </c>
      <c r="L219">
        <f>IF(ISBLANK(D219),IF(E219&gt;0,F219-E219+1,0),0)</f>
        <v>4</v>
      </c>
      <c r="M219" s="45">
        <f>IF(ISBLANK(D219),0,IF(G219=0,F219-E219+1,0))</f>
        <v>0</v>
      </c>
    </row>
    <row r="220" spans="1:25" x14ac:dyDescent="0.25">
      <c r="A220">
        <v>175</v>
      </c>
      <c r="B220" t="s">
        <v>0</v>
      </c>
      <c r="C220" s="39" t="s">
        <v>353</v>
      </c>
      <c r="D220" s="39">
        <v>5070</v>
      </c>
      <c r="E220" s="26">
        <v>904</v>
      </c>
      <c r="F220" s="26">
        <v>907</v>
      </c>
      <c r="G220" s="26"/>
      <c r="H220" s="49" t="str">
        <f>DEC2HEX(I220)</f>
        <v>3A</v>
      </c>
      <c r="I220" s="27">
        <v>58</v>
      </c>
      <c r="J220" s="27" t="str">
        <f>CHAR(I220)</f>
        <v>:</v>
      </c>
      <c r="L220">
        <f>IF(ISBLANK(D220),IF(E220&gt;0,F220-E220+1,0),0)</f>
        <v>0</v>
      </c>
      <c r="M220" s="45">
        <f>IF(ISBLANK(D220),0,IF(G220=0,F220-E220+1,0))</f>
        <v>4</v>
      </c>
      <c r="Q220" s="42" t="str">
        <f>C220&amp;IF(ISBLANK(D220),"","=")&amp;D220</f>
        <v>MaxSpeed_Spindle=5070</v>
      </c>
      <c r="S220" s="39">
        <v>30000</v>
      </c>
      <c r="T220" s="42" t="str">
        <f>C220&amp;IF(ISBLANK(S220),"","=")&amp;S220</f>
        <v>MaxSpeed_Spindle=30000</v>
      </c>
      <c r="U220" s="39">
        <v>1000</v>
      </c>
      <c r="V220" s="42" t="str">
        <f>C220&amp;IF(ISBLANK(U220),"","=")&amp;U220</f>
        <v>MaxSpeed_Spindle=1000</v>
      </c>
    </row>
    <row r="221" spans="1:25" x14ac:dyDescent="0.25">
      <c r="A221">
        <v>412</v>
      </c>
      <c r="E221" s="40">
        <v>908</v>
      </c>
      <c r="F221" s="40">
        <v>911</v>
      </c>
      <c r="L221">
        <f>IF(ISBLANK(D221),IF(E221&gt;0,F221-E221+1,0),0)</f>
        <v>4</v>
      </c>
      <c r="M221" s="45">
        <f>IF(ISBLANK(D221),0,IF(G221=0,F221-E221+1,0))</f>
        <v>0</v>
      </c>
    </row>
    <row r="222" spans="1:25" x14ac:dyDescent="0.25">
      <c r="A222">
        <v>103</v>
      </c>
      <c r="B222" t="s">
        <v>5</v>
      </c>
      <c r="C222" s="39" t="s">
        <v>354</v>
      </c>
      <c r="D222" s="39">
        <v>15001</v>
      </c>
      <c r="E222" s="26">
        <v>912</v>
      </c>
      <c r="F222" s="26">
        <v>915</v>
      </c>
      <c r="G222" s="26"/>
      <c r="H222" s="49" t="str">
        <f>DEC2HEX(I222)</f>
        <v>3B</v>
      </c>
      <c r="I222" s="27">
        <v>59</v>
      </c>
      <c r="J222" s="27" t="str">
        <f>CHAR(I222)</f>
        <v>;</v>
      </c>
      <c r="L222">
        <f>IF(ISBLANK(D222),IF(E222&gt;0,F222-E222+1,0),0)</f>
        <v>0</v>
      </c>
      <c r="M222" s="45">
        <f>IF(ISBLANK(D222),0,IF(G222=0,F222-E222+1,0))</f>
        <v>4</v>
      </c>
      <c r="Q222" s="42" t="str">
        <f>C222&amp;IF(ISBLANK(D222),"","=")&amp;D222</f>
        <v>Accel_Spindle=15001</v>
      </c>
      <c r="S222" s="39">
        <v>15000</v>
      </c>
      <c r="T222" s="42" t="str">
        <f>C222&amp;IF(ISBLANK(S222),"","=")&amp;S222</f>
        <v>Accel_Spindle=15000</v>
      </c>
      <c r="U222" s="39">
        <v>1000</v>
      </c>
      <c r="V222" s="42" t="str">
        <f>C222&amp;IF(ISBLANK(U222),"","=")&amp;U222</f>
        <v>Accel_Spindle=1000</v>
      </c>
    </row>
    <row r="223" spans="1:25" x14ac:dyDescent="0.25">
      <c r="A223">
        <v>118</v>
      </c>
      <c r="B223" t="s">
        <v>5</v>
      </c>
      <c r="C223" s="39" t="s">
        <v>373</v>
      </c>
      <c r="D223" s="39">
        <v>5007</v>
      </c>
      <c r="E223" s="26">
        <v>916</v>
      </c>
      <c r="F223" s="26">
        <v>919</v>
      </c>
      <c r="G223" s="26"/>
      <c r="H223" s="49" t="str">
        <f>DEC2HEX(I223)</f>
        <v>B9</v>
      </c>
      <c r="I223" s="27">
        <v>185</v>
      </c>
      <c r="J223" s="27" t="str">
        <f>CHAR(I223)</f>
        <v>¹</v>
      </c>
      <c r="L223">
        <f>IF(ISBLANK(D223),IF(E223&gt;0,F223-E223+1,0),0)</f>
        <v>0</v>
      </c>
      <c r="M223" s="45">
        <f>IF(ISBLANK(D223),0,IF(G223=0,F223-E223+1,0))</f>
        <v>4</v>
      </c>
      <c r="Q223" s="42" t="str">
        <f>C223&amp;IF(ISBLANK(D223),"","=")&amp;D223</f>
        <v>MaxSpeed_M4 =5007</v>
      </c>
      <c r="S223" s="39">
        <v>30000</v>
      </c>
      <c r="T223" s="42" t="str">
        <f>C223&amp;IF(ISBLANK(S223),"","=")&amp;S223</f>
        <v>MaxSpeed_M4 =30000</v>
      </c>
      <c r="U223" s="39">
        <v>1000</v>
      </c>
      <c r="V223" s="42" t="str">
        <f>C223&amp;IF(ISBLANK(U223),"","=")&amp;U223</f>
        <v>MaxSpeed_M4 =1000</v>
      </c>
    </row>
    <row r="224" spans="1:25" x14ac:dyDescent="0.25">
      <c r="A224">
        <v>119</v>
      </c>
      <c r="B224" t="s">
        <v>5</v>
      </c>
      <c r="C224" s="39" t="s">
        <v>374</v>
      </c>
      <c r="D224" s="39">
        <v>5008</v>
      </c>
      <c r="E224" s="26">
        <v>920</v>
      </c>
      <c r="F224" s="26">
        <v>923</v>
      </c>
      <c r="G224" s="26"/>
      <c r="H224" s="49" t="str">
        <f>DEC2HEX(I224)</f>
        <v>BA</v>
      </c>
      <c r="I224" s="27">
        <v>186</v>
      </c>
      <c r="J224" s="27" t="str">
        <f>CHAR(I224)</f>
        <v>º</v>
      </c>
      <c r="L224">
        <f>IF(ISBLANK(D224),IF(E224&gt;0,F224-E224+1,0),0)</f>
        <v>0</v>
      </c>
      <c r="M224" s="45">
        <f>IF(ISBLANK(D224),0,IF(G224=0,F224-E224+1,0))</f>
        <v>4</v>
      </c>
      <c r="Q224" s="42" t="str">
        <f>C224&amp;IF(ISBLANK(D224),"","=")&amp;D224</f>
        <v>Accel_M4 =5008</v>
      </c>
      <c r="S224" s="39">
        <v>15000</v>
      </c>
      <c r="T224" s="42" t="str">
        <f>C224&amp;IF(ISBLANK(S224),"","=")&amp;S224</f>
        <v>Accel_M4 =15000</v>
      </c>
      <c r="U224" s="39">
        <v>1000</v>
      </c>
      <c r="V224" s="42" t="str">
        <f>C224&amp;IF(ISBLANK(U224),"","=")&amp;U224</f>
        <v>Accel_M4 =1000</v>
      </c>
    </row>
    <row r="225" spans="1:25" x14ac:dyDescent="0.25">
      <c r="A225">
        <v>413</v>
      </c>
      <c r="E225" s="40">
        <v>924</v>
      </c>
      <c r="F225" s="40">
        <v>935</v>
      </c>
      <c r="H225" s="47"/>
      <c r="I225" s="4"/>
      <c r="J225" s="4"/>
      <c r="L225">
        <f>IF(ISBLANK(D225),IF(E225&gt;0,F225-E225+1,0),0)</f>
        <v>12</v>
      </c>
      <c r="M225" s="45">
        <f>IF(ISBLANK(D225),0,IF(G225=0,F225-E225+1,0))</f>
        <v>0</v>
      </c>
    </row>
    <row r="226" spans="1:25" x14ac:dyDescent="0.25">
      <c r="A226">
        <v>253</v>
      </c>
      <c r="B226" t="s">
        <v>442</v>
      </c>
      <c r="C226" s="39" t="s">
        <v>354</v>
      </c>
      <c r="D226" s="39">
        <v>5041</v>
      </c>
      <c r="E226" s="26">
        <v>936</v>
      </c>
      <c r="F226" s="26">
        <v>939</v>
      </c>
      <c r="G226" s="26"/>
      <c r="H226" s="49" t="str">
        <f>DEC2HEX(I226)</f>
        <v>3B</v>
      </c>
      <c r="I226" s="27">
        <v>59</v>
      </c>
      <c r="J226" s="27" t="str">
        <f>CHAR(I226)</f>
        <v>;</v>
      </c>
      <c r="L226">
        <f>IF(ISBLANK(D226),IF(E226&gt;0,F226-E226+1,0),0)</f>
        <v>0</v>
      </c>
      <c r="M226" s="45">
        <f>IF(ISBLANK(D226),0,IF(G226=0,F226-E226+1,0))</f>
        <v>4</v>
      </c>
      <c r="Q226" s="42" t="str">
        <f>C226&amp;IF(ISBLANK(D226),"","=")&amp;D226</f>
        <v>Accel_Spindle=5041</v>
      </c>
      <c r="S226" s="39">
        <v>20000</v>
      </c>
      <c r="T226" s="42" t="str">
        <f>C226&amp;IF(ISBLANK(S226),"","=")&amp;S226</f>
        <v>Accel_Spindle=20000</v>
      </c>
      <c r="U226" s="39">
        <v>1000</v>
      </c>
      <c r="V226" s="42" t="str">
        <f>C226&amp;IF(ISBLANK(U226),"","=")&amp;U226</f>
        <v>Accel_Spindle=1000</v>
      </c>
    </row>
    <row r="227" spans="1:25" x14ac:dyDescent="0.25">
      <c r="A227">
        <v>414</v>
      </c>
      <c r="E227" s="41">
        <v>940</v>
      </c>
      <c r="F227" s="41">
        <v>943</v>
      </c>
      <c r="L227">
        <f>IF(ISBLANK(D227),IF(E227&gt;0,F227-E227+1,0),0)</f>
        <v>4</v>
      </c>
      <c r="M227" s="45">
        <f>IF(ISBLANK(D227),0,IF(G227=0,F227-E227+1,0))</f>
        <v>0</v>
      </c>
    </row>
    <row r="228" spans="1:25" x14ac:dyDescent="0.25">
      <c r="A228">
        <v>176</v>
      </c>
      <c r="B228" t="s">
        <v>0</v>
      </c>
      <c r="C228" s="39" t="s">
        <v>354</v>
      </c>
      <c r="D228" s="39">
        <v>5071</v>
      </c>
      <c r="E228" s="26">
        <v>944</v>
      </c>
      <c r="F228" s="26">
        <v>947</v>
      </c>
      <c r="G228" s="26"/>
      <c r="H228" s="49" t="str">
        <f>DEC2HEX(I228)</f>
        <v>3B</v>
      </c>
      <c r="I228" s="27">
        <v>59</v>
      </c>
      <c r="J228" s="27" t="str">
        <f>CHAR(I228)</f>
        <v>;</v>
      </c>
      <c r="L228">
        <f>IF(ISBLANK(D228),IF(E228&gt;0,F228-E228+1,0),0)</f>
        <v>0</v>
      </c>
      <c r="M228" s="45">
        <f>IF(ISBLANK(D228),0,IF(G228=0,F228-E228+1,0))</f>
        <v>4</v>
      </c>
      <c r="Q228" s="42" t="str">
        <f>C228&amp;IF(ISBLANK(D228),"","=")&amp;D228</f>
        <v>Accel_Spindle=5071</v>
      </c>
      <c r="S228" s="39">
        <v>20000</v>
      </c>
      <c r="T228" s="42" t="str">
        <f>C228&amp;IF(ISBLANK(S228),"","=")&amp;S228</f>
        <v>Accel_Spindle=20000</v>
      </c>
      <c r="U228" s="39">
        <v>1000</v>
      </c>
      <c r="V228" s="42" t="str">
        <f>C228&amp;IF(ISBLANK(U228),"","=")&amp;U228</f>
        <v>Accel_Spindle=1000</v>
      </c>
    </row>
    <row r="229" spans="1:25" x14ac:dyDescent="0.25">
      <c r="A229">
        <v>320</v>
      </c>
      <c r="B229" t="s">
        <v>233</v>
      </c>
      <c r="C229" s="39" t="s">
        <v>365</v>
      </c>
      <c r="D229" s="39">
        <v>4569</v>
      </c>
      <c r="E229" s="26">
        <v>948</v>
      </c>
      <c r="F229" s="26">
        <v>951</v>
      </c>
      <c r="G229" s="26"/>
      <c r="H229" s="49" t="str">
        <f>DEC2HEX(I229)</f>
        <v>BA</v>
      </c>
      <c r="I229" s="27">
        <v>186</v>
      </c>
      <c r="J229" s="27" t="str">
        <f>CHAR(I229)</f>
        <v>º</v>
      </c>
      <c r="L229">
        <f>IF(ISBLANK(D229),IF(E229&gt;0,F229-E229+1,0),0)</f>
        <v>0</v>
      </c>
      <c r="M229" s="45">
        <f>IF(ISBLANK(D229),0,IF(G229=0,F229-E229+1,0))</f>
        <v>4</v>
      </c>
      <c r="Q229" s="42" t="str">
        <f>C229&amp;IF(ISBLANK(D229),"","=")&amp;D229</f>
        <v>Accel_Z=4569</v>
      </c>
      <c r="S229" s="39">
        <v>20000</v>
      </c>
      <c r="T229" s="42" t="str">
        <f>C229&amp;IF(ISBLANK(S229),"","=")&amp;S229</f>
        <v>Accel_Z=20000</v>
      </c>
      <c r="U229" s="39">
        <v>1000</v>
      </c>
      <c r="V229" s="42" t="str">
        <f>C229&amp;IF(ISBLANK(U229),"","=")&amp;U229</f>
        <v>Accel_Z=1000</v>
      </c>
    </row>
    <row r="230" spans="1:25" x14ac:dyDescent="0.25">
      <c r="A230">
        <v>106</v>
      </c>
      <c r="B230" t="s">
        <v>5</v>
      </c>
      <c r="C230" s="39" t="s">
        <v>364</v>
      </c>
      <c r="D230" s="39">
        <v>4001</v>
      </c>
      <c r="E230" s="26">
        <v>952</v>
      </c>
      <c r="F230" s="26">
        <v>955</v>
      </c>
      <c r="G230" s="26"/>
      <c r="H230" s="49" t="str">
        <f>DEC2HEX(I230)</f>
        <v>B9</v>
      </c>
      <c r="I230" s="27">
        <v>185</v>
      </c>
      <c r="J230" s="27" t="str">
        <f>CHAR(I230)</f>
        <v>¹</v>
      </c>
      <c r="L230">
        <f>IF(ISBLANK(D230),IF(E230&gt;0,F230-E230+1,0),0)</f>
        <v>0</v>
      </c>
      <c r="M230" s="45">
        <f>IF(ISBLANK(D230),0,IF(G230=0,F230-E230+1,0))</f>
        <v>4</v>
      </c>
      <c r="Q230" s="42" t="str">
        <f>C230&amp;IF(ISBLANK(D230),"","=")&amp;D230</f>
        <v>MaxSpeed_Z=4001</v>
      </c>
      <c r="S230" s="39">
        <v>30000</v>
      </c>
      <c r="T230" s="42" t="str">
        <f>C230&amp;IF(ISBLANK(S230),"","=")&amp;S230</f>
        <v>MaxSpeed_Z=30000</v>
      </c>
      <c r="U230" s="39">
        <v>1000</v>
      </c>
      <c r="V230" s="42" t="str">
        <f>C230&amp;IF(ISBLANK(U230),"","=")&amp;U230</f>
        <v>MaxSpeed_Z=1000</v>
      </c>
    </row>
    <row r="231" spans="1:25" x14ac:dyDescent="0.25">
      <c r="A231">
        <v>415</v>
      </c>
      <c r="E231" s="41">
        <v>956</v>
      </c>
      <c r="F231" s="41">
        <v>959</v>
      </c>
      <c r="L231">
        <f>IF(ISBLANK(D231),IF(E231&gt;0,F231-E231+1,0),0)</f>
        <v>4</v>
      </c>
      <c r="M231" s="45">
        <f>IF(ISBLANK(D231),0,IF(G231=0,F231-E231+1,0))</f>
        <v>0</v>
      </c>
    </row>
    <row r="232" spans="1:25" x14ac:dyDescent="0.25">
      <c r="A232">
        <v>260</v>
      </c>
      <c r="B232" t="s">
        <v>442</v>
      </c>
      <c r="C232" s="39" t="s">
        <v>367</v>
      </c>
      <c r="D232" s="39">
        <v>5046</v>
      </c>
      <c r="E232" s="26">
        <v>960</v>
      </c>
      <c r="F232" s="26">
        <v>963</v>
      </c>
      <c r="G232" s="26"/>
      <c r="H232" s="49" t="str">
        <f>DEC2HEX(I232)</f>
        <v>B9</v>
      </c>
      <c r="I232" s="27">
        <v>185</v>
      </c>
      <c r="J232" s="27" t="str">
        <f>CHAR(I232)</f>
        <v>¹</v>
      </c>
      <c r="L232">
        <f>IF(ISBLANK(D232),IF(E232&gt;0,F232-E232+1,0),0)</f>
        <v>0</v>
      </c>
      <c r="M232" s="45">
        <f>IF(ISBLANK(D232),0,IF(G232=0,F232-E232+1,0))</f>
        <v>4</v>
      </c>
      <c r="Q232" s="42" t="str">
        <f>C232&amp;IF(ISBLANK(D232),"","=")&amp;D232</f>
        <v>MaxSpeed_X=5046</v>
      </c>
      <c r="S232" s="39">
        <v>30000</v>
      </c>
      <c r="T232" s="42" t="str">
        <f>C232&amp;IF(ISBLANK(S232),"","=")&amp;S232</f>
        <v>MaxSpeed_X=30000</v>
      </c>
      <c r="U232" s="39">
        <v>1000</v>
      </c>
      <c r="V232" s="42" t="str">
        <f>C232&amp;IF(ISBLANK(U232),"","=")&amp;U232</f>
        <v>MaxSpeed_X=1000</v>
      </c>
    </row>
    <row r="233" spans="1:25" x14ac:dyDescent="0.25">
      <c r="A233">
        <v>268</v>
      </c>
      <c r="B233" t="s">
        <v>442</v>
      </c>
      <c r="C233" s="39" t="s">
        <v>379</v>
      </c>
      <c r="D233" s="39">
        <v>5048</v>
      </c>
      <c r="E233" s="26">
        <v>964</v>
      </c>
      <c r="F233" s="26">
        <v>967</v>
      </c>
      <c r="G233" s="26"/>
      <c r="H233" s="49" t="str">
        <f>DEC2HEX(I233)</f>
        <v>B9</v>
      </c>
      <c r="I233" s="27">
        <v>185</v>
      </c>
      <c r="J233" s="27" t="str">
        <f>CHAR(I233)</f>
        <v>¹</v>
      </c>
      <c r="L233">
        <f>IF(ISBLANK(D233),IF(E233&gt;0,F233-E233+1,0),0)</f>
        <v>0</v>
      </c>
      <c r="M233" s="45">
        <f>IF(ISBLANK(D233),0,IF(G233=0,F233-E233+1,0))</f>
        <v>4</v>
      </c>
      <c r="Q233" s="42" t="str">
        <f>C233&amp;IF(ISBLANK(D233),"","=")&amp;D233</f>
        <v>MaxSpeed_M4=5048</v>
      </c>
      <c r="S233" s="39">
        <v>30000</v>
      </c>
      <c r="T233" s="42" t="str">
        <f>C233&amp;IF(ISBLANK(S233),"","=")&amp;S233</f>
        <v>MaxSpeed_M4=30000</v>
      </c>
      <c r="U233" s="39">
        <v>1000</v>
      </c>
      <c r="V233" s="42" t="str">
        <f>C233&amp;IF(ISBLANK(U233),"","=")&amp;U233</f>
        <v>MaxSpeed_M4=1000</v>
      </c>
    </row>
    <row r="234" spans="1:25" x14ac:dyDescent="0.25">
      <c r="A234">
        <v>218</v>
      </c>
      <c r="B234" t="s">
        <v>42</v>
      </c>
      <c r="C234" s="39" t="s">
        <v>364</v>
      </c>
      <c r="D234" s="39">
        <v>5080</v>
      </c>
      <c r="E234" s="26">
        <v>968</v>
      </c>
      <c r="F234" s="26">
        <v>971</v>
      </c>
      <c r="G234" s="26"/>
      <c r="H234" s="49" t="str">
        <f>DEC2HEX(I234)</f>
        <v>B9</v>
      </c>
      <c r="I234" s="27">
        <v>185</v>
      </c>
      <c r="J234" s="27" t="str">
        <f>CHAR(I234)</f>
        <v>¹</v>
      </c>
      <c r="L234">
        <f>IF(ISBLANK(D234),IF(E234&gt;0,F234-E234+1,0),0)</f>
        <v>0</v>
      </c>
      <c r="M234" s="45">
        <f>IF(ISBLANK(D234),0,IF(G234=0,F234-E234+1,0))</f>
        <v>4</v>
      </c>
      <c r="Q234" s="42" t="str">
        <f>C234&amp;IF(ISBLANK(D234),"","=")&amp;D234</f>
        <v>MaxSpeed_Z=5080</v>
      </c>
      <c r="S234" s="39">
        <v>30000</v>
      </c>
      <c r="T234" s="42" t="str">
        <f>C234&amp;IF(ISBLANK(S234),"","=")&amp;S234</f>
        <v>MaxSpeed_Z=30000</v>
      </c>
      <c r="U234" s="39">
        <v>1000</v>
      </c>
      <c r="V234" s="42" t="str">
        <f>C234&amp;IF(ISBLANK(U234),"","=")&amp;U234</f>
        <v>MaxSpeed_Z=1000</v>
      </c>
    </row>
    <row r="235" spans="1:25" x14ac:dyDescent="0.25">
      <c r="A235">
        <v>107</v>
      </c>
      <c r="B235" t="s">
        <v>5</v>
      </c>
      <c r="C235" s="39" t="s">
        <v>365</v>
      </c>
      <c r="D235" s="39">
        <v>5002</v>
      </c>
      <c r="E235" s="26">
        <v>972</v>
      </c>
      <c r="F235" s="26">
        <v>975</v>
      </c>
      <c r="G235" s="26"/>
      <c r="H235" s="49" t="str">
        <f>DEC2HEX(I235)</f>
        <v>BA</v>
      </c>
      <c r="I235" s="27">
        <v>186</v>
      </c>
      <c r="J235" s="27" t="str">
        <f>CHAR(I235)</f>
        <v>º</v>
      </c>
      <c r="L235">
        <f>IF(ISBLANK(D235),IF(E235&gt;0,F235-E235+1,0),0)</f>
        <v>0</v>
      </c>
      <c r="M235" s="45">
        <f>IF(ISBLANK(D235),0,IF(G235=0,F235-E235+1,0))</f>
        <v>4</v>
      </c>
      <c r="Q235" s="42" t="str">
        <f>C235&amp;IF(ISBLANK(D235),"","=")&amp;D235</f>
        <v>Accel_Z=5002</v>
      </c>
      <c r="S235" s="39">
        <v>15000</v>
      </c>
      <c r="T235" s="42" t="str">
        <f>C235&amp;IF(ISBLANK(S235),"","=")&amp;S235</f>
        <v>Accel_Z=15000</v>
      </c>
      <c r="U235" s="39">
        <v>1000</v>
      </c>
      <c r="V235" s="42" t="str">
        <f>C235&amp;IF(ISBLANK(U235),"","=")&amp;U235</f>
        <v>Accel_Z=1000</v>
      </c>
    </row>
    <row r="236" spans="1:25" x14ac:dyDescent="0.25">
      <c r="A236">
        <v>269</v>
      </c>
      <c r="B236" t="s">
        <v>442</v>
      </c>
      <c r="C236" s="39" t="s">
        <v>380</v>
      </c>
      <c r="D236" s="39">
        <v>5049</v>
      </c>
      <c r="E236" s="26">
        <v>976</v>
      </c>
      <c r="F236" s="26">
        <v>979</v>
      </c>
      <c r="G236" s="26"/>
      <c r="H236" s="49" t="str">
        <f>DEC2HEX(I236)</f>
        <v>BA</v>
      </c>
      <c r="I236" s="27">
        <v>186</v>
      </c>
      <c r="J236" s="27" t="str">
        <f>CHAR(I236)</f>
        <v>º</v>
      </c>
      <c r="L236">
        <f>IF(ISBLANK(D236),IF(E236&gt;0,F236-E236+1,0),0)</f>
        <v>0</v>
      </c>
      <c r="M236" s="45">
        <f>IF(ISBLANK(D236),0,IF(G236=0,F236-E236+1,0))</f>
        <v>4</v>
      </c>
      <c r="Q236" s="42" t="str">
        <f>C236&amp;IF(ISBLANK(D236),"","=")&amp;D236</f>
        <v>Accel_M4=5049</v>
      </c>
      <c r="S236" s="39">
        <v>20000</v>
      </c>
      <c r="T236" s="42" t="str">
        <f>C236&amp;IF(ISBLANK(S236),"","=")&amp;S236</f>
        <v>Accel_M4=20000</v>
      </c>
      <c r="U236" s="39">
        <v>1000</v>
      </c>
      <c r="V236" s="42" t="str">
        <f>C236&amp;IF(ISBLANK(U236),"","=")&amp;U236</f>
        <v>Accel_M4=1000</v>
      </c>
    </row>
    <row r="237" spans="1:25" x14ac:dyDescent="0.25">
      <c r="A237">
        <v>261</v>
      </c>
      <c r="B237" t="s">
        <v>442</v>
      </c>
      <c r="C237" s="39" t="s">
        <v>368</v>
      </c>
      <c r="D237" s="39">
        <v>5047</v>
      </c>
      <c r="E237" s="26">
        <v>980</v>
      </c>
      <c r="F237" s="26">
        <v>983</v>
      </c>
      <c r="G237" s="26"/>
      <c r="H237" s="49" t="str">
        <f>DEC2HEX(I237)</f>
        <v>BA</v>
      </c>
      <c r="I237" s="27">
        <v>186</v>
      </c>
      <c r="J237" s="27" t="str">
        <f>CHAR(I237)</f>
        <v>º</v>
      </c>
      <c r="L237">
        <f>IF(ISBLANK(D237),IF(E237&gt;0,F237-E237+1,0),0)</f>
        <v>0</v>
      </c>
      <c r="M237" s="45">
        <f>IF(ISBLANK(D237),0,IF(G237=0,F237-E237+1,0))</f>
        <v>4</v>
      </c>
      <c r="Q237" s="42" t="str">
        <f>C237&amp;IF(ISBLANK(D237),"","=")&amp;D237</f>
        <v>Accel_X=5047</v>
      </c>
      <c r="S237" s="39">
        <v>20000</v>
      </c>
      <c r="T237" s="42" t="str">
        <f>C237&amp;IF(ISBLANK(S237),"","=")&amp;S237</f>
        <v>Accel_X=20000</v>
      </c>
      <c r="U237" s="39">
        <v>1000</v>
      </c>
      <c r="V237" s="42" t="str">
        <f>C237&amp;IF(ISBLANK(U237),"","=")&amp;U237</f>
        <v>Accel_X=1000</v>
      </c>
    </row>
    <row r="238" spans="1:25" x14ac:dyDescent="0.25">
      <c r="A238">
        <v>416</v>
      </c>
      <c r="E238" s="41">
        <v>984</v>
      </c>
      <c r="F238" s="41">
        <v>987</v>
      </c>
      <c r="L238">
        <f>IF(ISBLANK(D238),IF(E238&gt;0,F238-E238+1,0),0)</f>
        <v>4</v>
      </c>
      <c r="M238" s="45">
        <f>IF(ISBLANK(D238),0,IF(G238=0,F238-E238+1,0))</f>
        <v>0</v>
      </c>
    </row>
    <row r="239" spans="1:25" s="29" customFormat="1" x14ac:dyDescent="0.25">
      <c r="A239">
        <v>219</v>
      </c>
      <c r="B239" t="s">
        <v>42</v>
      </c>
      <c r="C239" s="39" t="s">
        <v>365</v>
      </c>
      <c r="D239" s="39">
        <v>5081</v>
      </c>
      <c r="E239" s="26">
        <v>988</v>
      </c>
      <c r="F239" s="26">
        <v>991</v>
      </c>
      <c r="G239" s="26"/>
      <c r="H239" s="49" t="str">
        <f>DEC2HEX(I239)</f>
        <v>BA</v>
      </c>
      <c r="I239" s="27">
        <v>186</v>
      </c>
      <c r="J239" s="27" t="str">
        <f>CHAR(I239)</f>
        <v>º</v>
      </c>
      <c r="K239" s="39"/>
      <c r="L239">
        <f>IF(ISBLANK(D239),IF(E239&gt;0,F239-E239+1,0),0)</f>
        <v>0</v>
      </c>
      <c r="M239" s="45">
        <f>IF(ISBLANK(D239),0,IF(G239=0,F239-E239+1,0))</f>
        <v>4</v>
      </c>
      <c r="N239" s="54"/>
      <c r="O239" s="54"/>
      <c r="P239" s="54"/>
      <c r="Q239" s="42" t="str">
        <f>C239&amp;IF(ISBLANK(D239),"","=")&amp;D239</f>
        <v>Accel_Z=5081</v>
      </c>
      <c r="R239"/>
      <c r="S239" s="39">
        <v>20000</v>
      </c>
      <c r="T239" s="42" t="str">
        <f>C239&amp;IF(ISBLANK(S239),"","=")&amp;S239</f>
        <v>Accel_Z=20000</v>
      </c>
      <c r="U239" s="39">
        <v>1000</v>
      </c>
      <c r="V239" s="42" t="str">
        <f>C239&amp;IF(ISBLANK(U239),"","=")&amp;U239</f>
        <v>Accel_Z=1000</v>
      </c>
      <c r="W239"/>
      <c r="X239"/>
      <c r="Y239"/>
    </row>
    <row r="240" spans="1:25" x14ac:dyDescent="0.25">
      <c r="A240">
        <v>110</v>
      </c>
      <c r="B240" t="s">
        <v>5</v>
      </c>
      <c r="C240" s="39" t="s">
        <v>367</v>
      </c>
      <c r="D240" s="39">
        <v>4000</v>
      </c>
      <c r="E240" s="26">
        <v>992</v>
      </c>
      <c r="F240" s="26">
        <v>995</v>
      </c>
      <c r="G240" s="26"/>
      <c r="H240" s="49" t="str">
        <f>DEC2HEX(I240)</f>
        <v>B9</v>
      </c>
      <c r="I240" s="27">
        <v>185</v>
      </c>
      <c r="J240" s="27" t="str">
        <f>CHAR(I240)</f>
        <v>¹</v>
      </c>
      <c r="L240">
        <f>IF(ISBLANK(D240),IF(E240&gt;0,F240-E240+1,0),0)</f>
        <v>0</v>
      </c>
      <c r="M240" s="45">
        <f>IF(ISBLANK(D240),0,IF(G240=0,F240-E240+1,0))</f>
        <v>4</v>
      </c>
      <c r="Q240" s="42" t="str">
        <f>C240&amp;IF(ISBLANK(D240),"","=")&amp;D240</f>
        <v>MaxSpeed_X=4000</v>
      </c>
      <c r="S240" s="39">
        <v>30000</v>
      </c>
      <c r="T240" s="42" t="str">
        <f>C240&amp;IF(ISBLANK(S240),"","=")&amp;S240</f>
        <v>MaxSpeed_X=30000</v>
      </c>
      <c r="U240" s="39">
        <v>1000</v>
      </c>
      <c r="V240" s="42" t="str">
        <f>C240&amp;IF(ISBLANK(U240),"","=")&amp;U240</f>
        <v>MaxSpeed_X=1000</v>
      </c>
    </row>
    <row r="241" spans="1:25" x14ac:dyDescent="0.25">
      <c r="A241">
        <v>256</v>
      </c>
      <c r="B241" t="s">
        <v>442</v>
      </c>
      <c r="C241" s="39" t="s">
        <v>364</v>
      </c>
      <c r="D241" s="39">
        <v>5043</v>
      </c>
      <c r="E241" s="26">
        <v>996</v>
      </c>
      <c r="F241" s="26">
        <v>999</v>
      </c>
      <c r="G241" s="26"/>
      <c r="H241" s="49" t="str">
        <f>DEC2HEX(I241)</f>
        <v>B9</v>
      </c>
      <c r="I241" s="27">
        <v>185</v>
      </c>
      <c r="J241" s="27" t="str">
        <f>CHAR(I241)</f>
        <v>¹</v>
      </c>
      <c r="L241">
        <f>IF(ISBLANK(D241),IF(E241&gt;0,F241-E241+1,0),0)</f>
        <v>0</v>
      </c>
      <c r="M241" s="45">
        <f>IF(ISBLANK(D241),0,IF(G241=0,F241-E241+1,0))</f>
        <v>4</v>
      </c>
      <c r="Q241" s="42" t="str">
        <f>C241&amp;IF(ISBLANK(D241),"","=")&amp;D241</f>
        <v>MaxSpeed_Z=5043</v>
      </c>
      <c r="S241" s="39">
        <v>30000</v>
      </c>
      <c r="T241" s="42" t="str">
        <f>C241&amp;IF(ISBLANK(S241),"","=")&amp;S241</f>
        <v>MaxSpeed_Z=30000</v>
      </c>
      <c r="U241" s="39">
        <v>1000</v>
      </c>
      <c r="V241" s="42" t="str">
        <f>C241&amp;IF(ISBLANK(U241),"","=")&amp;U241</f>
        <v>MaxSpeed_Z=1000</v>
      </c>
    </row>
    <row r="242" spans="1:25" s="84" customFormat="1" x14ac:dyDescent="0.25">
      <c r="A242">
        <v>224</v>
      </c>
      <c r="B242" t="s">
        <v>42</v>
      </c>
      <c r="C242" s="39" t="s">
        <v>367</v>
      </c>
      <c r="D242" s="39">
        <v>5083</v>
      </c>
      <c r="E242" s="26">
        <v>1000</v>
      </c>
      <c r="F242" s="26">
        <v>1003</v>
      </c>
      <c r="G242" s="26"/>
      <c r="H242" s="49" t="str">
        <f>DEC2HEX(I242)</f>
        <v>B9</v>
      </c>
      <c r="I242" s="27">
        <v>185</v>
      </c>
      <c r="J242" s="27" t="str">
        <f>CHAR(I242)</f>
        <v>¹</v>
      </c>
      <c r="K242" s="39"/>
      <c r="L242">
        <f>IF(ISBLANK(D242),IF(E242&gt;0,F242-E242+1,0),0)</f>
        <v>0</v>
      </c>
      <c r="M242" s="45">
        <f>IF(ISBLANK(D242),0,IF(G242=0,F242-E242+1,0))</f>
        <v>4</v>
      </c>
      <c r="N242" s="54"/>
      <c r="O242" s="54"/>
      <c r="P242" s="54"/>
      <c r="Q242" s="42" t="str">
        <f>C242&amp;IF(ISBLANK(D242),"","=")&amp;D242</f>
        <v>MaxSpeed_X=5083</v>
      </c>
      <c r="R242"/>
      <c r="S242" s="39">
        <v>30000</v>
      </c>
      <c r="T242" s="42" t="str">
        <f>C242&amp;IF(ISBLANK(S242),"","=")&amp;S242</f>
        <v>MaxSpeed_X=30000</v>
      </c>
      <c r="U242" s="39">
        <v>1000</v>
      </c>
      <c r="V242" s="42" t="str">
        <f>C242&amp;IF(ISBLANK(U242),"","=")&amp;U242</f>
        <v>MaxSpeed_X=1000</v>
      </c>
      <c r="W242"/>
      <c r="X242"/>
      <c r="Y242"/>
    </row>
    <row r="243" spans="1:25" x14ac:dyDescent="0.25">
      <c r="A243">
        <v>111</v>
      </c>
      <c r="B243" t="s">
        <v>5</v>
      </c>
      <c r="C243" s="39" t="s">
        <v>368</v>
      </c>
      <c r="D243" s="39">
        <v>5005</v>
      </c>
      <c r="E243" s="26">
        <v>1004</v>
      </c>
      <c r="F243" s="26">
        <v>1007</v>
      </c>
      <c r="G243" s="26"/>
      <c r="H243" s="49" t="str">
        <f>DEC2HEX(I243)</f>
        <v>BA</v>
      </c>
      <c r="I243" s="27">
        <v>186</v>
      </c>
      <c r="J243" s="27" t="str">
        <f>CHAR(I243)</f>
        <v>º</v>
      </c>
      <c r="L243">
        <f>IF(ISBLANK(D243),IF(E243&gt;0,F243-E243+1,0),0)</f>
        <v>0</v>
      </c>
      <c r="M243" s="45">
        <f>IF(ISBLANK(D243),0,IF(G243=0,F243-E243+1,0))</f>
        <v>4</v>
      </c>
      <c r="Q243" s="42" t="str">
        <f>C243&amp;IF(ISBLANK(D243),"","=")&amp;D243</f>
        <v>Accel_X=5005</v>
      </c>
      <c r="S243" s="39">
        <v>15000</v>
      </c>
      <c r="T243" s="42" t="str">
        <f>C243&amp;IF(ISBLANK(S243),"","=")&amp;S243</f>
        <v>Accel_X=15000</v>
      </c>
      <c r="U243" s="39">
        <v>1000</v>
      </c>
      <c r="V243" s="42" t="str">
        <f>C243&amp;IF(ISBLANK(U243),"","=")&amp;U243</f>
        <v>Accel_X=1000</v>
      </c>
    </row>
    <row r="244" spans="1:25" x14ac:dyDescent="0.25">
      <c r="A244">
        <v>257</v>
      </c>
      <c r="B244" t="s">
        <v>442</v>
      </c>
      <c r="C244" s="39" t="s">
        <v>365</v>
      </c>
      <c r="D244" s="39">
        <v>5044</v>
      </c>
      <c r="E244" s="26">
        <v>1008</v>
      </c>
      <c r="F244" s="26">
        <v>1011</v>
      </c>
      <c r="G244" s="26"/>
      <c r="H244" s="49" t="str">
        <f>DEC2HEX(I244)</f>
        <v>BA</v>
      </c>
      <c r="I244" s="27">
        <v>186</v>
      </c>
      <c r="J244" s="27" t="str">
        <f>CHAR(I244)</f>
        <v>º</v>
      </c>
      <c r="L244">
        <f>IF(ISBLANK(D244),IF(E244&gt;0,F244-E244+1,0),0)</f>
        <v>0</v>
      </c>
      <c r="M244" s="45">
        <f>IF(ISBLANK(D244),0,IF(G244=0,F244-E244+1,0))</f>
        <v>4</v>
      </c>
      <c r="Q244" s="42" t="str">
        <f>C244&amp;IF(ISBLANK(D244),"","=")&amp;D244</f>
        <v>Accel_Z=5044</v>
      </c>
      <c r="S244" s="39">
        <v>20000</v>
      </c>
      <c r="T244" s="42" t="str">
        <f>C244&amp;IF(ISBLANK(S244),"","=")&amp;S244</f>
        <v>Accel_Z=20000</v>
      </c>
      <c r="U244" s="39">
        <v>1000</v>
      </c>
      <c r="V244" s="42" t="str">
        <f>C244&amp;IF(ISBLANK(U244),"","=")&amp;U244</f>
        <v>Accel_Z=1000</v>
      </c>
    </row>
    <row r="245" spans="1:25" x14ac:dyDescent="0.25">
      <c r="A245">
        <v>225</v>
      </c>
      <c r="B245" t="s">
        <v>42</v>
      </c>
      <c r="C245" s="39" t="s">
        <v>368</v>
      </c>
      <c r="D245" s="39">
        <v>5084</v>
      </c>
      <c r="E245" s="26">
        <v>1012</v>
      </c>
      <c r="F245" s="26">
        <v>1015</v>
      </c>
      <c r="G245" s="26"/>
      <c r="H245" s="49" t="str">
        <f>DEC2HEX(I245)</f>
        <v>BA</v>
      </c>
      <c r="I245" s="27">
        <v>186</v>
      </c>
      <c r="J245" s="27" t="str">
        <f>CHAR(I245)</f>
        <v>º</v>
      </c>
      <c r="L245">
        <f>IF(ISBLANK(D245),IF(E245&gt;0,F245-E245+1,0),0)</f>
        <v>0</v>
      </c>
      <c r="M245" s="45">
        <f>IF(ISBLANK(D245),0,IF(G245=0,F245-E245+1,0))</f>
        <v>4</v>
      </c>
      <c r="Q245" s="42" t="str">
        <f>C245&amp;IF(ISBLANK(D245),"","=")&amp;D245</f>
        <v>Accel_X=5084</v>
      </c>
      <c r="S245" s="39">
        <v>20000</v>
      </c>
      <c r="T245" s="42" t="str">
        <f>C245&amp;IF(ISBLANK(S245),"","=")&amp;S245</f>
        <v>Accel_X=20000</v>
      </c>
      <c r="U245" s="39">
        <v>1000</v>
      </c>
      <c r="V245" s="42" t="str">
        <f>C245&amp;IF(ISBLANK(U245),"","=")&amp;U245</f>
        <v>Accel_X=1000</v>
      </c>
    </row>
    <row r="246" spans="1:25" x14ac:dyDescent="0.25">
      <c r="A246">
        <v>114</v>
      </c>
      <c r="B246" t="s">
        <v>5</v>
      </c>
      <c r="C246" s="39" t="s">
        <v>370</v>
      </c>
      <c r="D246" s="39">
        <v>5007</v>
      </c>
      <c r="E246" s="26">
        <v>1016</v>
      </c>
      <c r="F246" s="26">
        <v>1019</v>
      </c>
      <c r="G246" s="26"/>
      <c r="H246" s="49" t="str">
        <f>DEC2HEX(I246)</f>
        <v>B9</v>
      </c>
      <c r="I246" s="27">
        <v>185</v>
      </c>
      <c r="J246" s="27" t="str">
        <f>CHAR(I246)</f>
        <v>¹</v>
      </c>
      <c r="L246">
        <f>IF(ISBLANK(D246),IF(E246&gt;0,F246-E246+1,0),0)</f>
        <v>0</v>
      </c>
      <c r="M246" s="45">
        <f>IF(ISBLANK(D246),0,IF(G246=0,F246-E246+1,0))</f>
        <v>4</v>
      </c>
      <c r="Q246" s="42" t="str">
        <f>C246&amp;IF(ISBLANK(D246),"","=")&amp;D246</f>
        <v>MaxSpeed_M3 =5007</v>
      </c>
      <c r="S246" s="39">
        <v>30000</v>
      </c>
      <c r="T246" s="42" t="str">
        <f>C246&amp;IF(ISBLANK(S246),"","=")&amp;S246</f>
        <v>MaxSpeed_M3 =30000</v>
      </c>
      <c r="U246" s="39">
        <v>10001</v>
      </c>
      <c r="V246" s="42" t="str">
        <f>C246&amp;IF(ISBLANK(U246),"","=")&amp;U246</f>
        <v>MaxSpeed_M3 =10001</v>
      </c>
    </row>
    <row r="247" spans="1:25" x14ac:dyDescent="0.25">
      <c r="A247">
        <v>115</v>
      </c>
      <c r="B247" t="s">
        <v>5</v>
      </c>
      <c r="C247" s="39" t="s">
        <v>371</v>
      </c>
      <c r="D247" s="39">
        <v>5008</v>
      </c>
      <c r="E247" s="26">
        <v>1020</v>
      </c>
      <c r="F247" s="26">
        <v>1023</v>
      </c>
      <c r="G247" s="26"/>
      <c r="H247" s="49" t="str">
        <f>DEC2HEX(I247)</f>
        <v>BA</v>
      </c>
      <c r="I247" s="27">
        <v>186</v>
      </c>
      <c r="J247" s="27" t="str">
        <f>CHAR(I247)</f>
        <v>º</v>
      </c>
      <c r="L247">
        <f>IF(ISBLANK(D247),IF(E247&gt;0,F247-E247+1,0),0)</f>
        <v>0</v>
      </c>
      <c r="M247" s="45">
        <f>IF(ISBLANK(D247),0,IF(G247=0,F247-E247+1,0))</f>
        <v>4</v>
      </c>
      <c r="Q247" s="42" t="str">
        <f>C247&amp;IF(ISBLANK(D247),"","=")&amp;D247</f>
        <v>Accel_M3 =5008</v>
      </c>
      <c r="S247" s="39">
        <v>15000</v>
      </c>
      <c r="T247" s="42" t="str">
        <f>C247&amp;IF(ISBLANK(S247),"","=")&amp;S247</f>
        <v>Accel_M3 =15000</v>
      </c>
      <c r="U247" s="39">
        <v>1000</v>
      </c>
      <c r="V247" s="42" t="str">
        <f>C247&amp;IF(ISBLANK(U247),"","=")&amp;U247</f>
        <v>Accel_M3 =1000</v>
      </c>
    </row>
    <row r="248" spans="1:25" x14ac:dyDescent="0.25">
      <c r="A248">
        <v>386</v>
      </c>
      <c r="B248" s="62" t="s">
        <v>475</v>
      </c>
      <c r="C248" s="63" t="s">
        <v>485</v>
      </c>
      <c r="D248" s="63"/>
      <c r="E248" s="62"/>
      <c r="F248" s="62"/>
      <c r="G248" s="62"/>
      <c r="H248" s="64" t="str">
        <f>DEC2HEX(I248)</f>
        <v>EC</v>
      </c>
      <c r="I248" s="65">
        <v>236</v>
      </c>
      <c r="J248" s="65" t="str">
        <f>CHAR(I248)</f>
        <v>ì</v>
      </c>
      <c r="S248" s="63"/>
      <c r="U248" s="63"/>
    </row>
    <row r="249" spans="1:25" x14ac:dyDescent="0.25">
      <c r="A249">
        <v>384</v>
      </c>
      <c r="B249" s="62" t="s">
        <v>475</v>
      </c>
      <c r="C249" s="63" t="s">
        <v>483</v>
      </c>
      <c r="D249" s="63"/>
      <c r="E249" s="62"/>
      <c r="F249" s="62"/>
      <c r="G249" s="62"/>
      <c r="H249" s="64" t="str">
        <f>DEC2HEX(I249)</f>
        <v>D7</v>
      </c>
      <c r="I249" s="65">
        <v>215</v>
      </c>
      <c r="J249" s="65" t="str">
        <f>CHAR(I249)</f>
        <v>×</v>
      </c>
      <c r="S249" s="63"/>
      <c r="U249" s="63"/>
    </row>
    <row r="250" spans="1:25" x14ac:dyDescent="0.25">
      <c r="A250">
        <v>381</v>
      </c>
      <c r="B250" s="62" t="s">
        <v>475</v>
      </c>
      <c r="C250" s="63" t="s">
        <v>482</v>
      </c>
      <c r="D250" s="63"/>
      <c r="E250" s="62"/>
      <c r="F250" s="62"/>
      <c r="G250" s="62"/>
      <c r="H250" s="64" t="str">
        <f>DEC2HEX(I250)</f>
        <v>CE</v>
      </c>
      <c r="I250" s="65">
        <v>206</v>
      </c>
      <c r="J250" s="65" t="str">
        <f>CHAR(I250)</f>
        <v>Î</v>
      </c>
      <c r="S250" s="63"/>
      <c r="U250" s="63"/>
    </row>
    <row r="251" spans="1:25" x14ac:dyDescent="0.25">
      <c r="A251">
        <v>391</v>
      </c>
      <c r="B251" s="62" t="s">
        <v>475</v>
      </c>
      <c r="C251" s="63" t="s">
        <v>505</v>
      </c>
      <c r="D251" s="63"/>
      <c r="E251" s="62"/>
      <c r="F251" s="62"/>
      <c r="G251" s="62"/>
      <c r="H251" s="64" t="str">
        <f>DEC2HEX(I251)</f>
        <v>7D</v>
      </c>
      <c r="I251" s="65">
        <v>125</v>
      </c>
      <c r="J251" s="65" t="str">
        <f>CHAR(I251)</f>
        <v>}</v>
      </c>
      <c r="R251" s="27"/>
      <c r="S251" s="63"/>
      <c r="T251" s="27"/>
      <c r="U251" s="63"/>
      <c r="V251" s="27"/>
      <c r="W251" s="27"/>
      <c r="X251" s="27"/>
      <c r="Y251" s="27"/>
    </row>
    <row r="252" spans="1:25" x14ac:dyDescent="0.25">
      <c r="A252">
        <v>390</v>
      </c>
      <c r="B252" s="62" t="s">
        <v>475</v>
      </c>
      <c r="C252" s="63" t="s">
        <v>504</v>
      </c>
      <c r="D252" s="63"/>
      <c r="E252" s="62"/>
      <c r="F252" s="62"/>
      <c r="G252" s="62"/>
      <c r="H252" s="64" t="str">
        <f>DEC2HEX(I252)</f>
        <v>7C</v>
      </c>
      <c r="I252" s="65">
        <v>124</v>
      </c>
      <c r="J252" s="65" t="str">
        <f>CHAR(I252)</f>
        <v>|</v>
      </c>
      <c r="R252" s="27"/>
      <c r="S252" s="63"/>
      <c r="T252" s="27"/>
      <c r="U252" s="63"/>
      <c r="V252" s="27"/>
      <c r="W252" s="27"/>
      <c r="X252" s="27"/>
      <c r="Y252" s="27"/>
    </row>
    <row r="253" spans="1:25" x14ac:dyDescent="0.25">
      <c r="A253">
        <v>356</v>
      </c>
      <c r="B253" s="62" t="s">
        <v>475</v>
      </c>
      <c r="C253" s="63" t="s">
        <v>469</v>
      </c>
      <c r="D253" s="103"/>
      <c r="E253" s="65"/>
      <c r="F253" s="62"/>
      <c r="G253" s="62"/>
      <c r="H253" s="64" t="str">
        <f>DEC2HEX(I253)</f>
        <v>53</v>
      </c>
      <c r="I253" s="65">
        <v>83</v>
      </c>
      <c r="J253" s="65" t="str">
        <f>CHAR(I253)</f>
        <v>S</v>
      </c>
      <c r="S253" s="103"/>
      <c r="U253" s="103"/>
    </row>
    <row r="254" spans="1:25" x14ac:dyDescent="0.25">
      <c r="A254">
        <v>388</v>
      </c>
      <c r="B254" s="62" t="s">
        <v>36</v>
      </c>
      <c r="C254" s="63" t="s">
        <v>488</v>
      </c>
      <c r="D254" s="63"/>
      <c r="E254" s="62"/>
      <c r="F254" s="62"/>
      <c r="G254" s="62"/>
      <c r="H254" s="64" t="str">
        <f>DEC2HEX(I254)</f>
        <v>F7</v>
      </c>
      <c r="I254" s="65">
        <v>247</v>
      </c>
      <c r="J254" s="65" t="str">
        <f>CHAR(I254)</f>
        <v>÷</v>
      </c>
      <c r="S254" s="63"/>
      <c r="U254" s="63"/>
    </row>
    <row r="255" spans="1:25" x14ac:dyDescent="0.25">
      <c r="A255">
        <v>355</v>
      </c>
      <c r="B255" s="62" t="s">
        <v>0</v>
      </c>
      <c r="C255" s="63" t="s">
        <v>468</v>
      </c>
      <c r="D255" s="63"/>
      <c r="E255" s="62"/>
      <c r="F255" s="62"/>
      <c r="G255" s="62"/>
      <c r="H255" s="64" t="str">
        <f>DEC2HEX(I255)</f>
        <v>52</v>
      </c>
      <c r="I255" s="65">
        <v>82</v>
      </c>
      <c r="J255" s="65" t="str">
        <f>CHAR(I255)</f>
        <v>R</v>
      </c>
      <c r="S255" s="63"/>
      <c r="U255" s="63"/>
    </row>
    <row r="256" spans="1:25" x14ac:dyDescent="0.25">
      <c r="A256">
        <v>354</v>
      </c>
      <c r="B256" s="62" t="s">
        <v>0</v>
      </c>
      <c r="C256" s="63" t="s">
        <v>467</v>
      </c>
      <c r="D256" s="63"/>
      <c r="E256" s="62"/>
      <c r="F256" s="62"/>
      <c r="G256" s="62"/>
      <c r="H256" s="64" t="str">
        <f>DEC2HEX(I256)</f>
        <v>51</v>
      </c>
      <c r="I256" s="65">
        <v>81</v>
      </c>
      <c r="J256" s="65" t="str">
        <f>CHAR(I256)</f>
        <v>Q</v>
      </c>
      <c r="S256" s="63"/>
      <c r="U256" s="63"/>
    </row>
    <row r="257" spans="1:25" x14ac:dyDescent="0.25">
      <c r="A257">
        <v>371</v>
      </c>
      <c r="B257" s="62" t="s">
        <v>183</v>
      </c>
      <c r="C257" s="63" t="s">
        <v>477</v>
      </c>
      <c r="D257" s="63"/>
      <c r="E257" s="62"/>
      <c r="F257" s="62"/>
      <c r="G257" s="62"/>
      <c r="H257" s="64" t="str">
        <f>DEC2HEX(I257)</f>
        <v>A3</v>
      </c>
      <c r="I257" s="65">
        <v>163</v>
      </c>
      <c r="J257" s="65" t="str">
        <f>CHAR(I257)</f>
        <v>£</v>
      </c>
      <c r="N257"/>
      <c r="O257"/>
      <c r="P257"/>
      <c r="Q257"/>
      <c r="S257" s="63"/>
      <c r="U257" s="63"/>
    </row>
    <row r="258" spans="1:25" x14ac:dyDescent="0.25">
      <c r="A258">
        <v>357</v>
      </c>
      <c r="B258" s="62" t="s">
        <v>5</v>
      </c>
      <c r="C258" s="63" t="s">
        <v>518</v>
      </c>
      <c r="D258" s="63"/>
      <c r="E258" s="62"/>
      <c r="F258" s="62"/>
      <c r="G258" s="62"/>
      <c r="H258" s="64" t="str">
        <f>DEC2HEX(I258)</f>
        <v>5A</v>
      </c>
      <c r="I258" s="65">
        <v>90</v>
      </c>
      <c r="J258" s="65" t="str">
        <f>CHAR(I258)</f>
        <v>Z</v>
      </c>
      <c r="S258" s="63"/>
      <c r="U258" s="63"/>
    </row>
    <row r="259" spans="1:25" x14ac:dyDescent="0.25">
      <c r="A259">
        <v>358</v>
      </c>
      <c r="B259" s="62" t="s">
        <v>5</v>
      </c>
      <c r="C259" s="63" t="s">
        <v>519</v>
      </c>
      <c r="D259" s="63"/>
      <c r="E259" s="62"/>
      <c r="F259" s="62"/>
      <c r="G259" s="62"/>
      <c r="H259" s="64" t="str">
        <f>DEC2HEX(I259)</f>
        <v>5B</v>
      </c>
      <c r="I259" s="65">
        <v>91</v>
      </c>
      <c r="J259" s="65" t="str">
        <f>CHAR(I259)</f>
        <v>[</v>
      </c>
      <c r="S259" s="63"/>
      <c r="U259" s="63"/>
    </row>
    <row r="260" spans="1:25" x14ac:dyDescent="0.25">
      <c r="A260">
        <v>364</v>
      </c>
      <c r="B260" s="62" t="s">
        <v>5</v>
      </c>
      <c r="C260" s="63" t="s">
        <v>520</v>
      </c>
      <c r="D260" s="63"/>
      <c r="E260" s="62"/>
      <c r="F260" s="62"/>
      <c r="G260" s="62"/>
      <c r="H260" s="64" t="str">
        <f>DEC2HEX(I260)</f>
        <v>63</v>
      </c>
      <c r="I260" s="65">
        <v>99</v>
      </c>
      <c r="J260" s="65" t="str">
        <f>CHAR(I260)</f>
        <v>c</v>
      </c>
      <c r="S260" s="63"/>
      <c r="U260" s="63"/>
    </row>
    <row r="261" spans="1:25" x14ac:dyDescent="0.25">
      <c r="A261">
        <v>375</v>
      </c>
      <c r="B261" s="62" t="s">
        <v>5</v>
      </c>
      <c r="C261" s="63" t="s">
        <v>526</v>
      </c>
      <c r="D261" s="63"/>
      <c r="E261" s="62"/>
      <c r="F261" s="62"/>
      <c r="G261" s="62"/>
      <c r="H261" s="64" t="str">
        <f>DEC2HEX(I261)</f>
        <v>AB</v>
      </c>
      <c r="I261" s="65">
        <v>171</v>
      </c>
      <c r="J261" s="65" t="str">
        <f>CHAR(I261)</f>
        <v>«</v>
      </c>
      <c r="S261" s="63"/>
      <c r="U261" s="63"/>
    </row>
    <row r="262" spans="1:25" x14ac:dyDescent="0.25">
      <c r="A262">
        <v>376</v>
      </c>
      <c r="B262" s="62" t="s">
        <v>5</v>
      </c>
      <c r="C262" s="63" t="s">
        <v>527</v>
      </c>
      <c r="D262" s="63"/>
      <c r="E262" s="62"/>
      <c r="F262" s="62"/>
      <c r="G262" s="62"/>
      <c r="H262" s="64" t="str">
        <f>DEC2HEX(I262)</f>
        <v>AC</v>
      </c>
      <c r="I262" s="65">
        <v>172</v>
      </c>
      <c r="J262" s="65" t="str">
        <f>CHAR(I262)</f>
        <v>¬</v>
      </c>
      <c r="S262" s="63"/>
      <c r="U262" s="63"/>
    </row>
    <row r="263" spans="1:25" x14ac:dyDescent="0.25">
      <c r="A263">
        <v>382</v>
      </c>
      <c r="B263" s="62" t="s">
        <v>5</v>
      </c>
      <c r="C263" s="63" t="s">
        <v>528</v>
      </c>
      <c r="D263" s="63"/>
      <c r="E263" s="62"/>
      <c r="F263" s="62"/>
      <c r="G263" s="62"/>
      <c r="H263" s="64" t="str">
        <f>DEC2HEX(I263)</f>
        <v>D1</v>
      </c>
      <c r="I263" s="65">
        <v>209</v>
      </c>
      <c r="J263" s="65" t="str">
        <f>CHAR(I263)</f>
        <v>Ñ</v>
      </c>
      <c r="S263" s="63"/>
      <c r="U263" s="63"/>
    </row>
    <row r="264" spans="1:25" x14ac:dyDescent="0.25">
      <c r="A264">
        <v>383</v>
      </c>
      <c r="B264" s="62" t="s">
        <v>5</v>
      </c>
      <c r="C264" s="63" t="s">
        <v>529</v>
      </c>
      <c r="D264" s="63"/>
      <c r="E264" s="62"/>
      <c r="F264" s="62"/>
      <c r="G264" s="62"/>
      <c r="H264" s="64" t="str">
        <f>DEC2HEX(I264)</f>
        <v>D2</v>
      </c>
      <c r="I264" s="65">
        <v>210</v>
      </c>
      <c r="J264" s="65" t="str">
        <f>CHAR(I264)</f>
        <v>Ò</v>
      </c>
      <c r="S264" s="63"/>
      <c r="U264" s="63"/>
    </row>
    <row r="265" spans="1:25" x14ac:dyDescent="0.25">
      <c r="A265">
        <v>368</v>
      </c>
      <c r="B265" s="62" t="s">
        <v>5</v>
      </c>
      <c r="C265" s="63" t="s">
        <v>521</v>
      </c>
      <c r="D265" s="63"/>
      <c r="E265" s="62"/>
      <c r="F265" s="62"/>
      <c r="G265" s="62"/>
      <c r="H265" s="64" t="str">
        <f>DEC2HEX(I265)</f>
        <v>6B</v>
      </c>
      <c r="I265" s="65">
        <v>107</v>
      </c>
      <c r="J265" s="65" t="str">
        <f>CHAR(I265)</f>
        <v>k</v>
      </c>
      <c r="S265" s="63"/>
      <c r="U265" s="63"/>
    </row>
    <row r="266" spans="1:25" x14ac:dyDescent="0.25">
      <c r="A266">
        <v>369</v>
      </c>
      <c r="B266" s="62" t="s">
        <v>5</v>
      </c>
      <c r="C266" s="63" t="s">
        <v>522</v>
      </c>
      <c r="D266" s="63"/>
      <c r="E266" s="62"/>
      <c r="F266" s="62"/>
      <c r="G266" s="62"/>
      <c r="H266" s="64" t="str">
        <f>DEC2HEX(I266)</f>
        <v>6C</v>
      </c>
      <c r="I266" s="65">
        <v>108</v>
      </c>
      <c r="J266" s="65" t="str">
        <f>CHAR(I266)</f>
        <v>l</v>
      </c>
      <c r="S266" s="63"/>
      <c r="U266" s="63"/>
    </row>
    <row r="267" spans="1:25" x14ac:dyDescent="0.25">
      <c r="A267">
        <v>373</v>
      </c>
      <c r="B267" s="62" t="s">
        <v>5</v>
      </c>
      <c r="C267" s="63" t="s">
        <v>524</v>
      </c>
      <c r="D267" s="63"/>
      <c r="E267" s="62"/>
      <c r="F267" s="62"/>
      <c r="G267" s="62"/>
      <c r="H267" s="64" t="str">
        <f>DEC2HEX(I267)</f>
        <v>A5</v>
      </c>
      <c r="I267" s="65">
        <v>165</v>
      </c>
      <c r="J267" s="65" t="str">
        <f>CHAR(I267)</f>
        <v>¥</v>
      </c>
      <c r="S267" s="63"/>
      <c r="U267" s="63"/>
    </row>
    <row r="268" spans="1:25" x14ac:dyDescent="0.25">
      <c r="A268">
        <v>374</v>
      </c>
      <c r="B268" s="62" t="s">
        <v>5</v>
      </c>
      <c r="C268" s="63" t="s">
        <v>525</v>
      </c>
      <c r="D268" s="63"/>
      <c r="E268" s="62"/>
      <c r="F268" s="62"/>
      <c r="G268" s="62"/>
      <c r="H268" s="64" t="str">
        <f>DEC2HEX(I268)</f>
        <v>A6</v>
      </c>
      <c r="I268" s="65">
        <v>166</v>
      </c>
      <c r="J268" s="65" t="str">
        <f>CHAR(I268)</f>
        <v>¦</v>
      </c>
      <c r="S268" s="63"/>
      <c r="U268" s="63"/>
    </row>
    <row r="269" spans="1:25" x14ac:dyDescent="0.25">
      <c r="A269">
        <v>350</v>
      </c>
      <c r="B269" s="62" t="s">
        <v>5</v>
      </c>
      <c r="C269" s="63" t="s">
        <v>523</v>
      </c>
      <c r="D269" s="63"/>
      <c r="E269" s="62"/>
      <c r="F269" s="62"/>
      <c r="G269" s="62"/>
      <c r="H269" s="64" t="str">
        <f>DEC2HEX(I269)</f>
        <v>43</v>
      </c>
      <c r="I269" s="65">
        <v>67</v>
      </c>
      <c r="J269" s="65" t="str">
        <f>CHAR(I269)</f>
        <v>C</v>
      </c>
      <c r="S269" s="63"/>
      <c r="U269" s="63"/>
    </row>
    <row r="270" spans="1:25" x14ac:dyDescent="0.25">
      <c r="A270">
        <v>348</v>
      </c>
      <c r="B270" s="62" t="s">
        <v>185</v>
      </c>
      <c r="C270" s="63" t="s">
        <v>489</v>
      </c>
      <c r="D270" s="63"/>
      <c r="E270" s="62"/>
      <c r="F270" s="62"/>
      <c r="G270" s="62"/>
      <c r="H270" s="64" t="str">
        <f>DEC2HEX(I270)</f>
        <v>40</v>
      </c>
      <c r="I270" s="65">
        <v>64</v>
      </c>
      <c r="J270" s="65" t="str">
        <f>CHAR(I270)</f>
        <v>@</v>
      </c>
      <c r="S270" s="63"/>
      <c r="U270" s="63"/>
    </row>
    <row r="271" spans="1:25" s="29" customFormat="1" x14ac:dyDescent="0.25">
      <c r="A271">
        <v>377</v>
      </c>
      <c r="B271" s="62" t="s">
        <v>42</v>
      </c>
      <c r="C271" s="63" t="s">
        <v>479</v>
      </c>
      <c r="D271" s="63"/>
      <c r="E271" s="62"/>
      <c r="F271" s="62"/>
      <c r="G271" s="62"/>
      <c r="H271" s="64" t="str">
        <f>DEC2HEX(I271)</f>
        <v>B7</v>
      </c>
      <c r="I271" s="65">
        <v>183</v>
      </c>
      <c r="J271" s="65" t="str">
        <f>CHAR(I271)</f>
        <v>·</v>
      </c>
      <c r="K271" s="39"/>
      <c r="L271"/>
      <c r="M271" s="45"/>
      <c r="N271" s="54"/>
      <c r="O271" s="54"/>
      <c r="P271" s="54"/>
      <c r="Q271" s="42"/>
      <c r="R271"/>
      <c r="S271" s="63"/>
      <c r="T271"/>
      <c r="U271" s="63"/>
      <c r="V271"/>
      <c r="W271"/>
      <c r="X271"/>
      <c r="Y271"/>
    </row>
    <row r="272" spans="1:25" s="84" customFormat="1" x14ac:dyDescent="0.25">
      <c r="A272">
        <v>378</v>
      </c>
      <c r="B272" s="62" t="s">
        <v>42</v>
      </c>
      <c r="C272" s="63" t="s">
        <v>480</v>
      </c>
      <c r="D272" s="63"/>
      <c r="E272" s="62"/>
      <c r="F272" s="62"/>
      <c r="G272" s="62"/>
      <c r="H272" s="64" t="str">
        <f>DEC2HEX(I272)</f>
        <v>B8</v>
      </c>
      <c r="I272" s="65">
        <v>184</v>
      </c>
      <c r="J272" s="65" t="str">
        <f>CHAR(I272)</f>
        <v>¸</v>
      </c>
      <c r="K272" s="39"/>
      <c r="L272"/>
      <c r="M272" s="45"/>
      <c r="N272" s="54"/>
      <c r="O272" s="54"/>
      <c r="P272" s="54"/>
      <c r="Q272" s="42"/>
      <c r="R272"/>
      <c r="S272" s="63"/>
      <c r="T272"/>
      <c r="U272" s="63"/>
      <c r="V272"/>
      <c r="W272"/>
      <c r="X272"/>
      <c r="Y272"/>
    </row>
    <row r="273" spans="1:25" x14ac:dyDescent="0.25">
      <c r="A273">
        <v>361</v>
      </c>
      <c r="B273" s="62" t="s">
        <v>236</v>
      </c>
      <c r="C273" s="63" t="s">
        <v>472</v>
      </c>
      <c r="D273" s="63"/>
      <c r="E273" s="62"/>
      <c r="F273" s="62"/>
      <c r="G273" s="62"/>
      <c r="H273" s="64" t="str">
        <f>DEC2HEX(I273)</f>
        <v>5F</v>
      </c>
      <c r="I273" s="65">
        <v>95</v>
      </c>
      <c r="J273" s="65" t="str">
        <f>CHAR(I273)</f>
        <v>_</v>
      </c>
      <c r="S273" s="63"/>
      <c r="U273" s="63"/>
    </row>
    <row r="274" spans="1:25" x14ac:dyDescent="0.25">
      <c r="A274">
        <v>362</v>
      </c>
      <c r="B274" s="62" t="s">
        <v>236</v>
      </c>
      <c r="C274" s="63" t="s">
        <v>473</v>
      </c>
      <c r="D274" s="63"/>
      <c r="E274" s="62"/>
      <c r="F274" s="62"/>
      <c r="G274" s="62"/>
      <c r="H274" s="64" t="str">
        <f>DEC2HEX(I274)</f>
        <v>5F</v>
      </c>
      <c r="I274" s="65">
        <v>95</v>
      </c>
      <c r="J274" s="65" t="str">
        <f>CHAR(I274)</f>
        <v>_</v>
      </c>
      <c r="S274" s="63"/>
      <c r="U274" s="63"/>
    </row>
    <row r="275" spans="1:25" x14ac:dyDescent="0.25">
      <c r="A275">
        <v>359</v>
      </c>
      <c r="B275" s="62" t="s">
        <v>236</v>
      </c>
      <c r="C275" s="63" t="s">
        <v>470</v>
      </c>
      <c r="D275" s="63"/>
      <c r="E275" s="62"/>
      <c r="F275" s="62"/>
      <c r="G275" s="62"/>
      <c r="H275" s="64" t="str">
        <f>DEC2HEX(I275)</f>
        <v>5E</v>
      </c>
      <c r="I275" s="65">
        <v>94</v>
      </c>
      <c r="J275" s="65" t="str">
        <f>CHAR(I275)</f>
        <v>^</v>
      </c>
      <c r="S275" s="63"/>
      <c r="U275" s="63"/>
    </row>
    <row r="276" spans="1:25" x14ac:dyDescent="0.25">
      <c r="A276">
        <v>360</v>
      </c>
      <c r="B276" s="62" t="s">
        <v>236</v>
      </c>
      <c r="C276" s="63" t="s">
        <v>471</v>
      </c>
      <c r="D276" s="63"/>
      <c r="E276" s="62"/>
      <c r="F276" s="62"/>
      <c r="G276" s="62"/>
      <c r="H276" s="64" t="str">
        <f>DEC2HEX(I276)</f>
        <v>5E</v>
      </c>
      <c r="I276" s="65">
        <v>94</v>
      </c>
      <c r="J276" s="65" t="str">
        <f>CHAR(I276)</f>
        <v>^</v>
      </c>
      <c r="K276" s="109"/>
      <c r="S276" s="63"/>
      <c r="U276" s="63"/>
    </row>
    <row r="277" spans="1:25" x14ac:dyDescent="0.25">
      <c r="A277">
        <v>389</v>
      </c>
      <c r="B277" s="62" t="s">
        <v>236</v>
      </c>
      <c r="C277" s="63" t="s">
        <v>496</v>
      </c>
      <c r="D277" s="63"/>
      <c r="E277" s="62"/>
      <c r="F277" s="62"/>
      <c r="G277" s="62"/>
      <c r="H277" s="64" t="str">
        <f>DEC2HEX(I277)</f>
        <v>48</v>
      </c>
      <c r="I277" s="65">
        <v>72</v>
      </c>
      <c r="J277" s="65" t="str">
        <f>CHAR(I277)</f>
        <v>H</v>
      </c>
      <c r="K277" s="109"/>
      <c r="R277" s="27"/>
      <c r="S277" s="63"/>
      <c r="T277" s="27"/>
      <c r="U277" s="63"/>
      <c r="V277" s="27"/>
      <c r="W277" s="27"/>
      <c r="X277" s="27"/>
      <c r="Y277" s="27"/>
    </row>
    <row r="278" spans="1:25" s="84" customFormat="1" x14ac:dyDescent="0.25">
      <c r="A278">
        <v>370</v>
      </c>
      <c r="B278" s="62" t="s">
        <v>236</v>
      </c>
      <c r="C278" s="108" t="s">
        <v>494</v>
      </c>
      <c r="D278" s="63"/>
      <c r="E278" s="62"/>
      <c r="F278" s="62"/>
      <c r="G278" s="62"/>
      <c r="H278" s="64" t="str">
        <f>DEC2HEX(I278)</f>
        <v>6D</v>
      </c>
      <c r="I278" s="65">
        <v>109</v>
      </c>
      <c r="J278" s="65" t="s">
        <v>33</v>
      </c>
      <c r="K278" s="109"/>
      <c r="L278"/>
      <c r="M278" s="45"/>
      <c r="N278" s="54"/>
      <c r="O278" s="54"/>
      <c r="P278" s="54"/>
      <c r="Q278" s="42"/>
      <c r="R278"/>
      <c r="S278" s="63"/>
      <c r="T278"/>
      <c r="U278" s="63"/>
      <c r="V278"/>
      <c r="W278"/>
      <c r="X278"/>
      <c r="Y278"/>
    </row>
    <row r="279" spans="1:25" x14ac:dyDescent="0.25">
      <c r="A279">
        <v>365</v>
      </c>
      <c r="B279" s="62" t="s">
        <v>236</v>
      </c>
      <c r="C279" s="108" t="s">
        <v>495</v>
      </c>
      <c r="D279" s="63"/>
      <c r="E279" s="62"/>
      <c r="F279" s="62"/>
      <c r="G279" s="62"/>
      <c r="H279" s="64" t="str">
        <f>DEC2HEX(I279)</f>
        <v>64</v>
      </c>
      <c r="I279" s="65">
        <v>100</v>
      </c>
      <c r="J279" s="65" t="str">
        <f>CHAR(I279)</f>
        <v>d</v>
      </c>
      <c r="K279" s="109"/>
      <c r="S279" s="63"/>
      <c r="U279" s="63"/>
    </row>
    <row r="280" spans="1:25" x14ac:dyDescent="0.25">
      <c r="A280">
        <v>366</v>
      </c>
      <c r="B280" s="62" t="s">
        <v>236</v>
      </c>
      <c r="C280" s="108" t="s">
        <v>495</v>
      </c>
      <c r="D280" s="63"/>
      <c r="E280" s="62"/>
      <c r="F280" s="62"/>
      <c r="G280" s="62"/>
      <c r="H280" s="111" t="str">
        <f>DEC2HEX(I280)</f>
        <v>65</v>
      </c>
      <c r="I280" s="65">
        <v>101</v>
      </c>
      <c r="J280" s="65" t="str">
        <f>CHAR(I280)</f>
        <v>e</v>
      </c>
      <c r="S280" s="63"/>
      <c r="U280" s="63"/>
    </row>
    <row r="281" spans="1:25" s="29" customFormat="1" x14ac:dyDescent="0.25">
      <c r="A281">
        <v>387</v>
      </c>
      <c r="B281" s="62" t="s">
        <v>486</v>
      </c>
      <c r="C281" s="108" t="s">
        <v>487</v>
      </c>
      <c r="D281" s="63"/>
      <c r="E281" s="62"/>
      <c r="F281" s="62"/>
      <c r="G281" s="62"/>
      <c r="H281" s="111" t="str">
        <f>DEC2HEX(I281)</f>
        <v>ED</v>
      </c>
      <c r="I281" s="65">
        <v>237</v>
      </c>
      <c r="J281" s="65" t="str">
        <f>CHAR(I281)</f>
        <v>í</v>
      </c>
      <c r="K281" s="39"/>
      <c r="L281"/>
      <c r="M281" s="45"/>
      <c r="N281" s="54"/>
      <c r="O281" s="54"/>
      <c r="P281" s="54"/>
      <c r="Q281" s="42"/>
      <c r="R281"/>
      <c r="S281" s="63"/>
      <c r="T281"/>
      <c r="U281" s="63"/>
      <c r="V281"/>
      <c r="W281"/>
      <c r="X281"/>
      <c r="Y281"/>
    </row>
    <row r="282" spans="1:25" x14ac:dyDescent="0.25">
      <c r="A282">
        <v>353</v>
      </c>
      <c r="B282" s="62" t="s">
        <v>465</v>
      </c>
      <c r="C282" s="63" t="s">
        <v>466</v>
      </c>
      <c r="D282" s="63"/>
      <c r="E282" s="62"/>
      <c r="F282" s="62"/>
      <c r="G282" s="62"/>
      <c r="H282" s="64" t="str">
        <f>DEC2HEX(I282)</f>
        <v>4E</v>
      </c>
      <c r="I282" s="65">
        <v>78</v>
      </c>
      <c r="J282" s="65" t="str">
        <f>CHAR(I282)</f>
        <v>N</v>
      </c>
      <c r="S282" s="63"/>
      <c r="U282" s="63"/>
    </row>
    <row r="283" spans="1:25" x14ac:dyDescent="0.25">
      <c r="A283">
        <v>363</v>
      </c>
      <c r="B283" s="62" t="s">
        <v>440</v>
      </c>
      <c r="C283" s="108" t="s">
        <v>474</v>
      </c>
      <c r="D283" s="63"/>
      <c r="E283" s="62"/>
      <c r="F283" s="62"/>
      <c r="G283" s="62"/>
      <c r="H283" s="111" t="str">
        <f>DEC2HEX(I283)</f>
        <v>62</v>
      </c>
      <c r="I283" s="65">
        <v>98</v>
      </c>
      <c r="J283" s="65" t="str">
        <f>CHAR(I283)</f>
        <v>b</v>
      </c>
      <c r="S283" s="63"/>
      <c r="U283" s="63"/>
    </row>
    <row r="284" spans="1:25" x14ac:dyDescent="0.25">
      <c r="A284">
        <v>347</v>
      </c>
      <c r="B284" s="62" t="s">
        <v>274</v>
      </c>
      <c r="C284" s="108" t="s">
        <v>585</v>
      </c>
      <c r="D284" s="63"/>
      <c r="E284" s="62"/>
      <c r="F284" s="62"/>
      <c r="G284" s="62"/>
      <c r="H284" s="64" t="str">
        <f>DEC2HEX(I284)</f>
        <v>3D</v>
      </c>
      <c r="I284" s="65">
        <v>61</v>
      </c>
      <c r="J284" s="65" t="str">
        <f>CHAR(I284)</f>
        <v>=</v>
      </c>
      <c r="S284" s="63"/>
      <c r="U284" s="63"/>
    </row>
    <row r="285" spans="1:25" x14ac:dyDescent="0.25">
      <c r="A285">
        <v>347</v>
      </c>
      <c r="B285" s="62" t="s">
        <v>274</v>
      </c>
      <c r="C285" s="63" t="s">
        <v>584</v>
      </c>
      <c r="D285" s="63"/>
      <c r="E285" s="62"/>
      <c r="F285" s="62"/>
      <c r="G285" s="62"/>
      <c r="H285" s="64" t="str">
        <f>DEC2HEX(I285)</f>
        <v>3E</v>
      </c>
      <c r="I285" s="65">
        <v>62</v>
      </c>
      <c r="J285" s="65" t="str">
        <f>CHAR(I285)</f>
        <v>&gt;</v>
      </c>
      <c r="K285" s="109"/>
      <c r="S285" s="63"/>
      <c r="U285" s="63"/>
    </row>
    <row r="286" spans="1:25" x14ac:dyDescent="0.25">
      <c r="A286">
        <v>379</v>
      </c>
      <c r="B286" s="62" t="s">
        <v>40</v>
      </c>
      <c r="C286" s="63" t="s">
        <v>491</v>
      </c>
      <c r="D286" s="63"/>
      <c r="E286" s="62"/>
      <c r="F286" s="62"/>
      <c r="G286" s="62"/>
      <c r="H286" s="64" t="str">
        <f>DEC2HEX(I286)</f>
        <v>C6</v>
      </c>
      <c r="I286" s="65">
        <v>198</v>
      </c>
      <c r="J286" s="65" t="str">
        <f>CHAR(I286)</f>
        <v>Æ</v>
      </c>
      <c r="K286" s="109"/>
      <c r="S286" s="63"/>
      <c r="U286" s="63"/>
    </row>
    <row r="287" spans="1:25" x14ac:dyDescent="0.25">
      <c r="A287">
        <v>372</v>
      </c>
      <c r="B287" s="62" t="s">
        <v>184</v>
      </c>
      <c r="C287" s="108" t="s">
        <v>478</v>
      </c>
      <c r="D287" s="63"/>
      <c r="E287" s="62"/>
      <c r="F287" s="62"/>
      <c r="G287" s="62"/>
      <c r="H287" s="64" t="str">
        <f>DEC2HEX(I287)</f>
        <v>A4</v>
      </c>
      <c r="I287" s="65">
        <v>164</v>
      </c>
      <c r="J287" s="65" t="str">
        <f>CHAR(I287)</f>
        <v>¤</v>
      </c>
      <c r="N287"/>
      <c r="O287"/>
      <c r="P287"/>
      <c r="Q287"/>
      <c r="S287" s="63"/>
      <c r="U287" s="63"/>
    </row>
    <row r="288" spans="1:25" x14ac:dyDescent="0.25">
      <c r="A288">
        <v>385</v>
      </c>
      <c r="B288" s="62" t="s">
        <v>233</v>
      </c>
      <c r="C288" s="63" t="s">
        <v>484</v>
      </c>
      <c r="D288" s="63"/>
      <c r="E288" s="62"/>
      <c r="F288" s="62"/>
      <c r="G288" s="62"/>
      <c r="H288" s="64" t="str">
        <f>DEC2HEX(I288)</f>
        <v>E7</v>
      </c>
      <c r="I288" s="65">
        <v>231</v>
      </c>
      <c r="J288" s="65" t="str">
        <f>CHAR(I288)</f>
        <v>ç</v>
      </c>
      <c r="S288" s="63"/>
      <c r="U288" s="63"/>
    </row>
    <row r="289" spans="1:25" x14ac:dyDescent="0.25">
      <c r="A289">
        <v>380</v>
      </c>
      <c r="B289" s="62" t="s">
        <v>233</v>
      </c>
      <c r="C289" s="63" t="s">
        <v>481</v>
      </c>
      <c r="D289" s="63"/>
      <c r="E289" s="62"/>
      <c r="F289" s="62"/>
      <c r="G289" s="62"/>
      <c r="H289" s="64" t="str">
        <f>DEC2HEX(I289)</f>
        <v>C9</v>
      </c>
      <c r="I289" s="65">
        <v>201</v>
      </c>
      <c r="J289" s="65" t="str">
        <f>CHAR(I289)</f>
        <v>É</v>
      </c>
      <c r="S289" s="63"/>
      <c r="U289" s="63"/>
    </row>
    <row r="290" spans="1:25" x14ac:dyDescent="0.25">
      <c r="A290">
        <v>367</v>
      </c>
      <c r="B290" s="62" t="s">
        <v>233</v>
      </c>
      <c r="C290" s="63" t="s">
        <v>476</v>
      </c>
      <c r="D290" s="63"/>
      <c r="E290" s="62"/>
      <c r="F290" s="62"/>
      <c r="G290" s="62"/>
      <c r="H290" s="64" t="str">
        <f>DEC2HEX(I290)</f>
        <v>69</v>
      </c>
      <c r="I290" s="65">
        <v>105</v>
      </c>
      <c r="J290" s="65" t="str">
        <f>CHAR(I290)</f>
        <v>i</v>
      </c>
      <c r="S290" s="63"/>
      <c r="U290" s="63"/>
    </row>
    <row r="291" spans="1:25" s="84" customFormat="1" x14ac:dyDescent="0.25">
      <c r="A291">
        <v>16</v>
      </c>
      <c r="B291" t="s">
        <v>8</v>
      </c>
      <c r="C291" s="39" t="s">
        <v>530</v>
      </c>
      <c r="D291" s="39"/>
      <c r="E291"/>
      <c r="F291"/>
      <c r="G291"/>
      <c r="H291" s="38"/>
      <c r="I291"/>
      <c r="J291"/>
      <c r="K291" s="39"/>
      <c r="L291"/>
      <c r="M291" s="45"/>
      <c r="N291" s="54"/>
      <c r="O291" s="54"/>
      <c r="P291" s="54"/>
      <c r="Q291" s="42" t="str">
        <f>C291&amp;IF(ISBLANK(D291),"","=")&amp;D291</f>
        <v>;Polarity: Low=1, High=0</v>
      </c>
      <c r="R291"/>
      <c r="S291" s="39"/>
      <c r="T291" s="42" t="str">
        <f>C291&amp;IF(ISBLANK(S291),"","=")&amp;S291</f>
        <v>;Polarity: Low=1, High=0</v>
      </c>
      <c r="U291" s="39"/>
      <c r="V291" s="42" t="str">
        <f>C291&amp;IF(ISBLANK(U291),"","=")&amp;U291</f>
        <v>;Polarity: Low=1, High=0</v>
      </c>
      <c r="W291"/>
      <c r="X291"/>
      <c r="Y291"/>
    </row>
    <row r="292" spans="1:25" x14ac:dyDescent="0.25">
      <c r="A292">
        <v>349</v>
      </c>
      <c r="B292" s="62" t="s">
        <v>8</v>
      </c>
      <c r="C292" s="63" t="s">
        <v>462</v>
      </c>
      <c r="D292" s="63"/>
      <c r="E292" s="62"/>
      <c r="F292" s="62"/>
      <c r="G292" s="62"/>
      <c r="H292" s="64" t="str">
        <f>DEC2HEX(I292)</f>
        <v>41</v>
      </c>
      <c r="I292" s="65">
        <v>65</v>
      </c>
      <c r="J292" s="65" t="str">
        <f>CHAR(I292)</f>
        <v>A</v>
      </c>
      <c r="S292" s="63"/>
      <c r="U292" s="63"/>
    </row>
    <row r="293" spans="1:25" x14ac:dyDescent="0.25">
      <c r="A293">
        <v>351</v>
      </c>
      <c r="B293" s="62" t="s">
        <v>35</v>
      </c>
      <c r="C293" s="63" t="s">
        <v>463</v>
      </c>
      <c r="D293" s="63"/>
      <c r="E293" s="62"/>
      <c r="F293" s="62"/>
      <c r="G293" s="62"/>
      <c r="H293" s="64" t="str">
        <f>DEC2HEX(I293)</f>
        <v>4A</v>
      </c>
      <c r="I293" s="65">
        <v>74</v>
      </c>
      <c r="J293" s="65" t="str">
        <f>CHAR(I293)</f>
        <v>J</v>
      </c>
      <c r="S293" s="63"/>
      <c r="U293" s="63"/>
    </row>
    <row r="294" spans="1:25" x14ac:dyDescent="0.25">
      <c r="A294">
        <v>352</v>
      </c>
      <c r="B294" s="62" t="s">
        <v>35</v>
      </c>
      <c r="C294" s="63" t="s">
        <v>464</v>
      </c>
      <c r="D294" s="63"/>
      <c r="E294" s="62"/>
      <c r="F294" s="62"/>
      <c r="G294" s="62"/>
      <c r="H294" s="64" t="str">
        <f>DEC2HEX(I294)</f>
        <v>4B</v>
      </c>
      <c r="I294" s="65">
        <v>75</v>
      </c>
      <c r="J294" s="65" t="str">
        <f>CHAR(I294)</f>
        <v>K</v>
      </c>
      <c r="S294" s="63"/>
      <c r="U294" s="63"/>
    </row>
    <row r="295" spans="1:25" x14ac:dyDescent="0.25">
      <c r="A295">
        <v>4</v>
      </c>
      <c r="C295" s="39" t="s">
        <v>229</v>
      </c>
      <c r="Q295" s="42" t="str">
        <f>C295&amp;IF(ISBLANK(D295),"","=")&amp;D295</f>
        <v>;</v>
      </c>
      <c r="T295" s="42" t="str">
        <f>C295&amp;IF(ISBLANK(S295),"","=")&amp;S295</f>
        <v>;</v>
      </c>
      <c r="V295" s="42" t="str">
        <f>C295&amp;IF(ISBLANK(U295),"","=")&amp;U295</f>
        <v>;</v>
      </c>
    </row>
    <row r="296" spans="1:25" s="29" customFormat="1" x14ac:dyDescent="0.25">
      <c r="A296">
        <v>56</v>
      </c>
      <c r="B296"/>
      <c r="C296" s="39" t="s">
        <v>229</v>
      </c>
      <c r="D296" s="39"/>
      <c r="E296"/>
      <c r="F296"/>
      <c r="G296"/>
      <c r="H296" s="38"/>
      <c r="I296"/>
      <c r="J296"/>
      <c r="K296" s="39"/>
      <c r="L296"/>
      <c r="M296" s="45"/>
      <c r="N296" s="54"/>
      <c r="O296" s="54"/>
      <c r="P296" s="54"/>
      <c r="Q296" s="42" t="str">
        <f>C296&amp;IF(ISBLANK(D296),"","=")&amp;D296</f>
        <v>;</v>
      </c>
      <c r="R296"/>
      <c r="S296" s="39"/>
      <c r="T296" s="42" t="str">
        <f>C296&amp;IF(ISBLANK(S296),"","=")&amp;S296</f>
        <v>;</v>
      </c>
      <c r="U296" s="39"/>
      <c r="V296" s="42" t="str">
        <f>C296&amp;IF(ISBLANK(U296),"","=")&amp;U296</f>
        <v>;</v>
      </c>
      <c r="W296"/>
      <c r="X296"/>
      <c r="Y296"/>
    </row>
    <row r="297" spans="1:25" x14ac:dyDescent="0.25">
      <c r="A297">
        <v>58</v>
      </c>
      <c r="C297" s="39" t="s">
        <v>229</v>
      </c>
      <c r="Q297" s="42" t="str">
        <f>C297&amp;IF(ISBLANK(D297),"","=")&amp;D297</f>
        <v>;</v>
      </c>
      <c r="T297" s="42" t="str">
        <f>C297&amp;IF(ISBLANK(S297),"","=")&amp;S297</f>
        <v>;</v>
      </c>
      <c r="V297" s="42" t="str">
        <f>C297&amp;IF(ISBLANK(U297),"","=")&amp;U297</f>
        <v>;</v>
      </c>
    </row>
    <row r="298" spans="1:25" x14ac:dyDescent="0.25">
      <c r="A298">
        <v>74</v>
      </c>
      <c r="C298" s="39" t="s">
        <v>229</v>
      </c>
      <c r="Q298" s="42" t="str">
        <f>C298&amp;IF(ISBLANK(D298),"","=")&amp;D298</f>
        <v>;</v>
      </c>
      <c r="T298" s="42" t="str">
        <f>C298&amp;IF(ISBLANK(S298),"","=")&amp;S298</f>
        <v>;</v>
      </c>
      <c r="V298" s="42" t="str">
        <f>C298&amp;IF(ISBLANK(U298),"","=")&amp;U298</f>
        <v>;</v>
      </c>
    </row>
    <row r="299" spans="1:25" s="84" customFormat="1" x14ac:dyDescent="0.25">
      <c r="A299">
        <v>76</v>
      </c>
      <c r="B299"/>
      <c r="C299" s="39" t="s">
        <v>229</v>
      </c>
      <c r="D299" s="39"/>
      <c r="E299"/>
      <c r="F299"/>
      <c r="G299"/>
      <c r="H299" s="38"/>
      <c r="I299"/>
      <c r="J299"/>
      <c r="K299" s="39"/>
      <c r="L299"/>
      <c r="M299" s="45"/>
      <c r="N299" s="54"/>
      <c r="O299" s="54"/>
      <c r="P299" s="54"/>
      <c r="Q299" s="42" t="str">
        <f>C299&amp;IF(ISBLANK(D299),"","=")&amp;D299</f>
        <v>;</v>
      </c>
      <c r="R299"/>
      <c r="S299" s="39"/>
      <c r="T299" s="42" t="str">
        <f>C299&amp;IF(ISBLANK(S299),"","=")&amp;S299</f>
        <v>;</v>
      </c>
      <c r="U299" s="39"/>
      <c r="V299" s="42" t="str">
        <f>C299&amp;IF(ISBLANK(U299),"","=")&amp;U299</f>
        <v>;</v>
      </c>
      <c r="W299"/>
      <c r="X299"/>
      <c r="Y299"/>
    </row>
    <row r="300" spans="1:25" x14ac:dyDescent="0.25">
      <c r="A300">
        <v>89</v>
      </c>
      <c r="C300" s="39" t="s">
        <v>229</v>
      </c>
      <c r="Q300" s="42" t="str">
        <f>C300&amp;IF(ISBLANK(D300),"","=")&amp;D300</f>
        <v>;</v>
      </c>
      <c r="T300" s="42" t="str">
        <f>C300&amp;IF(ISBLANK(S300),"","=")&amp;S300</f>
        <v>;</v>
      </c>
      <c r="V300" s="42" t="str">
        <f>C300&amp;IF(ISBLANK(U300),"","=")&amp;U300</f>
        <v>;</v>
      </c>
    </row>
    <row r="301" spans="1:25" x14ac:dyDescent="0.25">
      <c r="A301">
        <v>91</v>
      </c>
      <c r="C301" s="39" t="s">
        <v>229</v>
      </c>
      <c r="Q301" s="42" t="str">
        <f>C301&amp;IF(ISBLANK(D301),"","=")&amp;D301</f>
        <v>;</v>
      </c>
      <c r="T301" s="42" t="str">
        <f>C301&amp;IF(ISBLANK(S301),"","=")&amp;S301</f>
        <v>;</v>
      </c>
      <c r="V301" s="42" t="str">
        <f>C301&amp;IF(ISBLANK(U301),"","=")&amp;U301</f>
        <v>;</v>
      </c>
    </row>
    <row r="302" spans="1:25" x14ac:dyDescent="0.25">
      <c r="A302">
        <v>121</v>
      </c>
      <c r="C302" s="39" t="s">
        <v>229</v>
      </c>
      <c r="Q302" s="42" t="str">
        <f>C302&amp;IF(ISBLANK(D302),"","=")&amp;D302</f>
        <v>;</v>
      </c>
      <c r="T302" s="42" t="str">
        <f>C302&amp;IF(ISBLANK(S302),"","=")&amp;S302</f>
        <v>;</v>
      </c>
      <c r="V302" s="42" t="str">
        <f>C302&amp;IF(ISBLANK(U302),"","=")&amp;U302</f>
        <v>;</v>
      </c>
    </row>
    <row r="303" spans="1:25" x14ac:dyDescent="0.25">
      <c r="A303">
        <v>123</v>
      </c>
      <c r="C303" s="39" t="s">
        <v>229</v>
      </c>
      <c r="Q303" s="42" t="str">
        <f>C303&amp;IF(ISBLANK(D303),"","=")&amp;D303</f>
        <v>;</v>
      </c>
      <c r="T303" s="42" t="str">
        <f>C303&amp;IF(ISBLANK(S303),"","=")&amp;S303</f>
        <v>;</v>
      </c>
      <c r="V303" s="42" t="str">
        <f>C303&amp;IF(ISBLANK(U303),"","=")&amp;U303</f>
        <v>;</v>
      </c>
    </row>
    <row r="304" spans="1:25" s="29" customFormat="1" x14ac:dyDescent="0.25">
      <c r="A304">
        <v>163</v>
      </c>
      <c r="B304"/>
      <c r="C304" s="39" t="s">
        <v>229</v>
      </c>
      <c r="D304" s="39"/>
      <c r="E304"/>
      <c r="F304"/>
      <c r="G304"/>
      <c r="H304" s="38"/>
      <c r="I304"/>
      <c r="J304"/>
      <c r="K304" s="39"/>
      <c r="L304"/>
      <c r="M304" s="45"/>
      <c r="N304" s="54"/>
      <c r="O304" s="54"/>
      <c r="P304" s="54"/>
      <c r="Q304" s="42" t="str">
        <f>C304&amp;IF(ISBLANK(D304),"","=")&amp;D304</f>
        <v>;</v>
      </c>
      <c r="R304"/>
      <c r="S304" s="39"/>
      <c r="T304" s="42" t="str">
        <f>C304&amp;IF(ISBLANK(S304),"","=")&amp;S304</f>
        <v>;</v>
      </c>
      <c r="U304" s="39"/>
      <c r="V304" s="42" t="str">
        <f>C304&amp;IF(ISBLANK(U304),"","=")&amp;U304</f>
        <v>;</v>
      </c>
      <c r="W304"/>
      <c r="X304"/>
      <c r="Y304"/>
    </row>
    <row r="305" spans="1:25" x14ac:dyDescent="0.25">
      <c r="A305">
        <v>165</v>
      </c>
      <c r="C305" s="39" t="s">
        <v>229</v>
      </c>
      <c r="Q305" s="42" t="str">
        <f>C305&amp;IF(ISBLANK(D305),"","=")&amp;D305</f>
        <v>;</v>
      </c>
      <c r="T305" s="42" t="str">
        <f>C305&amp;IF(ISBLANK(S305),"","=")&amp;S305</f>
        <v>;</v>
      </c>
      <c r="V305" s="42" t="str">
        <f>C305&amp;IF(ISBLANK(U305),"","=")&amp;U305</f>
        <v>;</v>
      </c>
    </row>
    <row r="306" spans="1:25" x14ac:dyDescent="0.25">
      <c r="A306">
        <v>213</v>
      </c>
      <c r="C306" s="39" t="s">
        <v>229</v>
      </c>
      <c r="Q306" s="42" t="str">
        <f>C306&amp;IF(ISBLANK(D306),"","=")&amp;D306</f>
        <v>;</v>
      </c>
      <c r="T306" s="42" t="str">
        <f>C306&amp;IF(ISBLANK(S306),"","=")&amp;S306</f>
        <v>;</v>
      </c>
      <c r="V306" s="42" t="str">
        <f>C306&amp;IF(ISBLANK(U306),"","=")&amp;U306</f>
        <v>;</v>
      </c>
    </row>
    <row r="307" spans="1:25" s="84" customFormat="1" x14ac:dyDescent="0.25">
      <c r="A307">
        <v>215</v>
      </c>
      <c r="B307"/>
      <c r="C307" s="39" t="s">
        <v>229</v>
      </c>
      <c r="D307" s="39"/>
      <c r="E307"/>
      <c r="F307"/>
      <c r="G307"/>
      <c r="H307" s="38"/>
      <c r="I307"/>
      <c r="J307"/>
      <c r="K307" s="39"/>
      <c r="L307"/>
      <c r="M307" s="45"/>
      <c r="N307" s="54"/>
      <c r="O307" s="54"/>
      <c r="P307" s="54"/>
      <c r="Q307" s="42" t="str">
        <f>C307&amp;IF(ISBLANK(D307),"","=")&amp;D307</f>
        <v>;</v>
      </c>
      <c r="R307"/>
      <c r="S307" s="39"/>
      <c r="T307" s="42" t="str">
        <f>C307&amp;IF(ISBLANK(S307),"","=")&amp;S307</f>
        <v>;</v>
      </c>
      <c r="U307" s="39"/>
      <c r="V307" s="42" t="str">
        <f>C307&amp;IF(ISBLANK(U307),"","=")&amp;U307</f>
        <v>;</v>
      </c>
      <c r="W307"/>
      <c r="X307"/>
      <c r="Y307"/>
    </row>
    <row r="308" spans="1:25" x14ac:dyDescent="0.25">
      <c r="A308">
        <v>241</v>
      </c>
      <c r="C308" s="39" t="s">
        <v>229</v>
      </c>
      <c r="Q308" s="42" t="str">
        <f>C308&amp;IF(ISBLANK(D308),"","=")&amp;D308</f>
        <v>;</v>
      </c>
      <c r="T308" s="42" t="str">
        <f>C308&amp;IF(ISBLANK(S308),"","=")&amp;S308</f>
        <v>;</v>
      </c>
      <c r="V308" s="42" t="str">
        <f>C308&amp;IF(ISBLANK(U308),"","=")&amp;U308</f>
        <v>;</v>
      </c>
    </row>
    <row r="309" spans="1:25" x14ac:dyDescent="0.25">
      <c r="A309">
        <v>243</v>
      </c>
      <c r="C309" s="39" t="s">
        <v>229</v>
      </c>
      <c r="Q309" s="42" t="str">
        <f>C309&amp;IF(ISBLANK(D309),"","=")&amp;D309</f>
        <v>;</v>
      </c>
      <c r="T309" s="42" t="str">
        <f>C309&amp;IF(ISBLANK(S309),"","=")&amp;S309</f>
        <v>;</v>
      </c>
      <c r="V309" s="42" t="str">
        <f>C309&amp;IF(ISBLANK(U309),"","=")&amp;U309</f>
        <v>;</v>
      </c>
    </row>
    <row r="310" spans="1:25" x14ac:dyDescent="0.25">
      <c r="A310">
        <v>271</v>
      </c>
      <c r="C310" s="39" t="s">
        <v>229</v>
      </c>
      <c r="Q310" s="42" t="str">
        <f>C310&amp;IF(ISBLANK(D310),"","=")&amp;D310</f>
        <v>;</v>
      </c>
      <c r="T310" s="42" t="str">
        <f>C310&amp;IF(ISBLANK(S310),"","=")&amp;S310</f>
        <v>;</v>
      </c>
      <c r="V310" s="42" t="str">
        <f>C310&amp;IF(ISBLANK(U310),"","=")&amp;U310</f>
        <v>;</v>
      </c>
    </row>
    <row r="311" spans="1:25" x14ac:dyDescent="0.25">
      <c r="A311">
        <v>273</v>
      </c>
      <c r="C311" s="39" t="s">
        <v>229</v>
      </c>
      <c r="Q311" s="42" t="str">
        <f>C311&amp;IF(ISBLANK(D311),"","=")&amp;D311</f>
        <v>;</v>
      </c>
      <c r="T311" s="42" t="str">
        <f>C311&amp;IF(ISBLANK(S311),"","=")&amp;S311</f>
        <v>;</v>
      </c>
      <c r="V311" s="42" t="str">
        <f>C311&amp;IF(ISBLANK(U311),"","=")&amp;U311</f>
        <v>;</v>
      </c>
    </row>
    <row r="312" spans="1:25" s="29" customFormat="1" x14ac:dyDescent="0.25">
      <c r="A312">
        <v>277</v>
      </c>
      <c r="B312"/>
      <c r="C312" s="39" t="s">
        <v>229</v>
      </c>
      <c r="D312" s="39"/>
      <c r="E312"/>
      <c r="F312"/>
      <c r="G312"/>
      <c r="H312" s="38"/>
      <c r="I312"/>
      <c r="J312"/>
      <c r="K312" s="39"/>
      <c r="L312"/>
      <c r="M312" s="45"/>
      <c r="N312" s="54"/>
      <c r="O312" s="54"/>
      <c r="P312" s="54"/>
      <c r="Q312" s="42" t="str">
        <f>C312&amp;IF(ISBLANK(D312),"","=")&amp;D312</f>
        <v>;</v>
      </c>
      <c r="R312"/>
      <c r="S312" s="39"/>
      <c r="T312" s="42" t="str">
        <f>C312&amp;IF(ISBLANK(S312),"","=")&amp;S312</f>
        <v>;</v>
      </c>
      <c r="U312" s="39"/>
      <c r="V312" s="42" t="str">
        <f>C312&amp;IF(ISBLANK(U312),"","=")&amp;U312</f>
        <v>;</v>
      </c>
      <c r="W312"/>
      <c r="X312"/>
      <c r="Y312"/>
    </row>
    <row r="313" spans="1:25" x14ac:dyDescent="0.25">
      <c r="A313">
        <v>279</v>
      </c>
      <c r="C313" s="39" t="s">
        <v>229</v>
      </c>
      <c r="Q313" s="42" t="str">
        <f>C313&amp;IF(ISBLANK(D313),"","=")&amp;D313</f>
        <v>;</v>
      </c>
      <c r="T313" s="42" t="str">
        <f>C313&amp;IF(ISBLANK(S313),"","=")&amp;S313</f>
        <v>;</v>
      </c>
      <c r="V313" s="42" t="str">
        <f>C313&amp;IF(ISBLANK(U313),"","=")&amp;U313</f>
        <v>;</v>
      </c>
    </row>
    <row r="314" spans="1:25" x14ac:dyDescent="0.25">
      <c r="A314">
        <v>290</v>
      </c>
      <c r="C314" s="39" t="s">
        <v>229</v>
      </c>
      <c r="Q314" s="42" t="str">
        <f>C314&amp;IF(ISBLANK(D314),"","=")&amp;D314</f>
        <v>;</v>
      </c>
      <c r="T314" s="42" t="str">
        <f>C314&amp;IF(ISBLANK(S314),"","=")&amp;S314</f>
        <v>;</v>
      </c>
      <c r="V314" s="42" t="str">
        <f>C314&amp;IF(ISBLANK(U314),"","=")&amp;U314</f>
        <v>;</v>
      </c>
    </row>
    <row r="315" spans="1:25" x14ac:dyDescent="0.25">
      <c r="A315">
        <v>292</v>
      </c>
      <c r="C315" s="39" t="s">
        <v>229</v>
      </c>
      <c r="Q315" s="42" t="str">
        <f>C315&amp;IF(ISBLANK(D315),"","=")&amp;D315</f>
        <v>;</v>
      </c>
      <c r="T315" s="42" t="str">
        <f>C315&amp;IF(ISBLANK(S315),"","=")&amp;S315</f>
        <v>;</v>
      </c>
      <c r="V315" s="42" t="str">
        <f>C315&amp;IF(ISBLANK(U315),"","=")&amp;U315</f>
        <v>;</v>
      </c>
    </row>
    <row r="316" spans="1:25" x14ac:dyDescent="0.25">
      <c r="A316">
        <v>298</v>
      </c>
      <c r="C316" s="39" t="s">
        <v>229</v>
      </c>
      <c r="Q316" s="42" t="str">
        <f>C316&amp;IF(ISBLANK(D316),"","=")&amp;D316</f>
        <v>;</v>
      </c>
      <c r="T316" s="42" t="str">
        <f>C316&amp;IF(ISBLANK(S316),"","=")&amp;S316</f>
        <v>;</v>
      </c>
      <c r="V316" s="42" t="str">
        <f>C316&amp;IF(ISBLANK(U316),"","=")&amp;U316</f>
        <v>;</v>
      </c>
    </row>
    <row r="317" spans="1:25" x14ac:dyDescent="0.25">
      <c r="A317">
        <v>300</v>
      </c>
      <c r="C317" s="39" t="s">
        <v>229</v>
      </c>
      <c r="Q317" s="42" t="str">
        <f>C317&amp;IF(ISBLANK(D317),"","=")&amp;D317</f>
        <v>;</v>
      </c>
      <c r="T317" s="42" t="str">
        <f>C317&amp;IF(ISBLANK(S317),"","=")&amp;S317</f>
        <v>;</v>
      </c>
      <c r="V317" s="42" t="str">
        <f>C317&amp;IF(ISBLANK(U317),"","=")&amp;U317</f>
        <v>;</v>
      </c>
    </row>
    <row r="318" spans="1:25" x14ac:dyDescent="0.25">
      <c r="A318">
        <v>306</v>
      </c>
      <c r="C318" s="39" t="s">
        <v>229</v>
      </c>
      <c r="Q318" s="42" t="str">
        <f>C318&amp;IF(ISBLANK(D318),"","=")&amp;D318</f>
        <v>;</v>
      </c>
      <c r="T318" s="42" t="str">
        <f>C318&amp;IF(ISBLANK(S318),"","=")&amp;S318</f>
        <v>;</v>
      </c>
      <c r="V318" s="42" t="str">
        <f>C318&amp;IF(ISBLANK(U318),"","=")&amp;U318</f>
        <v>;</v>
      </c>
    </row>
    <row r="319" spans="1:25" x14ac:dyDescent="0.25">
      <c r="A319">
        <v>308</v>
      </c>
      <c r="C319" s="39" t="s">
        <v>229</v>
      </c>
      <c r="Q319" s="42" t="str">
        <f>C319&amp;IF(ISBLANK(D319),"","=")&amp;D319</f>
        <v>;</v>
      </c>
      <c r="T319" s="42" t="str">
        <f>C319&amp;IF(ISBLANK(S319),"","=")&amp;S319</f>
        <v>;</v>
      </c>
      <c r="V319" s="42" t="str">
        <f>C319&amp;IF(ISBLANK(U319),"","=")&amp;U319</f>
        <v>;</v>
      </c>
    </row>
    <row r="320" spans="1:25" x14ac:dyDescent="0.25">
      <c r="A320">
        <v>93</v>
      </c>
      <c r="C320" s="39" t="s">
        <v>290</v>
      </c>
      <c r="Q320" s="42" t="str">
        <f>C320&amp;IF(ISBLANK(D320),"","=")&amp;D320</f>
        <v>;-----------------</v>
      </c>
      <c r="T320" s="42" t="str">
        <f>C320&amp;IF(ISBLANK(S320),"","=")&amp;S320</f>
        <v>;-----------------</v>
      </c>
      <c r="V320" s="42" t="str">
        <f>C320&amp;IF(ISBLANK(U320),"","=")&amp;U320</f>
        <v>;-----------------</v>
      </c>
    </row>
    <row r="321" spans="1:22" x14ac:dyDescent="0.25">
      <c r="A321">
        <v>99</v>
      </c>
      <c r="C321" s="39" t="s">
        <v>290</v>
      </c>
      <c r="Q321" s="42" t="str">
        <f>C321&amp;IF(ISBLANK(D321),"","=")&amp;D321</f>
        <v>;-----------------</v>
      </c>
      <c r="T321" s="42" t="str">
        <f>C321&amp;IF(ISBLANK(S321),"","=")&amp;S321</f>
        <v>;-----------------</v>
      </c>
      <c r="V321" s="42" t="str">
        <f>C321&amp;IF(ISBLANK(U321),"","=")&amp;U321</f>
        <v>;-----------------</v>
      </c>
    </row>
    <row r="322" spans="1:22" x14ac:dyDescent="0.25">
      <c r="A322">
        <v>167</v>
      </c>
      <c r="C322" s="39" t="s">
        <v>290</v>
      </c>
      <c r="Q322" s="42" t="str">
        <f>C322&amp;IF(ISBLANK(D322),"","=")&amp;D322</f>
        <v>;-----------------</v>
      </c>
      <c r="T322" s="42" t="str">
        <f>C322&amp;IF(ISBLANK(S322),"","=")&amp;S322</f>
        <v>;-----------------</v>
      </c>
      <c r="V322" s="42" t="str">
        <f>C322&amp;IF(ISBLANK(U322),"","=")&amp;U322</f>
        <v>;-----------------</v>
      </c>
    </row>
    <row r="323" spans="1:22" x14ac:dyDescent="0.25">
      <c r="A323">
        <v>171</v>
      </c>
      <c r="C323" s="39" t="s">
        <v>290</v>
      </c>
      <c r="Q323" s="42" t="str">
        <f>C323&amp;IF(ISBLANK(D323),"","=")&amp;D323</f>
        <v>;-----------------</v>
      </c>
      <c r="T323" s="42" t="str">
        <f>C323&amp;IF(ISBLANK(S323),"","=")&amp;S323</f>
        <v>;-----------------</v>
      </c>
      <c r="V323" s="42" t="str">
        <f>C323&amp;IF(ISBLANK(U323),"","=")&amp;U323</f>
        <v>;-----------------</v>
      </c>
    </row>
    <row r="324" spans="1:22" x14ac:dyDescent="0.25">
      <c r="A324">
        <v>186</v>
      </c>
      <c r="C324" s="39" t="s">
        <v>290</v>
      </c>
      <c r="Q324" s="42" t="str">
        <f>C324&amp;IF(ISBLANK(D324),"","=")&amp;D324</f>
        <v>;-----------------</v>
      </c>
      <c r="T324" s="42" t="str">
        <f>C324&amp;IF(ISBLANK(S324),"","=")&amp;S324</f>
        <v>;-----------------</v>
      </c>
      <c r="V324" s="42" t="str">
        <f>C324&amp;IF(ISBLANK(U324),"","=")&amp;U324</f>
        <v>;-----------------</v>
      </c>
    </row>
    <row r="325" spans="1:22" x14ac:dyDescent="0.25">
      <c r="A325">
        <v>189</v>
      </c>
      <c r="C325" s="39" t="s">
        <v>290</v>
      </c>
      <c r="Q325" s="42" t="str">
        <f>C325&amp;IF(ISBLANK(D325),"","=")&amp;D325</f>
        <v>;-----------------</v>
      </c>
      <c r="T325" s="42" t="str">
        <f>C325&amp;IF(ISBLANK(S325),"","=")&amp;S325</f>
        <v>;-----------------</v>
      </c>
      <c r="V325" s="42" t="str">
        <f>C325&amp;IF(ISBLANK(U325),"","=")&amp;U325</f>
        <v>;-----------------</v>
      </c>
    </row>
    <row r="326" spans="1:22" x14ac:dyDescent="0.25">
      <c r="A326">
        <v>280</v>
      </c>
      <c r="C326" s="39" t="s">
        <v>531</v>
      </c>
      <c r="Q326" s="42" t="str">
        <f>C326&amp;IF(ISBLANK(D326),"","=")&amp;D326</f>
        <v>; 1: Equal Angle 2: Square 3: Sawtooth</v>
      </c>
      <c r="T326" s="42" t="str">
        <f>C326&amp;IF(ISBLANK(S326),"","=")&amp;S326</f>
        <v>; 1: Equal Angle 2: Square 3: Sawtooth</v>
      </c>
      <c r="V326" s="42" t="str">
        <f>C326&amp;IF(ISBLANK(U326),"","=")&amp;U326</f>
        <v>; 1: Equal Angle 2: Square 3: Sawtooth</v>
      </c>
    </row>
    <row r="327" spans="1:22" x14ac:dyDescent="0.25">
      <c r="A327">
        <v>78</v>
      </c>
      <c r="C327" s="39" t="s">
        <v>287</v>
      </c>
      <c r="Q327" s="42" t="str">
        <f>C327&amp;IF(ISBLANK(D327),"","=")&amp;D327</f>
        <v>; All speeds and accellerations are in steps per second</v>
      </c>
      <c r="T327" s="42" t="str">
        <f>C327&amp;IF(ISBLANK(S327),"","=")&amp;S327</f>
        <v>; All speeds and accellerations are in steps per second</v>
      </c>
      <c r="V327" s="42" t="str">
        <f>C327&amp;IF(ISBLANK(U327),"","=")&amp;U327</f>
        <v>; All speeds and accellerations are in steps per second</v>
      </c>
    </row>
    <row r="328" spans="1:22" x14ac:dyDescent="0.25">
      <c r="A328">
        <v>133</v>
      </c>
      <c r="C328" s="39" t="s">
        <v>581</v>
      </c>
      <c r="E328" s="51"/>
      <c r="F328" s="51"/>
      <c r="G328" s="26"/>
      <c r="H328" s="49"/>
      <c r="I328" s="27"/>
      <c r="J328" s="27"/>
      <c r="Q328" s="42" t="str">
        <f>C328&amp;IF(ISBLANK(D328),"","=")&amp;D328</f>
        <v>; CW=2, CCW=3</v>
      </c>
      <c r="T328" s="42" t="str">
        <f>C328&amp;IF(ISBLANK(S328),"","=")&amp;S328</f>
        <v>; CW=2, CCW=3</v>
      </c>
      <c r="V328" s="42" t="str">
        <f>C328&amp;IF(ISBLANK(U328),"","=")&amp;U328</f>
        <v>; CW=2, CCW=3</v>
      </c>
    </row>
    <row r="329" spans="1:22" x14ac:dyDescent="0.25">
      <c r="A329">
        <v>23</v>
      </c>
      <c r="C329" s="39" t="s">
        <v>578</v>
      </c>
      <c r="E329" s="26"/>
      <c r="F329" s="26"/>
      <c r="G329" s="26"/>
      <c r="H329" s="49"/>
      <c r="I329" s="27"/>
      <c r="J329" s="27"/>
      <c r="Q329" s="42" t="str">
        <f>C329&amp;IF(ISBLANK(D329),"","=")&amp;D329</f>
        <v>; Hand: 0=Left, 1=Right</v>
      </c>
      <c r="T329" s="42" t="str">
        <f>C329&amp;IF(ISBLANK(S329),"","=")&amp;S329</f>
        <v>; Hand: 0=Left, 1=Right</v>
      </c>
      <c r="V329" s="42" t="str">
        <f>C329&amp;IF(ISBLANK(U329),"","=")&amp;U329</f>
        <v>; Hand: 0=Left, 1=Right</v>
      </c>
    </row>
    <row r="330" spans="1:22" x14ac:dyDescent="0.25">
      <c r="A330">
        <v>178</v>
      </c>
      <c r="C330" s="39" t="s">
        <v>293</v>
      </c>
      <c r="Q330" s="42" t="str">
        <f>C330&amp;IF(ISBLANK(D330),"","=")&amp;D330</f>
        <v>; M3</v>
      </c>
      <c r="T330" s="42" t="str">
        <f>C330&amp;IF(ISBLANK(S330),"","=")&amp;S330</f>
        <v>; M3</v>
      </c>
      <c r="V330" s="42" t="str">
        <f>C330&amp;IF(ISBLANK(U330),"","=")&amp;U330</f>
        <v>; M3</v>
      </c>
    </row>
    <row r="331" spans="1:22" x14ac:dyDescent="0.25">
      <c r="A331">
        <v>182</v>
      </c>
      <c r="C331" s="39" t="s">
        <v>294</v>
      </c>
      <c r="Q331" s="42" t="str">
        <f>C331&amp;IF(ISBLANK(D331),"","=")&amp;D331</f>
        <v>; M4</v>
      </c>
      <c r="T331" s="42" t="str">
        <f>C331&amp;IF(ISBLANK(S331),"","=")&amp;S331</f>
        <v>; M4</v>
      </c>
      <c r="V331" s="42" t="str">
        <f>C331&amp;IF(ISBLANK(U331),"","=")&amp;U331</f>
        <v>; M4</v>
      </c>
    </row>
    <row r="332" spans="1:22" x14ac:dyDescent="0.25">
      <c r="A332">
        <v>126</v>
      </c>
      <c r="C332" s="39" t="s">
        <v>459</v>
      </c>
      <c r="E332" s="26"/>
      <c r="F332" s="26"/>
      <c r="G332" s="26"/>
      <c r="H332" s="49"/>
      <c r="I332" s="27"/>
      <c r="J332" s="27"/>
      <c r="Q332" s="42" t="str">
        <f>C332&amp;IF(ISBLANK(D332),"","=")&amp;D332</f>
        <v>; MultiAxesRun and Direction values are ANDed together.</v>
      </c>
      <c r="T332" s="42" t="str">
        <f>C332&amp;IF(ISBLANK(S332),"","=")&amp;S332</f>
        <v>; MultiAxesRun and Direction values are ANDed together.</v>
      </c>
      <c r="V332" s="42" t="str">
        <f>C332&amp;IF(ISBLANK(U332),"","=")&amp;U332</f>
        <v>; MultiAxesRun and Direction values are ANDed together.</v>
      </c>
    </row>
    <row r="333" spans="1:22" x14ac:dyDescent="0.25">
      <c r="A333">
        <v>154</v>
      </c>
      <c r="C333" s="39" t="s">
        <v>583</v>
      </c>
      <c r="E333" s="26"/>
      <c r="F333" s="26"/>
      <c r="G333" s="26"/>
      <c r="H333" s="49"/>
      <c r="I333" s="27"/>
      <c r="J333" s="27"/>
      <c r="Q333" s="42" t="str">
        <f>C333&amp;IF(ISBLANK(D333),"","=")&amp;D333</f>
        <v>; Right and CW=2, Left and CCW=3</v>
      </c>
      <c r="T333" s="42" t="str">
        <f>C333&amp;IF(ISBLANK(S333),"","=")&amp;S333</f>
        <v>; Right and CW=2, Left and CCW=3</v>
      </c>
      <c r="V333" s="42" t="str">
        <f>C333&amp;IF(ISBLANK(U333),"","=")&amp;U333</f>
        <v>; Right and CW=2, Left and CCW=3</v>
      </c>
    </row>
    <row r="334" spans="1:22" x14ac:dyDescent="0.25">
      <c r="A334">
        <v>161</v>
      </c>
      <c r="C334" s="39" t="s">
        <v>583</v>
      </c>
      <c r="E334" s="26"/>
      <c r="F334" s="26"/>
      <c r="G334" s="26"/>
      <c r="H334" s="49"/>
      <c r="I334" s="27"/>
      <c r="J334" s="27"/>
      <c r="Q334" s="42" t="str">
        <f>C334&amp;IF(ISBLANK(D334),"","=")&amp;D334</f>
        <v>; Right and CW=2, Left and CCW=3</v>
      </c>
      <c r="T334" s="42" t="str">
        <f>C334&amp;IF(ISBLANK(S334),"","=")&amp;S334</f>
        <v>; Right and CW=2, Left and CCW=3</v>
      </c>
      <c r="V334" s="42" t="str">
        <f>C334&amp;IF(ISBLANK(U334),"","=")&amp;U334</f>
        <v>; Right and CW=2, Left and CCW=3</v>
      </c>
    </row>
    <row r="335" spans="1:22" x14ac:dyDescent="0.25">
      <c r="A335">
        <v>140</v>
      </c>
      <c r="C335" s="39" t="s">
        <v>582</v>
      </c>
      <c r="E335" s="27"/>
      <c r="F335" s="27"/>
      <c r="G335" s="26"/>
      <c r="H335" s="49"/>
      <c r="I335" s="27"/>
      <c r="J335" s="27"/>
      <c r="Q335" s="42" t="str">
        <f>C335&amp;IF(ISBLANK(D335),"","=")&amp;D335</f>
        <v>; Right=2, Left=3</v>
      </c>
      <c r="T335" s="42" t="str">
        <f>C335&amp;IF(ISBLANK(S335),"","=")&amp;S335</f>
        <v>; Right=2, Left=3</v>
      </c>
      <c r="V335" s="42" t="str">
        <f>C335&amp;IF(ISBLANK(U335),"","=")&amp;U335</f>
        <v>; Right=2, Left=3</v>
      </c>
    </row>
    <row r="336" spans="1:22" x14ac:dyDescent="0.25">
      <c r="A336">
        <v>147</v>
      </c>
      <c r="C336" s="39" t="s">
        <v>582</v>
      </c>
      <c r="E336" s="26"/>
      <c r="F336" s="26"/>
      <c r="G336" s="26"/>
      <c r="H336" s="49"/>
      <c r="I336" s="27"/>
      <c r="J336" s="27"/>
      <c r="Q336" s="42" t="str">
        <f>C336&amp;IF(ISBLANK(D336),"","=")&amp;D336</f>
        <v>; Right=2, Left=3</v>
      </c>
      <c r="T336" s="42" t="str">
        <f>C336&amp;IF(ISBLANK(S336),"","=")&amp;S336</f>
        <v>; Right=2, Left=3</v>
      </c>
      <c r="V336" s="42" t="str">
        <f>C336&amp;IF(ISBLANK(U336),"","=")&amp;U336</f>
        <v>; Right=2, Left=3</v>
      </c>
    </row>
    <row r="337" spans="1:25" x14ac:dyDescent="0.25">
      <c r="A337">
        <v>1</v>
      </c>
      <c r="C337" s="39" t="s">
        <v>579</v>
      </c>
      <c r="Q337" s="42" t="str">
        <f>C337&amp;IF(ISBLANK(D337),"","=")&amp;D337</f>
        <v>; Rose Engine Ini file</v>
      </c>
      <c r="T337" s="42" t="str">
        <f>C337&amp;IF(ISBLANK(S337),"","=")&amp;S337</f>
        <v>; Rose Engine Ini file</v>
      </c>
      <c r="V337" s="42" t="str">
        <f>C337&amp;IF(ISBLANK(U337),"","=")&amp;U337</f>
        <v>; Rose Engine Ini file</v>
      </c>
    </row>
    <row r="338" spans="1:25" x14ac:dyDescent="0.25">
      <c r="A338">
        <v>124</v>
      </c>
      <c r="C338" s="39" t="s">
        <v>566</v>
      </c>
      <c r="Q338" s="42" t="str">
        <f>C338&amp;IF(ISBLANK(D338),"","=")&amp;D338</f>
        <v>; Settings are shared between One and Multi pages.</v>
      </c>
      <c r="T338" s="42" t="str">
        <f>C338&amp;IF(ISBLANK(S338),"","=")&amp;S338</f>
        <v>; Settings are shared between One and Multi pages.</v>
      </c>
      <c r="V338" s="42" t="str">
        <f>C338&amp;IF(ISBLANK(U338),"","=")&amp;U338</f>
        <v>; Settings are shared between One and Multi pages.</v>
      </c>
    </row>
    <row r="339" spans="1:25" x14ac:dyDescent="0.25">
      <c r="A339">
        <v>244</v>
      </c>
      <c r="C339" s="39" t="s">
        <v>510</v>
      </c>
      <c r="N339"/>
      <c r="O339"/>
      <c r="P339"/>
      <c r="Q339" s="42" t="str">
        <f>C339&amp;IF(ISBLANK(D339),"","=")&amp;D339</f>
        <v>; Settings shared between Main,Sync, Recip, Rose, Greek Key, and Program pages</v>
      </c>
      <c r="T339" s="42" t="str">
        <f>C339&amp;IF(ISBLANK(S339),"","=")&amp;S339</f>
        <v>; Settings shared between Main,Sync, Recip, Rose, Greek Key, and Program pages</v>
      </c>
      <c r="V339" s="42" t="str">
        <f>C339&amp;IF(ISBLANK(U339),"","=")&amp;U339</f>
        <v>; Settings shared between Main,Sync, Recip, Rose, Greek Key, and Program pages</v>
      </c>
    </row>
    <row r="340" spans="1:25" x14ac:dyDescent="0.25">
      <c r="A340">
        <v>248</v>
      </c>
      <c r="C340" s="39" t="s">
        <v>443</v>
      </c>
      <c r="Q340" s="42" t="str">
        <f>C340&amp;IF(ISBLANK(D340),"","=")&amp;D340</f>
        <v>; Settings shared between Sync, Recip, Greek Key, and Program pages</v>
      </c>
      <c r="T340" s="42" t="str">
        <f>C340&amp;IF(ISBLANK(S340),"","=")&amp;S340</f>
        <v>; Settings shared between Sync, Recip, Greek Key, and Program pages</v>
      </c>
      <c r="V340" s="42" t="str">
        <f>C340&amp;IF(ISBLANK(U340),"","=")&amp;U340</f>
        <v>; Settings shared between Sync, Recip, Greek Key, and Program pages</v>
      </c>
    </row>
    <row r="341" spans="1:25" x14ac:dyDescent="0.25">
      <c r="A341" s="30">
        <v>12</v>
      </c>
      <c r="B341" s="30"/>
      <c r="C341" s="48" t="s">
        <v>277</v>
      </c>
      <c r="D341" s="48"/>
      <c r="E341" s="30"/>
      <c r="F341" s="30"/>
      <c r="G341" s="30"/>
      <c r="H341" s="83"/>
      <c r="I341" s="30"/>
      <c r="J341" s="30"/>
      <c r="K341" s="48"/>
      <c r="L341" s="30"/>
      <c r="M341" s="78"/>
      <c r="N341" s="30"/>
      <c r="O341" s="30"/>
      <c r="P341" s="30"/>
      <c r="Q341" s="30" t="str">
        <f>C341&amp;IF(ISBLANK(D341),"","=")&amp;D341</f>
        <v>; Spindle</v>
      </c>
      <c r="R341" s="30"/>
      <c r="S341" s="48"/>
      <c r="T341" s="30" t="str">
        <f>C341&amp;IF(ISBLANK(S341),"","=")&amp;S341</f>
        <v>; Spindle</v>
      </c>
      <c r="U341" s="48"/>
      <c r="V341" s="42" t="str">
        <f>C341&amp;IF(ISBLANK(U341),"","=")&amp;U341</f>
        <v>; Spindle</v>
      </c>
      <c r="W341" s="30"/>
      <c r="X341" s="30"/>
      <c r="Y341" s="30"/>
    </row>
    <row r="342" spans="1:25" s="1" customFormat="1" x14ac:dyDescent="0.25">
      <c r="A342">
        <v>174</v>
      </c>
      <c r="B342"/>
      <c r="C342" s="39" t="s">
        <v>277</v>
      </c>
      <c r="D342" s="39"/>
      <c r="E342"/>
      <c r="F342"/>
      <c r="G342"/>
      <c r="H342" s="38"/>
      <c r="I342"/>
      <c r="J342"/>
      <c r="K342" s="39"/>
      <c r="L342"/>
      <c r="M342" s="45"/>
      <c r="N342" s="54"/>
      <c r="O342" s="54"/>
      <c r="P342" s="54"/>
      <c r="Q342" s="42" t="str">
        <f>C342&amp;IF(ISBLANK(D342),"","=")&amp;D342</f>
        <v>; Spindle</v>
      </c>
      <c r="R342"/>
      <c r="S342" s="39"/>
      <c r="T342" s="42" t="str">
        <f>C342&amp;IF(ISBLANK(S342),"","=")&amp;S342</f>
        <v>; Spindle</v>
      </c>
      <c r="U342" s="39"/>
      <c r="V342" s="42" t="str">
        <f>C342&amp;IF(ISBLANK(U342),"","=")&amp;U342</f>
        <v>; Spindle</v>
      </c>
      <c r="W342"/>
      <c r="X342"/>
      <c r="Y342"/>
    </row>
    <row r="343" spans="1:25" x14ac:dyDescent="0.25">
      <c r="A343">
        <v>2</v>
      </c>
      <c r="C343" s="39" t="s">
        <v>594</v>
      </c>
      <c r="Q343" s="42" t="str">
        <f>C343&amp;IF(ISBLANK(D343),"","=")&amp;D343</f>
        <v>; V3.0</v>
      </c>
      <c r="T343" s="42" t="s">
        <v>593</v>
      </c>
      <c r="V343" s="42" t="s">
        <v>592</v>
      </c>
    </row>
    <row r="344" spans="1:25" x14ac:dyDescent="0.25">
      <c r="A344">
        <v>293</v>
      </c>
      <c r="C344" s="39" t="s">
        <v>307</v>
      </c>
      <c r="Q344" s="42" t="str">
        <f>C344&amp;IF(ISBLANK(D344),"","=")&amp;D344</f>
        <v>;4a: 2 4b: 3 3a: 6 3b: 7 2a: 4 2b: 5</v>
      </c>
      <c r="T344" s="42" t="str">
        <f>C344&amp;IF(ISBLANK(S344),"","=")&amp;S344</f>
        <v>;4a: 2 4b: 3 3a: 6 3b: 7 2a: 4 2b: 5</v>
      </c>
      <c r="V344" s="42" t="str">
        <f>C344&amp;IF(ISBLANK(U344),"","=")&amp;U344</f>
        <v>;4a: 2 4b: 3 3a: 6 3b: 7 2a: 4 2b: 5</v>
      </c>
    </row>
    <row r="345" spans="1:25" x14ac:dyDescent="0.25">
      <c r="A345" s="30">
        <v>32</v>
      </c>
      <c r="B345" s="30"/>
      <c r="C345" s="48" t="s">
        <v>280</v>
      </c>
      <c r="D345" s="48"/>
      <c r="E345" s="30"/>
      <c r="F345" s="30"/>
      <c r="G345" s="30"/>
      <c r="H345" s="83"/>
      <c r="I345" s="30"/>
      <c r="J345" s="30"/>
      <c r="K345" s="48"/>
      <c r="L345" s="30"/>
      <c r="M345" s="78"/>
      <c r="N345" s="30"/>
      <c r="O345" s="30"/>
      <c r="P345" s="30"/>
      <c r="Q345" s="30" t="str">
        <f>C345&amp;IF(ISBLANK(D345),"","=")&amp;D345</f>
        <v>;Alternate X Axis</v>
      </c>
      <c r="R345" s="30"/>
      <c r="S345" s="48"/>
      <c r="T345" s="30" t="str">
        <f>C345&amp;IF(ISBLANK(S345),"","=")&amp;S345</f>
        <v>;Alternate X Axis</v>
      </c>
      <c r="U345" s="48"/>
      <c r="V345" s="42" t="str">
        <f>C345&amp;IF(ISBLANK(U345),"","=")&amp;U345</f>
        <v>;Alternate X Axis</v>
      </c>
      <c r="W345" s="30"/>
      <c r="X345" s="30"/>
      <c r="Y345" s="30"/>
    </row>
    <row r="346" spans="1:25" x14ac:dyDescent="0.25">
      <c r="A346">
        <v>286</v>
      </c>
      <c r="C346" s="39" t="s">
        <v>305</v>
      </c>
      <c r="Q346" s="42" t="str">
        <f>C346&amp;IF(ISBLANK(D346),"","=")&amp;D346</f>
        <v>;Axial</v>
      </c>
      <c r="T346" s="42" t="str">
        <f>C346&amp;IF(ISBLANK(S346),"","=")&amp;S346</f>
        <v>;Axial</v>
      </c>
      <c r="V346" s="42" t="str">
        <f>C346&amp;IF(ISBLANK(U346),"","=")&amp;U346</f>
        <v>;Axial</v>
      </c>
    </row>
    <row r="347" spans="1:25" x14ac:dyDescent="0.25">
      <c r="A347">
        <v>92</v>
      </c>
      <c r="C347" s="39" t="s">
        <v>289</v>
      </c>
      <c r="Q347" s="42" t="str">
        <f>C347&amp;IF(ISBLANK(D347),"","=")&amp;D347</f>
        <v>;Axis Ids:</v>
      </c>
      <c r="T347" s="42" t="str">
        <f>C347&amp;IF(ISBLANK(S347),"","=")&amp;S347</f>
        <v>;Axis Ids:</v>
      </c>
      <c r="V347" s="42" t="str">
        <f>C347&amp;IF(ISBLANK(U347),"","=")&amp;U347</f>
        <v>;Axis Ids:</v>
      </c>
    </row>
    <row r="348" spans="1:25" x14ac:dyDescent="0.25">
      <c r="A348">
        <v>166</v>
      </c>
      <c r="C348" s="39" t="s">
        <v>289</v>
      </c>
      <c r="Q348" s="42" t="str">
        <f>C348&amp;IF(ISBLANK(D348),"","=")&amp;D348</f>
        <v>;Axis Ids:</v>
      </c>
      <c r="T348" s="42" t="str">
        <f>C348&amp;IF(ISBLANK(S348),"","=")&amp;S348</f>
        <v>;Axis Ids:</v>
      </c>
      <c r="V348" s="42" t="str">
        <f>C348&amp;IF(ISBLANK(U348),"","=")&amp;U348</f>
        <v>;Axis Ids:</v>
      </c>
    </row>
    <row r="349" spans="1:25" x14ac:dyDescent="0.25">
      <c r="A349">
        <v>8</v>
      </c>
      <c r="C349" s="39" t="s">
        <v>452</v>
      </c>
      <c r="Q349" s="42" t="str">
        <f>C349&amp;IF(ISBLANK(D349),"","=")&amp;D349</f>
        <v>;CutterMotorPin must be greater than 16 on 4 motor board.</v>
      </c>
      <c r="T349" s="42" t="str">
        <f>C349&amp;IF(ISBLANK(S349),"","=")&amp;S349</f>
        <v>;CutterMotorPin must be greater than 16 on 4 motor board.</v>
      </c>
      <c r="V349" s="42" t="str">
        <f>C349&amp;IF(ISBLANK(U349),"","=")&amp;U349</f>
        <v>;CutterMotorPin must be greater than 16 on 4 motor board.</v>
      </c>
    </row>
    <row r="350" spans="1:25" x14ac:dyDescent="0.25">
      <c r="A350">
        <v>9</v>
      </c>
      <c r="C350" s="39" t="s">
        <v>453</v>
      </c>
      <c r="Q350" s="42" t="str">
        <f>C350&amp;IF(ISBLANK(D350),"","=")&amp;D350</f>
        <v>;CutterMotorPin must be greater than 24 on 5 motor board.</v>
      </c>
      <c r="T350" s="42" t="str">
        <f>C350&amp;IF(ISBLANK(S350),"","=")&amp;S350</f>
        <v>;CutterMotorPin must be greater than 24 on 5 motor board.</v>
      </c>
      <c r="V350" s="42" t="str">
        <f>C350&amp;IF(ISBLANK(U350),"","=")&amp;U350</f>
        <v>;CutterMotorPin must be greater than 24 on 5 motor board.</v>
      </c>
    </row>
    <row r="351" spans="1:25" x14ac:dyDescent="0.25">
      <c r="A351">
        <v>187</v>
      </c>
      <c r="C351" t="s">
        <v>577</v>
      </c>
      <c r="H351"/>
      <c r="Q351" s="42" t="str">
        <f>C351&amp;IF(ISBLANK(D351),"","=")&amp;D351</f>
        <v>;Division:0  Degrees:1</v>
      </c>
      <c r="T351" s="42" t="str">
        <f>C351&amp;IF(ISBLANK(S351),"","=")&amp;S351</f>
        <v>;Division:0  Degrees:1</v>
      </c>
      <c r="V351" s="42" t="str">
        <f>C351&amp;IF(ISBLANK(U351),"","=")&amp;U351</f>
        <v>;Division:0  Degrees:1</v>
      </c>
    </row>
    <row r="352" spans="1:25" x14ac:dyDescent="0.25">
      <c r="A352" s="1">
        <v>342</v>
      </c>
      <c r="B352" s="1"/>
      <c r="C352" s="43" t="s">
        <v>507</v>
      </c>
      <c r="D352" s="43"/>
      <c r="E352" s="1"/>
      <c r="F352" s="1"/>
      <c r="G352" s="1"/>
      <c r="H352" s="1"/>
      <c r="I352" s="1"/>
      <c r="J352" s="1"/>
      <c r="K352" s="43"/>
      <c r="L352" s="1"/>
      <c r="M352" s="46"/>
      <c r="N352" s="1"/>
      <c r="O352" s="1"/>
      <c r="P352" s="1"/>
      <c r="Q352" s="1" t="str">
        <f>C352&amp;IF(ISBLANK(D352),"","=")&amp;D352</f>
        <v>;End ini</v>
      </c>
      <c r="R352" s="1"/>
      <c r="S352" s="43"/>
      <c r="T352" s="1" t="str">
        <f>C352&amp;IF(ISBLANK(S352),"","=")&amp;S352</f>
        <v>;End ini</v>
      </c>
      <c r="U352" s="43"/>
      <c r="V352" s="1" t="str">
        <f>C352&amp;IF(ISBLANK(U352),"","=")&amp;U352</f>
        <v>;End ini</v>
      </c>
      <c r="W352" s="1"/>
      <c r="X352" s="1"/>
      <c r="Y352" s="1"/>
    </row>
    <row r="353" spans="1:25" x14ac:dyDescent="0.25">
      <c r="A353">
        <v>188</v>
      </c>
      <c r="C353" s="39" t="s">
        <v>295</v>
      </c>
      <c r="H353"/>
      <c r="Q353" s="42" t="str">
        <f>C353&amp;IF(ISBLANK(D353),"","=")&amp;D353</f>
        <v>;Fixed:0  File:1</v>
      </c>
      <c r="T353" s="42" t="str">
        <f>C353&amp;IF(ISBLANK(S353),"","=")&amp;S353</f>
        <v>;Fixed:0  File:1</v>
      </c>
      <c r="V353" s="42" t="str">
        <f>C353&amp;IF(ISBLANK(U353),"","=")&amp;U353</f>
        <v>;Fixed:0  File:1</v>
      </c>
    </row>
    <row r="354" spans="1:25" x14ac:dyDescent="0.25">
      <c r="A354">
        <v>190</v>
      </c>
      <c r="C354" s="39" t="s">
        <v>296</v>
      </c>
      <c r="H354"/>
      <c r="Q354" s="42" t="str">
        <f>C354&amp;IF(ISBLANK(D354),"","=")&amp;D354</f>
        <v>;Index 1</v>
      </c>
      <c r="T354" s="42" t="str">
        <f>C354&amp;IF(ISBLANK(S354),"","=")&amp;S354</f>
        <v>;Index 1</v>
      </c>
      <c r="V354" s="42" t="str">
        <f>C354&amp;IF(ISBLANK(U354),"","=")&amp;U354</f>
        <v>;Index 1</v>
      </c>
    </row>
    <row r="355" spans="1:25" x14ac:dyDescent="0.25">
      <c r="A355">
        <v>194</v>
      </c>
      <c r="C355" t="s">
        <v>297</v>
      </c>
      <c r="H355"/>
      <c r="Q355" s="42" t="str">
        <f>C355&amp;IF(ISBLANK(D355),"","=")&amp;D355</f>
        <v>;Index 2</v>
      </c>
      <c r="T355" s="42" t="str">
        <f>C355&amp;IF(ISBLANK(S355),"","=")&amp;S355</f>
        <v>;Index 2</v>
      </c>
      <c r="V355" s="42" t="str">
        <f>C355&amp;IF(ISBLANK(U355),"","=")&amp;U355</f>
        <v>;Index 2</v>
      </c>
    </row>
    <row r="356" spans="1:25" x14ac:dyDescent="0.25">
      <c r="A356">
        <v>198</v>
      </c>
      <c r="C356" t="s">
        <v>298</v>
      </c>
      <c r="D356"/>
      <c r="H356"/>
      <c r="Q356" s="42" t="str">
        <f>C356&amp;IF(ISBLANK(D356),"","=")&amp;D356</f>
        <v>;Index 3</v>
      </c>
      <c r="S356"/>
      <c r="T356" s="42" t="str">
        <f>C356&amp;IF(ISBLANK(S356),"","=")&amp;S356</f>
        <v>;Index 3</v>
      </c>
      <c r="U356"/>
      <c r="V356" s="42" t="str">
        <f>C356&amp;IF(ISBLANK(U356),"","=")&amp;U356</f>
        <v>;Index 3</v>
      </c>
    </row>
    <row r="357" spans="1:25" x14ac:dyDescent="0.25">
      <c r="A357">
        <v>202</v>
      </c>
      <c r="C357" t="s">
        <v>299</v>
      </c>
      <c r="D357"/>
      <c r="H357"/>
      <c r="Q357" s="42" t="str">
        <f>C357&amp;IF(ISBLANK(D357),"","=")&amp;D357</f>
        <v>;Index 4</v>
      </c>
      <c r="S357"/>
      <c r="T357" s="42" t="str">
        <f>C357&amp;IF(ISBLANK(S357),"","=")&amp;S357</f>
        <v>;Index 4</v>
      </c>
      <c r="U357"/>
      <c r="V357" s="42" t="str">
        <f>C357&amp;IF(ISBLANK(U357),"","=")&amp;U357</f>
        <v>;Index 4</v>
      </c>
    </row>
    <row r="358" spans="1:25" x14ac:dyDescent="0.25">
      <c r="A358">
        <v>206</v>
      </c>
      <c r="C358" t="s">
        <v>300</v>
      </c>
      <c r="D358"/>
      <c r="H358"/>
      <c r="Q358" s="42" t="str">
        <f>C358&amp;IF(ISBLANK(D358),"","=")&amp;D358</f>
        <v>;Index 5</v>
      </c>
      <c r="S358"/>
      <c r="T358" s="42" t="str">
        <f>C358&amp;IF(ISBLANK(S358),"","=")&amp;S358</f>
        <v>;Index 5</v>
      </c>
      <c r="U358"/>
      <c r="V358" s="42" t="str">
        <f>C358&amp;IF(ISBLANK(U358),"","=")&amp;U358</f>
        <v>;Index 5</v>
      </c>
    </row>
    <row r="359" spans="1:25" x14ac:dyDescent="0.25">
      <c r="A359">
        <v>59</v>
      </c>
      <c r="C359" t="s">
        <v>454</v>
      </c>
      <c r="D359"/>
      <c r="H359"/>
      <c r="Q359" s="42" t="str">
        <f>C359&amp;IF(ISBLANK(D359),"","=")&amp;D359</f>
        <v>;Limit Switches and Stop pins must be greater than 16 on 4 motor board.</v>
      </c>
      <c r="S359"/>
      <c r="T359" s="42" t="str">
        <f>C359&amp;IF(ISBLANK(S359),"","=")&amp;S359</f>
        <v>;Limit Switches and Stop pins must be greater than 16 on 4 motor board.</v>
      </c>
      <c r="U359"/>
      <c r="V359" s="42" t="str">
        <f>C359&amp;IF(ISBLANK(U359),"","=")&amp;U359</f>
        <v>;Limit Switches and Stop pins must be greater than 16 on 4 motor board.</v>
      </c>
    </row>
    <row r="360" spans="1:25" x14ac:dyDescent="0.25">
      <c r="A360">
        <v>60</v>
      </c>
      <c r="C360" t="s">
        <v>455</v>
      </c>
      <c r="D360"/>
      <c r="H360"/>
      <c r="Q360" s="42" t="str">
        <f>C360&amp;IF(ISBLANK(D360),"","=")&amp;D360</f>
        <v>;Limit Switches and Stop pins must be greater than 24 on 5 motor board.</v>
      </c>
      <c r="S360"/>
      <c r="T360" s="42" t="str">
        <f>C360&amp;IF(ISBLANK(S360),"","=")&amp;S360</f>
        <v>;Limit Switches and Stop pins must be greater than 24 on 5 motor board.</v>
      </c>
      <c r="U360"/>
      <c r="V360" s="42" t="str">
        <f>C360&amp;IF(ISBLANK(U360),"","=")&amp;U360</f>
        <v>;Limit Switches and Stop pins must be greater than 24 on 5 motor board.</v>
      </c>
    </row>
    <row r="361" spans="1:25" x14ac:dyDescent="0.25">
      <c r="A361" s="30">
        <v>38</v>
      </c>
      <c r="B361" s="30"/>
      <c r="C361" s="30" t="s">
        <v>281</v>
      </c>
      <c r="D361" s="30"/>
      <c r="E361" s="30"/>
      <c r="F361" s="30"/>
      <c r="G361" s="30"/>
      <c r="H361" s="30"/>
      <c r="I361" s="30"/>
      <c r="J361" s="30"/>
      <c r="K361" s="48"/>
      <c r="L361" s="30"/>
      <c r="M361" s="78"/>
      <c r="N361" s="30"/>
      <c r="O361" s="30"/>
      <c r="P361" s="30"/>
      <c r="Q361" s="30" t="str">
        <f>C361&amp;IF(ISBLANK(D361),"","=")&amp;D361</f>
        <v>;M3 Axis</v>
      </c>
      <c r="R361" s="30"/>
      <c r="S361" s="30"/>
      <c r="T361" s="30" t="str">
        <f>C361&amp;IF(ISBLANK(S361),"","=")&amp;S361</f>
        <v>;M3 Axis</v>
      </c>
      <c r="U361" s="30"/>
      <c r="V361" s="42" t="str">
        <f>C361&amp;IF(ISBLANK(U361),"","=")&amp;U361</f>
        <v>;M3 Axis</v>
      </c>
      <c r="W361" s="30"/>
      <c r="X361" s="30"/>
      <c r="Y361" s="30"/>
    </row>
    <row r="362" spans="1:25" x14ac:dyDescent="0.25">
      <c r="A362">
        <v>113</v>
      </c>
      <c r="C362" t="s">
        <v>281</v>
      </c>
      <c r="D362"/>
      <c r="H362"/>
      <c r="Q362" s="42" t="str">
        <f>C362&amp;IF(ISBLANK(D362),"","=")&amp;D362</f>
        <v>;M3 Axis</v>
      </c>
      <c r="S362"/>
      <c r="T362" s="42" t="str">
        <f>C362&amp;IF(ISBLANK(S362),"","=")&amp;S362</f>
        <v>;M3 Axis</v>
      </c>
      <c r="U362"/>
      <c r="V362" s="42" t="str">
        <f>C362&amp;IF(ISBLANK(U362),"","=")&amp;U362</f>
        <v>;M3 Axis</v>
      </c>
    </row>
    <row r="363" spans="1:25" x14ac:dyDescent="0.25">
      <c r="A363">
        <v>149</v>
      </c>
      <c r="C363" t="s">
        <v>281</v>
      </c>
      <c r="D363"/>
      <c r="H363"/>
      <c r="Q363" s="42" t="str">
        <f>C363&amp;IF(ISBLANK(D363),"","=")&amp;D363</f>
        <v>;M3 Axis</v>
      </c>
      <c r="S363"/>
      <c r="T363" s="42" t="str">
        <f>C363&amp;IF(ISBLANK(S363),"","=")&amp;S363</f>
        <v>;M3 Axis</v>
      </c>
      <c r="U363"/>
      <c r="V363" s="42" t="str">
        <f>C363&amp;IF(ISBLANK(U363),"","=")&amp;U363</f>
        <v>;M3 Axis</v>
      </c>
    </row>
    <row r="364" spans="1:25" x14ac:dyDescent="0.25">
      <c r="A364">
        <v>229</v>
      </c>
      <c r="C364" t="s">
        <v>281</v>
      </c>
      <c r="D364"/>
      <c r="H364"/>
      <c r="Q364" s="42" t="str">
        <f>C364&amp;IF(ISBLANK(D364),"","=")&amp;D364</f>
        <v>;M3 Axis</v>
      </c>
      <c r="S364"/>
      <c r="T364" s="42" t="str">
        <f>C364&amp;IF(ISBLANK(S364),"","=")&amp;S364</f>
        <v>;M3 Axis</v>
      </c>
      <c r="U364"/>
      <c r="V364" s="42" t="str">
        <f>C364&amp;IF(ISBLANK(U364),"","=")&amp;U364</f>
        <v>;M3 Axis</v>
      </c>
    </row>
    <row r="365" spans="1:25" x14ac:dyDescent="0.25">
      <c r="A365">
        <v>263</v>
      </c>
      <c r="C365" t="s">
        <v>281</v>
      </c>
      <c r="D365"/>
      <c r="H365"/>
      <c r="Q365" s="42" t="str">
        <f>C365&amp;IF(ISBLANK(D365),"","=")&amp;D365</f>
        <v>;M3 Axis</v>
      </c>
      <c r="S365"/>
      <c r="T365" s="42" t="str">
        <f>C365&amp;IF(ISBLANK(S365),"","=")&amp;S365</f>
        <v>;M3 Axis</v>
      </c>
      <c r="U365"/>
      <c r="V365" s="42" t="str">
        <f>C365&amp;IF(ISBLANK(U365),"","=")&amp;U365</f>
        <v>;M3 Axis</v>
      </c>
    </row>
    <row r="366" spans="1:25" x14ac:dyDescent="0.25">
      <c r="A366">
        <v>330</v>
      </c>
      <c r="C366" t="s">
        <v>281</v>
      </c>
      <c r="D366"/>
      <c r="H366"/>
      <c r="Q366" s="42" t="str">
        <f>C366&amp;IF(ISBLANK(D366),"","=")&amp;D366</f>
        <v>;M3 Axis</v>
      </c>
      <c r="S366"/>
      <c r="T366" s="42" t="str">
        <f>C366&amp;IF(ISBLANK(S366),"","=")&amp;S366</f>
        <v>;M3 Axis</v>
      </c>
      <c r="U366"/>
      <c r="V366" s="42" t="str">
        <f>C366&amp;IF(ISBLANK(U366),"","=")&amp;U366</f>
        <v>;M3 Axis</v>
      </c>
    </row>
    <row r="367" spans="1:25" x14ac:dyDescent="0.25">
      <c r="A367">
        <v>96</v>
      </c>
      <c r="C367" t="s">
        <v>514</v>
      </c>
      <c r="D367"/>
      <c r="H367"/>
      <c r="Q367" s="42" t="str">
        <f>C367&amp;IF(ISBLANK(D367),"","=")&amp;D367</f>
        <v>;M3=3</v>
      </c>
      <c r="S367"/>
      <c r="T367" s="42" t="str">
        <f>C367&amp;IF(ISBLANK(S367),"","=")&amp;S367</f>
        <v>;M3=3</v>
      </c>
      <c r="U367"/>
      <c r="V367" s="42" t="str">
        <f>C367&amp;IF(ISBLANK(U367),"","=")&amp;U367</f>
        <v>;M3=3</v>
      </c>
    </row>
    <row r="368" spans="1:25" x14ac:dyDescent="0.25">
      <c r="A368">
        <v>168</v>
      </c>
      <c r="C368" t="s">
        <v>514</v>
      </c>
      <c r="D368"/>
      <c r="H368"/>
      <c r="Q368" s="42" t="str">
        <f>C368&amp;IF(ISBLANK(D368),"","=")&amp;D368</f>
        <v>;M3=3</v>
      </c>
      <c r="S368"/>
      <c r="T368" s="42" t="str">
        <f>C368&amp;IF(ISBLANK(S368),"","=")&amp;S368</f>
        <v>;M3=3</v>
      </c>
      <c r="U368"/>
      <c r="V368" s="42" t="str">
        <f>C368&amp;IF(ISBLANK(U368),"","=")&amp;U368</f>
        <v>;M3=3</v>
      </c>
    </row>
    <row r="369" spans="1:25" x14ac:dyDescent="0.25">
      <c r="A369" s="30">
        <v>47</v>
      </c>
      <c r="B369" s="30"/>
      <c r="C369" s="30" t="s">
        <v>282</v>
      </c>
      <c r="D369" s="30"/>
      <c r="E369" s="30"/>
      <c r="F369" s="30"/>
      <c r="G369" s="30"/>
      <c r="H369" s="30"/>
      <c r="I369" s="30"/>
      <c r="J369" s="30"/>
      <c r="K369" s="48"/>
      <c r="L369" s="30"/>
      <c r="M369" s="78"/>
      <c r="N369" s="30"/>
      <c r="O369" s="30"/>
      <c r="P369" s="30"/>
      <c r="Q369" s="30" t="str">
        <f>C369&amp;IF(ISBLANK(D369),"","=")&amp;D369</f>
        <v>;M4 Axis</v>
      </c>
      <c r="R369" s="30"/>
      <c r="S369" s="30"/>
      <c r="T369" s="30" t="str">
        <f>C369&amp;IF(ISBLANK(S369),"","=")&amp;S369</f>
        <v>;M4 Axis</v>
      </c>
      <c r="U369" s="30"/>
      <c r="V369" s="42" t="str">
        <f>C369&amp;IF(ISBLANK(U369),"","=")&amp;U369</f>
        <v>;M4 Axis</v>
      </c>
      <c r="W369" s="30"/>
      <c r="X369" s="30"/>
      <c r="Y369" s="30"/>
    </row>
    <row r="370" spans="1:25" x14ac:dyDescent="0.25">
      <c r="A370">
        <v>117</v>
      </c>
      <c r="C370" t="s">
        <v>282</v>
      </c>
      <c r="D370"/>
      <c r="H370"/>
      <c r="Q370" s="42" t="str">
        <f>C370&amp;IF(ISBLANK(D370),"","=")&amp;D370</f>
        <v>;M4 Axis</v>
      </c>
      <c r="S370"/>
      <c r="T370" s="42" t="str">
        <f>C370&amp;IF(ISBLANK(S370),"","=")&amp;S370</f>
        <v>;M4 Axis</v>
      </c>
      <c r="U370"/>
      <c r="V370" s="42" t="str">
        <f>C370&amp;IF(ISBLANK(U370),"","=")&amp;U370</f>
        <v>;M4 Axis</v>
      </c>
    </row>
    <row r="371" spans="1:25" x14ac:dyDescent="0.25">
      <c r="A371">
        <v>156</v>
      </c>
      <c r="C371" t="s">
        <v>282</v>
      </c>
      <c r="D371"/>
      <c r="H371" s="4"/>
      <c r="I371" s="4"/>
      <c r="J371" s="4"/>
      <c r="Q371" s="42" t="str">
        <f>C371&amp;IF(ISBLANK(D371),"","=")&amp;D371</f>
        <v>;M4 Axis</v>
      </c>
      <c r="S371"/>
      <c r="T371" s="42" t="str">
        <f>C371&amp;IF(ISBLANK(S371),"","=")&amp;S371</f>
        <v>;M4 Axis</v>
      </c>
      <c r="U371"/>
      <c r="V371" s="42" t="str">
        <f>C371&amp;IF(ISBLANK(U371),"","=")&amp;U371</f>
        <v>;M4 Axis</v>
      </c>
    </row>
    <row r="372" spans="1:25" x14ac:dyDescent="0.25">
      <c r="A372">
        <v>235</v>
      </c>
      <c r="C372" t="s">
        <v>282</v>
      </c>
      <c r="D372"/>
      <c r="H372"/>
      <c r="Q372" s="42" t="str">
        <f>C372&amp;IF(ISBLANK(D372),"","=")&amp;D372</f>
        <v>;M4 Axis</v>
      </c>
      <c r="S372"/>
      <c r="T372" s="42" t="str">
        <f>C372&amp;IF(ISBLANK(S372),"","=")&amp;S372</f>
        <v>;M4 Axis</v>
      </c>
      <c r="U372"/>
      <c r="V372" s="42" t="str">
        <f>C372&amp;IF(ISBLANK(U372),"","=")&amp;U372</f>
        <v>;M4 Axis</v>
      </c>
    </row>
    <row r="373" spans="1:25" x14ac:dyDescent="0.25">
      <c r="A373">
        <v>267</v>
      </c>
      <c r="C373" t="s">
        <v>282</v>
      </c>
      <c r="D373"/>
      <c r="H373"/>
      <c r="Q373" s="42" t="str">
        <f>C373&amp;IF(ISBLANK(D373),"","=")&amp;D373</f>
        <v>;M4 Axis</v>
      </c>
      <c r="S373"/>
      <c r="T373" s="42" t="str">
        <f>C373&amp;IF(ISBLANK(S373),"","=")&amp;S373</f>
        <v>;M4 Axis</v>
      </c>
      <c r="U373"/>
      <c r="V373" s="42" t="str">
        <f>C373&amp;IF(ISBLANK(U373),"","=")&amp;U373</f>
        <v>;M4 Axis</v>
      </c>
    </row>
    <row r="374" spans="1:25" x14ac:dyDescent="0.25">
      <c r="A374">
        <v>336</v>
      </c>
      <c r="C374" t="s">
        <v>282</v>
      </c>
      <c r="D374"/>
      <c r="H374"/>
      <c r="Q374" s="42" t="str">
        <f>C374&amp;IF(ISBLANK(D374),"","=")&amp;D374</f>
        <v>;M4 Axis</v>
      </c>
      <c r="S374"/>
      <c r="T374" s="42" t="str">
        <f>C374&amp;IF(ISBLANK(S374),"","=")&amp;S374</f>
        <v>;M4 Axis</v>
      </c>
      <c r="U374"/>
      <c r="V374" s="42" t="str">
        <f>C374&amp;IF(ISBLANK(U374),"","=")&amp;U374</f>
        <v>;M4 Axis</v>
      </c>
    </row>
    <row r="375" spans="1:25" x14ac:dyDescent="0.25">
      <c r="A375">
        <v>97</v>
      </c>
      <c r="C375" s="39" t="s">
        <v>515</v>
      </c>
      <c r="K375"/>
      <c r="Q375" s="42" t="str">
        <f>C375&amp;IF(ISBLANK(D375),"","=")&amp;D375</f>
        <v>;M4=4</v>
      </c>
      <c r="T375" s="42" t="str">
        <f>C375&amp;IF(ISBLANK(S375),"","=")&amp;S375</f>
        <v>;M4=4</v>
      </c>
      <c r="V375" s="42" t="str">
        <f>C375&amp;IF(ISBLANK(U375),"","=")&amp;U375</f>
        <v>;M4=4</v>
      </c>
    </row>
    <row r="376" spans="1:25" x14ac:dyDescent="0.25">
      <c r="A376">
        <v>169</v>
      </c>
      <c r="C376" s="39" t="s">
        <v>515</v>
      </c>
      <c r="K376"/>
      <c r="Q376" s="42" t="str">
        <f>C376&amp;IF(ISBLANK(D376),"","=")&amp;D376</f>
        <v>;M4=4</v>
      </c>
      <c r="T376" s="42" t="str">
        <f>C376&amp;IF(ISBLANK(S376),"","=")&amp;S376</f>
        <v>;M4=4</v>
      </c>
      <c r="V376" s="42" t="str">
        <f>C376&amp;IF(ISBLANK(U376),"","=")&amp;U376</f>
        <v>;M4=4</v>
      </c>
    </row>
    <row r="377" spans="1:25" x14ac:dyDescent="0.25">
      <c r="A377">
        <v>5</v>
      </c>
      <c r="C377" t="s">
        <v>276</v>
      </c>
      <c r="D377"/>
      <c r="H377"/>
      <c r="Q377" s="42" t="str">
        <f>C377&amp;IF(ISBLANK(D377),"","=")&amp;D377</f>
        <v>;More</v>
      </c>
      <c r="S377"/>
      <c r="T377" s="42" t="str">
        <f>C377&amp;IF(ISBLANK(S377),"","=")&amp;S377</f>
        <v>;More</v>
      </c>
      <c r="U377"/>
      <c r="V377" s="42" t="str">
        <f>C377&amp;IF(ISBLANK(U377),"","=")&amp;U377</f>
        <v>;More</v>
      </c>
    </row>
    <row r="378" spans="1:25" x14ac:dyDescent="0.25">
      <c r="A378">
        <v>72</v>
      </c>
      <c r="C378" t="s">
        <v>509</v>
      </c>
      <c r="D378"/>
      <c r="H378"/>
      <c r="Q378" s="42" t="str">
        <f>C378&amp;IF(ISBLANK(D378),"","=")&amp;D378</f>
        <v>;Normally Closed=0, Normally Open=1</v>
      </c>
      <c r="S378"/>
      <c r="T378" s="42" t="str">
        <f>C378&amp;IF(ISBLANK(S378),"","=")&amp;S378</f>
        <v>;Normally Closed=0, Normally Open=1</v>
      </c>
      <c r="U378"/>
      <c r="V378" s="42" t="str">
        <f>C378&amp;IF(ISBLANK(U378),"","=")&amp;U378</f>
        <v>;Normally Closed=0, Normally Open=1</v>
      </c>
    </row>
    <row r="379" spans="1:25" x14ac:dyDescent="0.25">
      <c r="A379">
        <v>282</v>
      </c>
      <c r="C379" t="s">
        <v>304</v>
      </c>
      <c r="D379"/>
      <c r="H379"/>
      <c r="Q379" s="42" t="str">
        <f>C379&amp;IF(ISBLANK(D379),"","=")&amp;D379</f>
        <v>;Radial</v>
      </c>
      <c r="S379"/>
      <c r="T379" s="42" t="str">
        <f>C379&amp;IF(ISBLANK(S379),"","=")&amp;S379</f>
        <v>;Radial</v>
      </c>
      <c r="U379"/>
      <c r="V379" s="42" t="str">
        <f>C379&amp;IF(ISBLANK(U379),"","=")&amp;U379</f>
        <v>;Radial</v>
      </c>
    </row>
    <row r="380" spans="1:25" x14ac:dyDescent="0.25">
      <c r="A380">
        <v>77</v>
      </c>
      <c r="C380" t="s">
        <v>286</v>
      </c>
      <c r="D380"/>
      <c r="H380"/>
      <c r="Q380" s="42" t="str">
        <f>C380&amp;IF(ISBLANK(D380),"","=")&amp;D380</f>
        <v>;Return</v>
      </c>
      <c r="S380"/>
      <c r="T380" s="42" t="str">
        <f>C380&amp;IF(ISBLANK(S380),"","=")&amp;S380</f>
        <v>;Return</v>
      </c>
      <c r="U380"/>
      <c r="V380" s="42" t="str">
        <f>C380&amp;IF(ISBLANK(U380),"","=")&amp;U380</f>
        <v>;Return</v>
      </c>
    </row>
    <row r="381" spans="1:25" x14ac:dyDescent="0.25">
      <c r="A381">
        <v>304</v>
      </c>
      <c r="C381" s="39" t="s">
        <v>309</v>
      </c>
      <c r="K381"/>
      <c r="Q381" s="42" t="str">
        <f>C381&amp;IF(ISBLANK(D381),"","=")&amp;D381</f>
        <v>;Segments: 2  Actual: 3</v>
      </c>
      <c r="T381" s="42" t="str">
        <f>C381&amp;IF(ISBLANK(S381),"","=")&amp;S381</f>
        <v>;Segments: 2  Actual: 3</v>
      </c>
      <c r="V381" s="42" t="str">
        <f>C381&amp;IF(ISBLANK(U381),"","=")&amp;U381</f>
        <v>;Segments: 2  Actual: 3</v>
      </c>
    </row>
    <row r="382" spans="1:25" x14ac:dyDescent="0.25">
      <c r="A382">
        <v>101</v>
      </c>
      <c r="C382" s="39" t="s">
        <v>291</v>
      </c>
      <c r="K382"/>
      <c r="Q382" s="42" t="str">
        <f>C382&amp;IF(ISBLANK(D382),"","=")&amp;D382</f>
        <v>;Spindle</v>
      </c>
      <c r="T382" s="42" t="str">
        <f>C382&amp;IF(ISBLANK(S382),"","=")&amp;S382</f>
        <v>;Spindle</v>
      </c>
      <c r="V382" s="42" t="str">
        <f>C382&amp;IF(ISBLANK(U382),"","=")&amp;U382</f>
        <v>;Spindle</v>
      </c>
    </row>
    <row r="383" spans="1:25" x14ac:dyDescent="0.25">
      <c r="A383">
        <v>128</v>
      </c>
      <c r="C383" s="39" t="s">
        <v>291</v>
      </c>
      <c r="K383"/>
      <c r="Q383" s="42" t="str">
        <f>C383&amp;IF(ISBLANK(D383),"","=")&amp;D383</f>
        <v>;Spindle</v>
      </c>
      <c r="T383" s="42" t="str">
        <f>C383&amp;IF(ISBLANK(S383),"","=")&amp;S383</f>
        <v>;Spindle</v>
      </c>
      <c r="V383" s="42" t="str">
        <f>C383&amp;IF(ISBLANK(U383),"","=")&amp;U383</f>
        <v>;Spindle</v>
      </c>
    </row>
    <row r="384" spans="1:25" x14ac:dyDescent="0.25">
      <c r="A384">
        <v>251</v>
      </c>
      <c r="C384" s="39" t="s">
        <v>291</v>
      </c>
      <c r="K384"/>
      <c r="Q384" s="42" t="str">
        <f>C384&amp;IF(ISBLANK(D384),"","=")&amp;D384</f>
        <v>;Spindle</v>
      </c>
      <c r="T384" s="42" t="str">
        <f>C384&amp;IF(ISBLANK(S384),"","=")&amp;S384</f>
        <v>;Spindle</v>
      </c>
      <c r="V384" s="42" t="str">
        <f>C384&amp;IF(ISBLANK(U384),"","=")&amp;U384</f>
        <v>;Spindle</v>
      </c>
    </row>
    <row r="385" spans="1:25" x14ac:dyDescent="0.25">
      <c r="A385">
        <v>313</v>
      </c>
      <c r="C385" t="s">
        <v>291</v>
      </c>
      <c r="D385"/>
      <c r="H385"/>
      <c r="Q385" s="42" t="str">
        <f>C385&amp;IF(ISBLANK(D385),"","=")&amp;D385</f>
        <v>;Spindle</v>
      </c>
      <c r="S385"/>
      <c r="T385" s="42" t="str">
        <f>C385&amp;IF(ISBLANK(S385),"","=")&amp;S385</f>
        <v>;Spindle</v>
      </c>
      <c r="U385"/>
      <c r="V385" s="42" t="str">
        <f>C385&amp;IF(ISBLANK(U385),"","=")&amp;U385</f>
        <v>;Spindle</v>
      </c>
    </row>
    <row r="386" spans="1:25" x14ac:dyDescent="0.25">
      <c r="A386">
        <v>98</v>
      </c>
      <c r="C386" t="s">
        <v>511</v>
      </c>
      <c r="D386"/>
      <c r="H386"/>
      <c r="Q386" s="42" t="str">
        <f>C386&amp;IF(ISBLANK(D386),"","=")&amp;D386</f>
        <v>;Spindle=0</v>
      </c>
      <c r="S386"/>
      <c r="T386" s="42" t="str">
        <f>C386&amp;IF(ISBLANK(S386),"","=")&amp;S386</f>
        <v>;Spindle=0</v>
      </c>
      <c r="U386"/>
      <c r="V386" s="42" t="str">
        <f>C386&amp;IF(ISBLANK(U386),"","=")&amp;U386</f>
        <v>;Spindle=0</v>
      </c>
    </row>
    <row r="387" spans="1:25" x14ac:dyDescent="0.25">
      <c r="A387">
        <v>170</v>
      </c>
      <c r="C387" t="s">
        <v>511</v>
      </c>
      <c r="D387"/>
      <c r="H387"/>
      <c r="Q387" s="42" t="str">
        <f>C387&amp;IF(ISBLANK(D387),"","=")&amp;D387</f>
        <v>;Spindle=0</v>
      </c>
      <c r="S387"/>
      <c r="T387" s="42" t="str">
        <f>C387&amp;IF(ISBLANK(S387),"","=")&amp;S387</f>
        <v>;Spindle=0</v>
      </c>
      <c r="U387"/>
      <c r="V387" s="42" t="str">
        <f>C387&amp;IF(ISBLANK(U387),"","=")&amp;U387</f>
        <v>;Spindle=0</v>
      </c>
    </row>
    <row r="388" spans="1:25" x14ac:dyDescent="0.25">
      <c r="A388">
        <v>69</v>
      </c>
      <c r="C388" t="s">
        <v>284</v>
      </c>
      <c r="D388"/>
      <c r="H388"/>
      <c r="Q388" s="42" t="str">
        <f>C388&amp;IF(ISBLANK(D388),"","=")&amp;D388</f>
        <v>;Stop spindle when limit hit = 0.  Leave spindle running =1</v>
      </c>
      <c r="S388"/>
      <c r="T388" s="42" t="str">
        <f>C388&amp;IF(ISBLANK(S388),"","=")&amp;S388</f>
        <v>;Stop spindle when limit hit = 0.  Leave spindle running =1</v>
      </c>
      <c r="U388"/>
      <c r="V388" s="42" t="str">
        <f>C388&amp;IF(ISBLANK(U388),"","=")&amp;U388</f>
        <v>;Stop spindle when limit hit = 0.  Leave spindle running =1</v>
      </c>
    </row>
    <row r="389" spans="1:25" x14ac:dyDescent="0.25">
      <c r="A389">
        <v>210</v>
      </c>
      <c r="C389" t="s">
        <v>506</v>
      </c>
      <c r="D389"/>
      <c r="E389" s="4"/>
      <c r="F389" s="4"/>
      <c r="H389" s="4"/>
      <c r="I389" s="4"/>
      <c r="J389" s="4"/>
      <c r="Q389" s="42" t="str">
        <f>C389&amp;IF(ISBLANK(D389),"","=")&amp;D389</f>
        <v>;Synchronize M3 and Spindle</v>
      </c>
      <c r="S389"/>
      <c r="T389" s="42" t="str">
        <f>C389&amp;IF(ISBLANK(S389),"","=")&amp;S389</f>
        <v>;Synchronize M3 and Spindle</v>
      </c>
      <c r="U389"/>
      <c r="V389" s="42" t="str">
        <f>C389&amp;IF(ISBLANK(U389),"","=")&amp;U389</f>
        <v>;Synchronize M3 and Spindle</v>
      </c>
    </row>
    <row r="390" spans="1:25" x14ac:dyDescent="0.25">
      <c r="A390">
        <v>245</v>
      </c>
      <c r="C390" s="39" t="s">
        <v>506</v>
      </c>
      <c r="H390" s="47"/>
      <c r="J390" s="4"/>
      <c r="K390"/>
      <c r="Q390" s="42" t="str">
        <f>C390&amp;IF(ISBLANK(D390),"","=")&amp;D390</f>
        <v>;Synchronize M3 and Spindle</v>
      </c>
      <c r="T390" s="42" t="str">
        <f>C390&amp;IF(ISBLANK(S390),"","=")&amp;S390</f>
        <v>;Synchronize M3 and Spindle</v>
      </c>
      <c r="V390" s="42" t="str">
        <f>C390&amp;IF(ISBLANK(U390),"","=")&amp;U390</f>
        <v>;Synchronize M3 and Spindle</v>
      </c>
    </row>
    <row r="391" spans="1:25" x14ac:dyDescent="0.25">
      <c r="A391" s="30">
        <v>25</v>
      </c>
      <c r="B391" s="30"/>
      <c r="C391" s="48" t="s">
        <v>279</v>
      </c>
      <c r="D391" s="48"/>
      <c r="E391" s="30"/>
      <c r="F391" s="30"/>
      <c r="G391" s="30"/>
      <c r="H391" s="83"/>
      <c r="I391" s="30"/>
      <c r="J391" s="30"/>
      <c r="K391" s="30"/>
      <c r="L391" s="30"/>
      <c r="M391" s="78"/>
      <c r="N391" s="30"/>
      <c r="O391" s="30"/>
      <c r="P391" s="30"/>
      <c r="Q391" s="30" t="str">
        <f>C391&amp;IF(ISBLANK(D391),"","=")&amp;D391</f>
        <v>;X Axis</v>
      </c>
      <c r="R391" s="30"/>
      <c r="S391" s="48"/>
      <c r="T391" s="30" t="str">
        <f>C391&amp;IF(ISBLANK(S391),"","=")&amp;S391</f>
        <v>;X Axis</v>
      </c>
      <c r="U391" s="48"/>
      <c r="V391" s="42" t="str">
        <f>C391&amp;IF(ISBLANK(U391),"","=")&amp;U391</f>
        <v>;X Axis</v>
      </c>
      <c r="W391" s="30"/>
      <c r="X391" s="30"/>
      <c r="Y391" s="30"/>
    </row>
    <row r="392" spans="1:25" x14ac:dyDescent="0.25">
      <c r="A392">
        <v>109</v>
      </c>
      <c r="C392" t="s">
        <v>279</v>
      </c>
      <c r="D392"/>
      <c r="H392"/>
      <c r="Q392" s="42" t="str">
        <f>C392&amp;IF(ISBLANK(D392),"","=")&amp;D392</f>
        <v>;X Axis</v>
      </c>
      <c r="S392"/>
      <c r="T392" s="42" t="str">
        <f>C392&amp;IF(ISBLANK(S392),"","=")&amp;S392</f>
        <v>;X Axis</v>
      </c>
      <c r="U392"/>
      <c r="V392" s="42" t="str">
        <f>C392&amp;IF(ISBLANK(U392),"","=")&amp;U392</f>
        <v>;X Axis</v>
      </c>
    </row>
    <row r="393" spans="1:25" x14ac:dyDescent="0.25">
      <c r="A393">
        <v>142</v>
      </c>
      <c r="C393" t="s">
        <v>279</v>
      </c>
      <c r="D393"/>
      <c r="H393"/>
      <c r="Q393" s="42" t="str">
        <f>C393&amp;IF(ISBLANK(D393),"","=")&amp;D393</f>
        <v>;X Axis</v>
      </c>
      <c r="S393"/>
      <c r="T393" s="42" t="str">
        <f>C393&amp;IF(ISBLANK(S393),"","=")&amp;S393</f>
        <v>;X Axis</v>
      </c>
      <c r="U393"/>
      <c r="V393" s="42" t="str">
        <f>C393&amp;IF(ISBLANK(U393),"","=")&amp;U393</f>
        <v>;X Axis</v>
      </c>
    </row>
    <row r="394" spans="1:25" x14ac:dyDescent="0.25">
      <c r="A394">
        <v>223</v>
      </c>
      <c r="C394" t="s">
        <v>279</v>
      </c>
      <c r="D394"/>
      <c r="H394"/>
      <c r="Q394" s="42" t="str">
        <f>C394&amp;IF(ISBLANK(D394),"","=")&amp;D394</f>
        <v>;X Axis</v>
      </c>
      <c r="S394"/>
      <c r="T394" s="42" t="str">
        <f>C394&amp;IF(ISBLANK(S394),"","=")&amp;S394</f>
        <v>;X Axis</v>
      </c>
      <c r="U394"/>
      <c r="V394" s="42" t="str">
        <f>C394&amp;IF(ISBLANK(U394),"","=")&amp;U394</f>
        <v>;X Axis</v>
      </c>
    </row>
    <row r="395" spans="1:25" x14ac:dyDescent="0.25">
      <c r="A395">
        <v>259</v>
      </c>
      <c r="C395" t="s">
        <v>279</v>
      </c>
      <c r="D395"/>
      <c r="H395"/>
      <c r="Q395" s="42" t="str">
        <f>C395&amp;IF(ISBLANK(D395),"","=")&amp;D395</f>
        <v>;X Axis</v>
      </c>
      <c r="S395"/>
      <c r="T395" s="42" t="str">
        <f>C395&amp;IF(ISBLANK(S395),"","=")&amp;S395</f>
        <v>;X Axis</v>
      </c>
      <c r="U395"/>
      <c r="V395" s="42" t="str">
        <f>C395&amp;IF(ISBLANK(U395),"","=")&amp;U395</f>
        <v>;X Axis</v>
      </c>
    </row>
    <row r="396" spans="1:25" s="27" customFormat="1" x14ac:dyDescent="0.25">
      <c r="A396">
        <v>324</v>
      </c>
      <c r="B396"/>
      <c r="C396" s="39" t="s">
        <v>279</v>
      </c>
      <c r="D396" s="39"/>
      <c r="E396"/>
      <c r="F396"/>
      <c r="G396"/>
      <c r="H396" s="38"/>
      <c r="I396"/>
      <c r="J396"/>
      <c r="K396"/>
      <c r="L396"/>
      <c r="M396" s="45"/>
      <c r="N396" s="54"/>
      <c r="O396" s="54"/>
      <c r="P396" s="54"/>
      <c r="Q396" s="42" t="str">
        <f>C396&amp;IF(ISBLANK(D396),"","=")&amp;D396</f>
        <v>;X Axis</v>
      </c>
      <c r="R396"/>
      <c r="S396" s="39"/>
      <c r="T396" s="42" t="str">
        <f>C396&amp;IF(ISBLANK(S396),"","=")&amp;S396</f>
        <v>;X Axis</v>
      </c>
      <c r="U396" s="39"/>
      <c r="V396" s="42" t="str">
        <f>C396&amp;IF(ISBLANK(U396),"","=")&amp;U396</f>
        <v>;X Axis</v>
      </c>
      <c r="W396"/>
      <c r="X396"/>
      <c r="Y396"/>
    </row>
    <row r="397" spans="1:25" s="27" customFormat="1" x14ac:dyDescent="0.25">
      <c r="A397">
        <v>95</v>
      </c>
      <c r="B397"/>
      <c r="C397" s="39" t="s">
        <v>513</v>
      </c>
      <c r="D397" s="39"/>
      <c r="E397"/>
      <c r="F397"/>
      <c r="G397"/>
      <c r="H397" s="38"/>
      <c r="I397"/>
      <c r="J397"/>
      <c r="K397"/>
      <c r="L397"/>
      <c r="M397" s="45"/>
      <c r="N397" s="54"/>
      <c r="O397" s="54"/>
      <c r="P397" s="54"/>
      <c r="Q397" s="42" t="str">
        <f>C397&amp;IF(ISBLANK(D397),"","=")&amp;D397</f>
        <v>;X=2</v>
      </c>
      <c r="R397"/>
      <c r="S397" s="39"/>
      <c r="T397" s="42" t="str">
        <f>C397&amp;IF(ISBLANK(S397),"","=")&amp;S397</f>
        <v>;X=2</v>
      </c>
      <c r="U397" s="39"/>
      <c r="V397" s="42" t="str">
        <f>C397&amp;IF(ISBLANK(U397),"","=")&amp;U397</f>
        <v>;X=2</v>
      </c>
      <c r="W397"/>
      <c r="X397"/>
      <c r="Y397"/>
    </row>
    <row r="398" spans="1:25" s="27" customFormat="1" x14ac:dyDescent="0.25">
      <c r="A398" s="30">
        <v>18</v>
      </c>
      <c r="B398" s="30"/>
      <c r="C398" s="48" t="s">
        <v>278</v>
      </c>
      <c r="D398" s="48"/>
      <c r="E398" s="30"/>
      <c r="F398" s="30"/>
      <c r="G398" s="30"/>
      <c r="H398" s="83"/>
      <c r="I398" s="30"/>
      <c r="J398" s="30"/>
      <c r="K398" s="30"/>
      <c r="L398" s="30"/>
      <c r="M398" s="78"/>
      <c r="N398" s="30"/>
      <c r="O398" s="30"/>
      <c r="P398" s="30"/>
      <c r="Q398" s="30" t="str">
        <f>C398&amp;IF(ISBLANK(D398),"","=")&amp;D398</f>
        <v>;Z Axis</v>
      </c>
      <c r="R398" s="30"/>
      <c r="S398" s="48"/>
      <c r="T398" s="30" t="str">
        <f>C398&amp;IF(ISBLANK(S398),"","=")&amp;S398</f>
        <v>;Z Axis</v>
      </c>
      <c r="U398" s="48"/>
      <c r="V398" s="42" t="str">
        <f>C398&amp;IF(ISBLANK(U398),"","=")&amp;U398</f>
        <v>;Z Axis</v>
      </c>
      <c r="W398" s="30"/>
      <c r="X398" s="30"/>
      <c r="Y398" s="30"/>
    </row>
    <row r="399" spans="1:25" x14ac:dyDescent="0.25">
      <c r="A399">
        <v>105</v>
      </c>
      <c r="C399" s="39" t="s">
        <v>278</v>
      </c>
      <c r="H399"/>
      <c r="Q399" s="42" t="str">
        <f>C399&amp;IF(ISBLANK(D399),"","=")&amp;D399</f>
        <v>;Z Axis</v>
      </c>
      <c r="T399" s="42" t="str">
        <f>C399&amp;IF(ISBLANK(S399),"","=")&amp;S399</f>
        <v>;Z Axis</v>
      </c>
      <c r="V399" s="42" t="str">
        <f>C399&amp;IF(ISBLANK(U399),"","=")&amp;U399</f>
        <v>;Z Axis</v>
      </c>
    </row>
    <row r="400" spans="1:25" x14ac:dyDescent="0.25">
      <c r="A400">
        <v>135</v>
      </c>
      <c r="C400" s="39" t="s">
        <v>278</v>
      </c>
      <c r="Q400" s="42" t="str">
        <f>C400&amp;IF(ISBLANK(D400),"","=")&amp;D400</f>
        <v>;Z Axis</v>
      </c>
      <c r="T400" s="42" t="str">
        <f>C400&amp;IF(ISBLANK(S400),"","=")&amp;S400</f>
        <v>;Z Axis</v>
      </c>
      <c r="V400" s="42" t="str">
        <f>C400&amp;IF(ISBLANK(U400),"","=")&amp;U400</f>
        <v>;Z Axis</v>
      </c>
    </row>
    <row r="401" spans="1:25" x14ac:dyDescent="0.25">
      <c r="A401">
        <v>217</v>
      </c>
      <c r="C401" s="39" t="s">
        <v>278</v>
      </c>
      <c r="Q401" s="42" t="str">
        <f>C401&amp;IF(ISBLANK(D401),"","=")&amp;D401</f>
        <v>;Z Axis</v>
      </c>
      <c r="T401" s="42" t="str">
        <f>C401&amp;IF(ISBLANK(S401),"","=")&amp;S401</f>
        <v>;Z Axis</v>
      </c>
      <c r="V401" s="42" t="str">
        <f>C401&amp;IF(ISBLANK(U401),"","=")&amp;U401</f>
        <v>;Z Axis</v>
      </c>
    </row>
    <row r="402" spans="1:25" x14ac:dyDescent="0.25">
      <c r="A402">
        <v>255</v>
      </c>
      <c r="C402" s="39" t="s">
        <v>278</v>
      </c>
      <c r="K402"/>
      <c r="Q402" s="42" t="str">
        <f>C402&amp;IF(ISBLANK(D402),"","=")&amp;D402</f>
        <v>;Z Axis</v>
      </c>
      <c r="T402" s="42" t="str">
        <f>C402&amp;IF(ISBLANK(S402),"","=")&amp;S402</f>
        <v>;Z Axis</v>
      </c>
      <c r="V402" s="42" t="str">
        <f>C402&amp;IF(ISBLANK(U402),"","=")&amp;U402</f>
        <v>;Z Axis</v>
      </c>
    </row>
    <row r="403" spans="1:25" x14ac:dyDescent="0.25">
      <c r="A403">
        <v>318</v>
      </c>
      <c r="C403" s="39" t="s">
        <v>278</v>
      </c>
      <c r="K403"/>
      <c r="Q403" s="42" t="str">
        <f>C403&amp;IF(ISBLANK(D403),"","=")&amp;D403</f>
        <v>;Z Axis</v>
      </c>
      <c r="T403" s="42" t="str">
        <f>C403&amp;IF(ISBLANK(S403),"","=")&amp;S403</f>
        <v>;Z Axis</v>
      </c>
      <c r="V403" s="42" t="str">
        <f>C403&amp;IF(ISBLANK(U403),"","=")&amp;U403</f>
        <v>;Z Axis</v>
      </c>
    </row>
    <row r="404" spans="1:25" x14ac:dyDescent="0.25">
      <c r="A404">
        <v>94</v>
      </c>
      <c r="C404" s="39" t="s">
        <v>512</v>
      </c>
      <c r="K404"/>
      <c r="Q404" s="42" t="str">
        <f>C404&amp;IF(ISBLANK(D404),"","=")&amp;D404</f>
        <v>;Z=1</v>
      </c>
      <c r="T404" s="42" t="str">
        <f>C404&amp;IF(ISBLANK(S404),"","=")&amp;S404</f>
        <v>;Z=1</v>
      </c>
      <c r="V404" s="42" t="str">
        <f>C404&amp;IF(ISBLANK(U404),"","=")&amp;U404</f>
        <v>;Z=1</v>
      </c>
    </row>
    <row r="405" spans="1:25" x14ac:dyDescent="0.25">
      <c r="A405">
        <v>291</v>
      </c>
      <c r="B405" s="84"/>
      <c r="C405" s="85" t="s">
        <v>306</v>
      </c>
      <c r="D405" s="85"/>
      <c r="E405" s="84"/>
      <c r="F405" s="84"/>
      <c r="G405" s="84"/>
      <c r="H405" s="86"/>
      <c r="I405" s="84"/>
      <c r="J405" s="84"/>
      <c r="K405" s="84"/>
      <c r="L405" s="84"/>
      <c r="M405" s="87"/>
      <c r="N405" s="84"/>
      <c r="O405" s="84"/>
      <c r="P405" s="84"/>
      <c r="Q405" s="84" t="str">
        <f>C405&amp;IF(ISBLANK(D405),"","=")&amp;D405</f>
        <v>[GreekKey]</v>
      </c>
      <c r="R405" s="84"/>
      <c r="S405" s="85"/>
      <c r="T405" s="84" t="str">
        <f>C405&amp;IF(ISBLANK(S405),"","=")&amp;S405</f>
        <v>[GreekKey]</v>
      </c>
      <c r="U405" s="85"/>
      <c r="V405" s="42" t="str">
        <f>C405&amp;IF(ISBLANK(U405),"","=")&amp;U405</f>
        <v>[GreekKey]</v>
      </c>
      <c r="W405" s="84"/>
      <c r="X405" s="84"/>
      <c r="Y405" s="84"/>
    </row>
    <row r="406" spans="1:25" x14ac:dyDescent="0.25">
      <c r="A406">
        <v>164</v>
      </c>
      <c r="B406" s="84"/>
      <c r="C406" s="85" t="s">
        <v>292</v>
      </c>
      <c r="D406" s="85"/>
      <c r="E406" s="84"/>
      <c r="F406" s="84"/>
      <c r="G406" s="84"/>
      <c r="H406" s="86"/>
      <c r="I406" s="84"/>
      <c r="J406" s="84"/>
      <c r="K406" s="84"/>
      <c r="L406" s="84"/>
      <c r="M406" s="87"/>
      <c r="N406" s="84"/>
      <c r="O406" s="84"/>
      <c r="P406" s="84"/>
      <c r="Q406" s="84" t="str">
        <f>C406&amp;IF(ISBLANK(D406),"","=")&amp;D406</f>
        <v>[Index]</v>
      </c>
      <c r="R406" s="84"/>
      <c r="S406" s="85"/>
      <c r="T406" s="84" t="str">
        <f>C406&amp;IF(ISBLANK(S406),"","=")&amp;S406</f>
        <v>[Index]</v>
      </c>
      <c r="U406" s="85"/>
      <c r="V406" s="42" t="str">
        <f>C406&amp;IF(ISBLANK(U406),"","=")&amp;U406</f>
        <v>[Index]</v>
      </c>
      <c r="W406" s="84"/>
      <c r="X406" s="84"/>
      <c r="Y406" s="84"/>
    </row>
    <row r="407" spans="1:25" x14ac:dyDescent="0.25">
      <c r="A407" s="84">
        <v>57</v>
      </c>
      <c r="B407" s="84"/>
      <c r="C407" s="85" t="s">
        <v>283</v>
      </c>
      <c r="D407" s="85"/>
      <c r="E407" s="84"/>
      <c r="F407" s="84"/>
      <c r="G407" s="84"/>
      <c r="H407" s="86"/>
      <c r="I407" s="84"/>
      <c r="J407" s="84"/>
      <c r="K407" s="85"/>
      <c r="L407" s="84"/>
      <c r="M407" s="87"/>
      <c r="N407" s="84"/>
      <c r="O407" s="84"/>
      <c r="P407" s="84"/>
      <c r="Q407" s="84" t="str">
        <f>C407&amp;IF(ISBLANK(D407),"","=")&amp;D407</f>
        <v>[Limits]</v>
      </c>
      <c r="R407" s="84"/>
      <c r="S407" s="85"/>
      <c r="T407" s="84" t="str">
        <f>C407&amp;IF(ISBLANK(S407),"","=")&amp;S407</f>
        <v>[Limits]</v>
      </c>
      <c r="U407" s="85"/>
      <c r="V407" s="42" t="str">
        <f>C407&amp;IF(ISBLANK(U407),"","=")&amp;U407</f>
        <v>[Limits]</v>
      </c>
      <c r="W407" s="84"/>
      <c r="X407" s="84"/>
      <c r="Y407" s="84"/>
    </row>
    <row r="408" spans="1:25" x14ac:dyDescent="0.25">
      <c r="A408" s="84">
        <v>90</v>
      </c>
      <c r="B408" s="84"/>
      <c r="C408" s="85" t="s">
        <v>288</v>
      </c>
      <c r="D408" s="85"/>
      <c r="E408" s="84"/>
      <c r="F408" s="84"/>
      <c r="G408" s="84"/>
      <c r="H408" s="86"/>
      <c r="I408" s="84"/>
      <c r="J408" s="84"/>
      <c r="K408" s="85"/>
      <c r="L408" s="84"/>
      <c r="M408" s="87"/>
      <c r="N408" s="84"/>
      <c r="O408" s="84"/>
      <c r="P408" s="84"/>
      <c r="Q408" s="84" t="str">
        <f>C408&amp;IF(ISBLANK(D408),"","=")&amp;D408</f>
        <v>[Main]</v>
      </c>
      <c r="R408" s="84"/>
      <c r="S408" s="85"/>
      <c r="T408" s="84" t="str">
        <f>C408&amp;IF(ISBLANK(S408),"","=")&amp;S408</f>
        <v>[Main]</v>
      </c>
      <c r="U408" s="85"/>
      <c r="V408" s="42" t="str">
        <f>C408&amp;IF(ISBLANK(U408),"","=")&amp;U408</f>
        <v>[Main]</v>
      </c>
      <c r="W408" s="84"/>
      <c r="X408" s="84"/>
      <c r="Y408" s="84"/>
    </row>
    <row r="409" spans="1:25" x14ac:dyDescent="0.25">
      <c r="A409">
        <v>214</v>
      </c>
      <c r="B409" s="84"/>
      <c r="C409" s="85" t="s">
        <v>301</v>
      </c>
      <c r="D409" s="85"/>
      <c r="E409" s="84"/>
      <c r="F409" s="84"/>
      <c r="G409" s="84"/>
      <c r="H409" s="86"/>
      <c r="I409" s="84"/>
      <c r="J409" s="84"/>
      <c r="K409" s="85"/>
      <c r="L409" s="84"/>
      <c r="M409" s="87"/>
      <c r="N409" s="84"/>
      <c r="O409" s="84"/>
      <c r="P409" s="84"/>
      <c r="Q409" s="84" t="str">
        <f>C409&amp;IF(ISBLANK(D409),"","=")&amp;D409</f>
        <v>[Move]</v>
      </c>
      <c r="R409" s="84"/>
      <c r="S409" s="85"/>
      <c r="T409" s="84" t="str">
        <f>C409&amp;IF(ISBLANK(S409),"","=")&amp;S409</f>
        <v>[Move]</v>
      </c>
      <c r="U409" s="85"/>
      <c r="V409" s="42" t="str">
        <f>C409&amp;IF(ISBLANK(U409),"","=")&amp;U409</f>
        <v>[Move]</v>
      </c>
      <c r="W409" s="84"/>
      <c r="X409" s="84"/>
      <c r="Y409" s="84"/>
    </row>
    <row r="410" spans="1:25" x14ac:dyDescent="0.25">
      <c r="A410" s="84">
        <v>122</v>
      </c>
      <c r="B410" s="84"/>
      <c r="C410" s="85" t="s">
        <v>565</v>
      </c>
      <c r="D410" s="85"/>
      <c r="E410" s="84"/>
      <c r="F410" s="84"/>
      <c r="G410" s="84"/>
      <c r="H410" s="86"/>
      <c r="I410" s="84"/>
      <c r="J410" s="84"/>
      <c r="K410" s="85"/>
      <c r="L410" s="84"/>
      <c r="M410" s="87"/>
      <c r="N410" s="84"/>
      <c r="O410" s="84"/>
      <c r="P410" s="84"/>
      <c r="Q410" s="84" t="str">
        <f>C410&amp;IF(ISBLANK(D410),"","=")&amp;D410</f>
        <v>[One_Multi]</v>
      </c>
      <c r="R410" s="84"/>
      <c r="S410" s="85"/>
      <c r="T410" s="84" t="str">
        <f>C410&amp;IF(ISBLANK(S410),"","=")&amp;S410</f>
        <v>[One_Multi]</v>
      </c>
      <c r="U410" s="85"/>
      <c r="V410" s="42" t="str">
        <f>C410&amp;IF(ISBLANK(U410),"","=")&amp;U410</f>
        <v>[One_Multi]</v>
      </c>
      <c r="W410" s="84"/>
      <c r="X410" s="84"/>
      <c r="Y410" s="84"/>
    </row>
    <row r="411" spans="1:25" x14ac:dyDescent="0.25">
      <c r="A411" s="84">
        <v>3</v>
      </c>
      <c r="B411" s="84"/>
      <c r="C411" s="85" t="s">
        <v>275</v>
      </c>
      <c r="D411" s="85"/>
      <c r="E411" s="84"/>
      <c r="F411" s="84"/>
      <c r="G411" s="84"/>
      <c r="H411" s="86"/>
      <c r="I411" s="84"/>
      <c r="J411" s="84"/>
      <c r="K411" s="85"/>
      <c r="L411" s="84"/>
      <c r="M411" s="87"/>
      <c r="N411" s="84">
        <f>SUM(L:L)</f>
        <v>116</v>
      </c>
      <c r="O411" s="84">
        <f>SUM(M:M)</f>
        <v>908</v>
      </c>
      <c r="P411" s="84"/>
      <c r="Q411" s="84" t="str">
        <f>C411&amp;IF(ISBLANK(D411),"","=")&amp;D411</f>
        <v>[Preferences]</v>
      </c>
      <c r="R411" s="84"/>
      <c r="S411" s="85"/>
      <c r="T411" s="84" t="str">
        <f>C411&amp;IF(ISBLANK(S411),"","=")&amp;S411</f>
        <v>[Preferences]</v>
      </c>
      <c r="U411" s="85"/>
      <c r="V411" s="42" t="str">
        <f>C411&amp;IF(ISBLANK(U411),"","=")&amp;U411</f>
        <v>[Preferences]</v>
      </c>
      <c r="W411" s="84"/>
      <c r="X411" s="84"/>
      <c r="Y411" s="84"/>
    </row>
    <row r="412" spans="1:25" x14ac:dyDescent="0.25">
      <c r="A412">
        <v>299</v>
      </c>
      <c r="B412" s="84"/>
      <c r="C412" s="85" t="s">
        <v>308</v>
      </c>
      <c r="D412" s="85"/>
      <c r="E412" s="84"/>
      <c r="F412" s="84"/>
      <c r="G412" s="84"/>
      <c r="H412" s="86"/>
      <c r="I412" s="84"/>
      <c r="J412" s="84"/>
      <c r="K412" s="85"/>
      <c r="L412" s="84"/>
      <c r="M412" s="87"/>
      <c r="N412" s="84"/>
      <c r="O412" s="84"/>
      <c r="P412" s="84"/>
      <c r="Q412" s="84" t="str">
        <f>C412&amp;IF(ISBLANK(D412),"","=")&amp;D412</f>
        <v>[Program]</v>
      </c>
      <c r="R412" s="84"/>
      <c r="S412" s="85"/>
      <c r="T412" s="84" t="str">
        <f>C412&amp;IF(ISBLANK(S412),"","=")&amp;S412</f>
        <v>[Program]</v>
      </c>
      <c r="U412" s="85"/>
      <c r="V412" s="42" t="str">
        <f>C412&amp;IF(ISBLANK(U412),"","=")&amp;U412</f>
        <v>[Program]</v>
      </c>
      <c r="W412" s="84"/>
      <c r="X412" s="84"/>
      <c r="Y412" s="84"/>
    </row>
    <row r="413" spans="1:25" x14ac:dyDescent="0.25">
      <c r="A413">
        <v>278</v>
      </c>
      <c r="B413" s="84"/>
      <c r="C413" s="85" t="s">
        <v>303</v>
      </c>
      <c r="D413" s="85"/>
      <c r="E413" s="84"/>
      <c r="F413" s="84"/>
      <c r="G413" s="84"/>
      <c r="H413" s="86"/>
      <c r="I413" s="84"/>
      <c r="J413" s="84"/>
      <c r="K413" s="85"/>
      <c r="L413" s="84"/>
      <c r="M413" s="87"/>
      <c r="N413" s="84"/>
      <c r="O413" s="84"/>
      <c r="P413" s="84"/>
      <c r="Q413" s="84" t="str">
        <f>C413&amp;IF(ISBLANK(D413),"","=")&amp;D413</f>
        <v>[Recip]</v>
      </c>
      <c r="R413" s="84"/>
      <c r="S413" s="85"/>
      <c r="T413" s="84" t="str">
        <f>C413&amp;IF(ISBLANK(S413),"","=")&amp;S413</f>
        <v>[Recip]</v>
      </c>
      <c r="U413" s="85"/>
      <c r="V413" s="42" t="str">
        <f>C413&amp;IF(ISBLANK(U413),"","=")&amp;U413</f>
        <v>[Recip]</v>
      </c>
      <c r="W413" s="84"/>
      <c r="X413" s="84"/>
      <c r="Y413" s="84"/>
    </row>
    <row r="414" spans="1:25" x14ac:dyDescent="0.25">
      <c r="A414" s="84">
        <v>75</v>
      </c>
      <c r="B414" s="84"/>
      <c r="C414" s="85" t="s">
        <v>285</v>
      </c>
      <c r="D414" s="85"/>
      <c r="E414" s="84"/>
      <c r="F414" s="84"/>
      <c r="G414" s="84"/>
      <c r="H414" s="86"/>
      <c r="I414" s="84"/>
      <c r="J414" s="84"/>
      <c r="K414" s="85"/>
      <c r="L414" s="84"/>
      <c r="M414" s="87"/>
      <c r="N414" s="84"/>
      <c r="O414" s="84"/>
      <c r="P414" s="84"/>
      <c r="Q414" s="84" t="str">
        <f>C414&amp;IF(ISBLANK(D414),"","=")&amp;D414</f>
        <v>[Returns]</v>
      </c>
      <c r="R414" s="84"/>
      <c r="S414" s="85"/>
      <c r="T414" s="84" t="str">
        <f>C414&amp;IF(ISBLANK(S414),"","=")&amp;S414</f>
        <v>[Returns]</v>
      </c>
      <c r="U414" s="85"/>
      <c r="V414" s="42" t="str">
        <f>C414&amp;IF(ISBLANK(U414),"","=")&amp;U414</f>
        <v>[Returns]</v>
      </c>
      <c r="W414" s="84"/>
      <c r="X414" s="84"/>
      <c r="Y414" s="84"/>
    </row>
    <row r="415" spans="1:25" x14ac:dyDescent="0.25">
      <c r="A415">
        <v>307</v>
      </c>
      <c r="B415" s="84"/>
      <c r="C415" s="85" t="s">
        <v>310</v>
      </c>
      <c r="D415" s="85"/>
      <c r="E415" s="84"/>
      <c r="F415" s="84"/>
      <c r="G415" s="84"/>
      <c r="H415" s="86"/>
      <c r="I415" s="84"/>
      <c r="J415" s="84"/>
      <c r="K415" s="85"/>
      <c r="L415" s="84"/>
      <c r="M415" s="87"/>
      <c r="N415" s="84"/>
      <c r="O415" s="84"/>
      <c r="P415" s="84"/>
      <c r="Q415" s="84" t="str">
        <f>C415&amp;IF(ISBLANK(D415),"","=")&amp;D415</f>
        <v>[Rose]</v>
      </c>
      <c r="R415" s="84"/>
      <c r="S415" s="85"/>
      <c r="T415" s="84" t="str">
        <f>C415&amp;IF(ISBLANK(S415),"","=")&amp;S415</f>
        <v>[Rose]</v>
      </c>
      <c r="U415" s="85"/>
      <c r="V415" s="42" t="str">
        <f>C415&amp;IF(ISBLANK(U415),"","=")&amp;U415</f>
        <v>[Rose]</v>
      </c>
      <c r="W415" s="84"/>
      <c r="X415" s="84"/>
      <c r="Y415" s="84"/>
    </row>
    <row r="416" spans="1:25" x14ac:dyDescent="0.25">
      <c r="A416">
        <v>242</v>
      </c>
      <c r="B416" s="84"/>
      <c r="C416" s="85" t="s">
        <v>441</v>
      </c>
      <c r="D416" s="85"/>
      <c r="E416" s="84"/>
      <c r="F416" s="84"/>
      <c r="G416" s="84"/>
      <c r="H416" s="86"/>
      <c r="I416" s="84"/>
      <c r="J416" s="84"/>
      <c r="K416" s="85"/>
      <c r="L416" s="84"/>
      <c r="M416" s="87"/>
      <c r="N416" s="84"/>
      <c r="O416" s="84"/>
      <c r="P416" s="84"/>
      <c r="Q416" s="84" t="str">
        <f>C416&amp;IF(ISBLANK(D416),"","=")&amp;D416</f>
        <v>[Shared]</v>
      </c>
      <c r="R416" s="84"/>
      <c r="S416" s="85"/>
      <c r="T416" s="84" t="str">
        <f>C416&amp;IF(ISBLANK(S416),"","=")&amp;S416</f>
        <v>[Shared]</v>
      </c>
      <c r="U416" s="85"/>
      <c r="V416" s="42" t="str">
        <f>C416&amp;IF(ISBLANK(U416),"","=")&amp;U416</f>
        <v>[Shared]</v>
      </c>
      <c r="W416" s="84"/>
      <c r="X416" s="84"/>
      <c r="Y416" s="84"/>
    </row>
    <row r="417" spans="1:25" x14ac:dyDescent="0.25">
      <c r="A417">
        <v>272</v>
      </c>
      <c r="B417" s="84"/>
      <c r="C417" s="85" t="s">
        <v>302</v>
      </c>
      <c r="D417" s="85"/>
      <c r="E417" s="84"/>
      <c r="F417" s="84"/>
      <c r="G417" s="84"/>
      <c r="H417" s="86"/>
      <c r="I417" s="84"/>
      <c r="J417" s="84"/>
      <c r="K417" s="85"/>
      <c r="L417" s="84"/>
      <c r="M417" s="87"/>
      <c r="N417" s="84"/>
      <c r="O417" s="84"/>
      <c r="P417" s="84"/>
      <c r="Q417" s="84" t="str">
        <f>C417&amp;IF(ISBLANK(D417),"","=")&amp;D417</f>
        <v>[Sync]</v>
      </c>
      <c r="R417" s="84"/>
      <c r="S417" s="85"/>
      <c r="T417" s="84" t="str">
        <f>C417&amp;IF(ISBLANK(S417),"","=")&amp;S417</f>
        <v>[Sync]</v>
      </c>
      <c r="U417" s="85"/>
      <c r="V417" s="42" t="str">
        <f>C417&amp;IF(ISBLANK(U417),"","=")&amp;U417</f>
        <v>[Sync]</v>
      </c>
      <c r="W417" s="84"/>
      <c r="X417" s="84"/>
      <c r="Y417" s="84"/>
    </row>
    <row r="418" spans="1:25" x14ac:dyDescent="0.25">
      <c r="A418">
        <v>417</v>
      </c>
      <c r="H418" s="56" t="str">
        <f>DEC2HEX(I418)</f>
        <v>21</v>
      </c>
      <c r="I418" s="55">
        <v>33</v>
      </c>
      <c r="J418" s="55" t="str">
        <f>CHAR(I418)</f>
        <v>!</v>
      </c>
      <c r="K418" s="79" t="s">
        <v>38</v>
      </c>
    </row>
    <row r="419" spans="1:25" x14ac:dyDescent="0.25">
      <c r="A419">
        <v>418</v>
      </c>
      <c r="H419" s="56" t="str">
        <f>DEC2HEX(I419)</f>
        <v>22</v>
      </c>
      <c r="I419" s="55">
        <v>34</v>
      </c>
      <c r="J419" s="55" t="str">
        <f>CHAR(I419)</f>
        <v>"</v>
      </c>
      <c r="K419" s="79" t="s">
        <v>38</v>
      </c>
    </row>
    <row r="420" spans="1:25" x14ac:dyDescent="0.25">
      <c r="A420">
        <v>419</v>
      </c>
      <c r="H420" s="56" t="str">
        <f>DEC2HEX(I420)</f>
        <v>23</v>
      </c>
      <c r="I420" s="55">
        <v>35</v>
      </c>
      <c r="J420" s="55" t="str">
        <f>CHAR(I420)</f>
        <v>#</v>
      </c>
      <c r="K420" s="79" t="s">
        <v>38</v>
      </c>
    </row>
    <row r="421" spans="1:25" x14ac:dyDescent="0.25">
      <c r="A421">
        <v>420</v>
      </c>
      <c r="H421" s="56" t="str">
        <f>DEC2HEX(I421)</f>
        <v>24</v>
      </c>
      <c r="I421" s="55">
        <v>36</v>
      </c>
      <c r="J421" s="55" t="str">
        <f>CHAR(I421)</f>
        <v>$</v>
      </c>
      <c r="K421" s="79" t="s">
        <v>38</v>
      </c>
    </row>
    <row r="422" spans="1:25" x14ac:dyDescent="0.25">
      <c r="A422">
        <v>421</v>
      </c>
      <c r="H422" s="56" t="str">
        <f>DEC2HEX(I422)</f>
        <v>25</v>
      </c>
      <c r="I422" s="55">
        <v>37</v>
      </c>
      <c r="J422" s="55" t="str">
        <f>CHAR(I422)</f>
        <v>%</v>
      </c>
      <c r="K422" s="79" t="s">
        <v>38</v>
      </c>
    </row>
    <row r="423" spans="1:25" x14ac:dyDescent="0.25">
      <c r="A423">
        <v>422</v>
      </c>
      <c r="H423" s="56" t="str">
        <f>DEC2HEX(I423)</f>
        <v>26</v>
      </c>
      <c r="I423" s="55">
        <v>38</v>
      </c>
      <c r="J423" s="55" t="str">
        <f>CHAR(I423)</f>
        <v>&amp;</v>
      </c>
      <c r="K423" s="79" t="s">
        <v>38</v>
      </c>
    </row>
    <row r="424" spans="1:25" x14ac:dyDescent="0.25">
      <c r="A424">
        <v>423</v>
      </c>
      <c r="H424" s="56" t="str">
        <f>DEC2HEX(I424)</f>
        <v>27</v>
      </c>
      <c r="I424" s="55">
        <v>39</v>
      </c>
      <c r="J424" s="55" t="str">
        <f>CHAR(I424)</f>
        <v>'</v>
      </c>
      <c r="K424" s="79" t="s">
        <v>38</v>
      </c>
    </row>
    <row r="425" spans="1:25" x14ac:dyDescent="0.25">
      <c r="A425">
        <v>424</v>
      </c>
      <c r="H425" s="56" t="str">
        <f>DEC2HEX(I425)</f>
        <v>28</v>
      </c>
      <c r="I425" s="55">
        <v>40</v>
      </c>
      <c r="J425" s="55" t="str">
        <f>CHAR(I425)</f>
        <v>(</v>
      </c>
      <c r="K425" s="57" t="s">
        <v>38</v>
      </c>
    </row>
    <row r="426" spans="1:25" x14ac:dyDescent="0.25">
      <c r="A426">
        <v>425</v>
      </c>
      <c r="H426" s="56" t="str">
        <f>DEC2HEX(I426)</f>
        <v>29</v>
      </c>
      <c r="I426" s="55">
        <v>41</v>
      </c>
      <c r="J426" s="55" t="str">
        <f>CHAR(I426)</f>
        <v>)</v>
      </c>
      <c r="K426" s="57" t="s">
        <v>38</v>
      </c>
    </row>
    <row r="427" spans="1:25" x14ac:dyDescent="0.25">
      <c r="A427">
        <v>426</v>
      </c>
      <c r="H427" s="56" t="str">
        <f>DEC2HEX(I427)</f>
        <v>2A</v>
      </c>
      <c r="I427" s="55">
        <v>42</v>
      </c>
      <c r="J427" s="55" t="str">
        <f>CHAR(I427)</f>
        <v>*</v>
      </c>
      <c r="K427" s="57" t="s">
        <v>38</v>
      </c>
    </row>
    <row r="428" spans="1:25" x14ac:dyDescent="0.25">
      <c r="A428">
        <v>427</v>
      </c>
      <c r="H428" s="56" t="str">
        <f>DEC2HEX(I428)</f>
        <v>2B</v>
      </c>
      <c r="I428" s="55">
        <v>43</v>
      </c>
      <c r="J428" s="55" t="str">
        <f>CHAR(I428)</f>
        <v>+</v>
      </c>
      <c r="K428" s="57" t="s">
        <v>38</v>
      </c>
    </row>
    <row r="429" spans="1:25" x14ac:dyDescent="0.25">
      <c r="A429">
        <v>428</v>
      </c>
      <c r="H429" s="56" t="str">
        <f>DEC2HEX(I429)</f>
        <v>2C</v>
      </c>
      <c r="I429" s="55">
        <v>44</v>
      </c>
      <c r="J429" s="55" t="str">
        <f>CHAR(I429)</f>
        <v>,</v>
      </c>
      <c r="K429" s="57" t="s">
        <v>38</v>
      </c>
    </row>
    <row r="430" spans="1:25" x14ac:dyDescent="0.25">
      <c r="A430">
        <v>429</v>
      </c>
      <c r="H430" s="56" t="str">
        <f>DEC2HEX(I430)</f>
        <v>2D</v>
      </c>
      <c r="I430" s="55">
        <v>45</v>
      </c>
      <c r="J430" s="55" t="str">
        <f>CHAR(I430)</f>
        <v>-</v>
      </c>
      <c r="K430" s="57" t="s">
        <v>38</v>
      </c>
    </row>
    <row r="431" spans="1:25" x14ac:dyDescent="0.25">
      <c r="A431">
        <v>430</v>
      </c>
      <c r="H431" s="50" t="str">
        <f>DEC2HEX(I431)</f>
        <v>2F</v>
      </c>
      <c r="I431" s="2">
        <v>47</v>
      </c>
      <c r="J431" s="2" t="str">
        <f>CHAR(I431)</f>
        <v>/</v>
      </c>
      <c r="K431" s="1" t="s">
        <v>39</v>
      </c>
    </row>
    <row r="432" spans="1:25" x14ac:dyDescent="0.25">
      <c r="A432">
        <v>431</v>
      </c>
      <c r="H432" s="50" t="str">
        <f>DEC2HEX(I432)</f>
        <v>30</v>
      </c>
      <c r="I432" s="2">
        <v>48</v>
      </c>
      <c r="J432" s="2" t="str">
        <f>CHAR(I432)</f>
        <v>0</v>
      </c>
      <c r="K432" s="1" t="s">
        <v>39</v>
      </c>
    </row>
    <row r="433" spans="1:11" x14ac:dyDescent="0.25">
      <c r="A433">
        <v>432</v>
      </c>
      <c r="H433" s="50" t="str">
        <f>DEC2HEX(I433)</f>
        <v>31</v>
      </c>
      <c r="I433" s="2">
        <v>49</v>
      </c>
      <c r="J433" s="2" t="str">
        <f>CHAR(I433)</f>
        <v>1</v>
      </c>
      <c r="K433" s="1" t="s">
        <v>39</v>
      </c>
    </row>
    <row r="434" spans="1:11" x14ac:dyDescent="0.25">
      <c r="A434">
        <v>433</v>
      </c>
      <c r="H434" s="50" t="str">
        <f>DEC2HEX(I434)</f>
        <v>32</v>
      </c>
      <c r="I434" s="2">
        <v>50</v>
      </c>
      <c r="J434" s="2" t="str">
        <f>CHAR(I434)</f>
        <v>2</v>
      </c>
      <c r="K434" s="1" t="s">
        <v>39</v>
      </c>
    </row>
    <row r="435" spans="1:11" x14ac:dyDescent="0.25">
      <c r="A435">
        <v>434</v>
      </c>
      <c r="H435" s="50" t="str">
        <f>DEC2HEX(I435)</f>
        <v>33</v>
      </c>
      <c r="I435" s="2">
        <v>51</v>
      </c>
      <c r="J435" s="2" t="str">
        <f>CHAR(I435)</f>
        <v>3</v>
      </c>
      <c r="K435" s="1" t="s">
        <v>39</v>
      </c>
    </row>
    <row r="436" spans="1:11" x14ac:dyDescent="0.25">
      <c r="A436">
        <v>435</v>
      </c>
      <c r="H436" s="50" t="str">
        <f>DEC2HEX(I436)</f>
        <v>34</v>
      </c>
      <c r="I436" s="2">
        <v>52</v>
      </c>
      <c r="J436" s="2" t="str">
        <f>CHAR(I436)</f>
        <v>4</v>
      </c>
      <c r="K436" s="1" t="s">
        <v>39</v>
      </c>
    </row>
    <row r="437" spans="1:11" x14ac:dyDescent="0.25">
      <c r="A437">
        <v>436</v>
      </c>
      <c r="H437" s="50" t="str">
        <f>DEC2HEX(I437)</f>
        <v>35</v>
      </c>
      <c r="I437" s="2">
        <v>53</v>
      </c>
      <c r="J437" s="2" t="str">
        <f>CHAR(I437)</f>
        <v>5</v>
      </c>
      <c r="K437" s="1" t="s">
        <v>39</v>
      </c>
    </row>
    <row r="438" spans="1:11" x14ac:dyDescent="0.25">
      <c r="A438">
        <v>437</v>
      </c>
      <c r="H438" s="50" t="str">
        <f>DEC2HEX(I438)</f>
        <v>36</v>
      </c>
      <c r="I438" s="2">
        <v>54</v>
      </c>
      <c r="J438" s="2" t="str">
        <f>CHAR(I438)</f>
        <v>6</v>
      </c>
      <c r="K438" s="1" t="s">
        <v>39</v>
      </c>
    </row>
    <row r="439" spans="1:11" x14ac:dyDescent="0.25">
      <c r="A439">
        <v>438</v>
      </c>
      <c r="H439" s="50" t="str">
        <f>DEC2HEX(I439)</f>
        <v>37</v>
      </c>
      <c r="I439" s="2">
        <v>55</v>
      </c>
      <c r="J439" s="2" t="str">
        <f>CHAR(I439)</f>
        <v>7</v>
      </c>
      <c r="K439" s="1" t="s">
        <v>39</v>
      </c>
    </row>
    <row r="440" spans="1:11" x14ac:dyDescent="0.25">
      <c r="A440">
        <v>439</v>
      </c>
      <c r="H440" s="50" t="str">
        <f>DEC2HEX(I440)</f>
        <v>38</v>
      </c>
      <c r="I440" s="2">
        <v>56</v>
      </c>
      <c r="J440" s="2" t="str">
        <f>CHAR(I440)</f>
        <v>8</v>
      </c>
      <c r="K440" s="1" t="s">
        <v>39</v>
      </c>
    </row>
    <row r="441" spans="1:11" x14ac:dyDescent="0.25">
      <c r="A441">
        <v>440</v>
      </c>
      <c r="H441" s="50" t="str">
        <f>DEC2HEX(I441)</f>
        <v>39</v>
      </c>
      <c r="I441" s="2">
        <v>57</v>
      </c>
      <c r="J441" s="2" t="str">
        <f>CHAR(I441)</f>
        <v>9</v>
      </c>
      <c r="K441" s="1" t="s">
        <v>39</v>
      </c>
    </row>
    <row r="442" spans="1:11" x14ac:dyDescent="0.25">
      <c r="A442">
        <v>441</v>
      </c>
      <c r="H442" s="56" t="str">
        <f>DEC2HEX(I442)</f>
        <v>3C</v>
      </c>
      <c r="I442" s="55">
        <v>60</v>
      </c>
      <c r="J442" s="55" t="str">
        <f>CHAR(I442)</f>
        <v>&lt;</v>
      </c>
      <c r="K442" s="57" t="s">
        <v>38</v>
      </c>
    </row>
    <row r="443" spans="1:11" x14ac:dyDescent="0.25">
      <c r="A443">
        <v>442</v>
      </c>
      <c r="H443" s="56" t="str">
        <f>DEC2HEX(I443)</f>
        <v>3E</v>
      </c>
      <c r="I443" s="55">
        <v>62</v>
      </c>
      <c r="J443" s="55" t="str">
        <f>CHAR(I443)</f>
        <v>&gt;</v>
      </c>
      <c r="K443" s="57" t="s">
        <v>38</v>
      </c>
    </row>
    <row r="444" spans="1:11" x14ac:dyDescent="0.25">
      <c r="A444">
        <v>443</v>
      </c>
      <c r="H444" s="56" t="str">
        <f>DEC2HEX(I444)</f>
        <v>3F</v>
      </c>
      <c r="I444" s="55">
        <v>63</v>
      </c>
      <c r="J444" s="55" t="str">
        <f>CHAR(I444)</f>
        <v>?</v>
      </c>
      <c r="K444" s="57" t="s">
        <v>38</v>
      </c>
    </row>
    <row r="445" spans="1:11" x14ac:dyDescent="0.25">
      <c r="A445">
        <v>444</v>
      </c>
      <c r="H445" s="56" t="str">
        <f>DEC2HEX(I445)</f>
        <v>58</v>
      </c>
      <c r="I445" s="55">
        <v>88</v>
      </c>
      <c r="J445" s="55" t="str">
        <f>CHAR(I445)</f>
        <v>X</v>
      </c>
      <c r="K445" s="57" t="s">
        <v>38</v>
      </c>
    </row>
    <row r="446" spans="1:11" x14ac:dyDescent="0.25">
      <c r="A446">
        <v>445</v>
      </c>
      <c r="H446" s="50" t="str">
        <f>DEC2HEX(I446)</f>
        <v>5C</v>
      </c>
      <c r="I446" s="2">
        <v>92</v>
      </c>
      <c r="J446" s="2" t="str">
        <f>CHAR(I446)</f>
        <v>\</v>
      </c>
      <c r="K446" s="1" t="s">
        <v>39</v>
      </c>
    </row>
    <row r="447" spans="1:11" x14ac:dyDescent="0.25">
      <c r="A447">
        <v>446</v>
      </c>
      <c r="H447" s="56" t="str">
        <f>DEC2HEX(I447)</f>
        <v>5D</v>
      </c>
      <c r="I447" s="55">
        <v>93</v>
      </c>
      <c r="J447" s="55" t="str">
        <f>CHAR(I447)</f>
        <v>]</v>
      </c>
      <c r="K447" s="57" t="s">
        <v>38</v>
      </c>
    </row>
    <row r="448" spans="1:11" x14ac:dyDescent="0.25">
      <c r="A448">
        <v>447</v>
      </c>
      <c r="H448" s="50" t="str">
        <f>DEC2HEX(I448)</f>
        <v>60</v>
      </c>
      <c r="I448" s="2">
        <v>96</v>
      </c>
      <c r="J448" s="2" t="str">
        <f>CHAR(I448)</f>
        <v>`</v>
      </c>
      <c r="K448" s="1" t="s">
        <v>39</v>
      </c>
    </row>
    <row r="449" spans="1:11" x14ac:dyDescent="0.25">
      <c r="A449">
        <v>448</v>
      </c>
      <c r="H449" s="56" t="str">
        <f>DEC2HEX(I449)</f>
        <v>66</v>
      </c>
      <c r="I449" s="55">
        <v>102</v>
      </c>
      <c r="J449" s="55" t="str">
        <f>CHAR(I449)</f>
        <v>f</v>
      </c>
      <c r="K449" s="57" t="s">
        <v>38</v>
      </c>
    </row>
    <row r="450" spans="1:11" x14ac:dyDescent="0.25">
      <c r="A450">
        <v>449</v>
      </c>
      <c r="H450" s="56" t="str">
        <f>DEC2HEX(I450)</f>
        <v>72</v>
      </c>
      <c r="I450" s="55">
        <v>114</v>
      </c>
      <c r="J450" s="55" t="str">
        <f>CHAR(I450)</f>
        <v>r</v>
      </c>
      <c r="K450" s="57" t="s">
        <v>38</v>
      </c>
    </row>
    <row r="451" spans="1:11" x14ac:dyDescent="0.25">
      <c r="A451">
        <v>450</v>
      </c>
      <c r="H451" s="50" t="str">
        <f>DEC2HEX(I451)</f>
        <v>7F</v>
      </c>
      <c r="I451" s="2">
        <v>127</v>
      </c>
      <c r="J451" s="2" t="str">
        <f>CHAR(I451)</f>
        <v></v>
      </c>
      <c r="K451" s="1" t="s">
        <v>39</v>
      </c>
    </row>
    <row r="452" spans="1:11" x14ac:dyDescent="0.25">
      <c r="A452">
        <v>451</v>
      </c>
      <c r="H452" s="50" t="str">
        <f>DEC2HEX(I452)</f>
        <v>80</v>
      </c>
      <c r="I452" s="2">
        <v>128</v>
      </c>
      <c r="J452" s="2" t="str">
        <f>CHAR(I452)</f>
        <v>€</v>
      </c>
      <c r="K452" s="1" t="s">
        <v>39</v>
      </c>
    </row>
    <row r="453" spans="1:11" x14ac:dyDescent="0.25">
      <c r="A453">
        <v>452</v>
      </c>
      <c r="H453" s="50" t="str">
        <f>DEC2HEX(I453)</f>
        <v>81</v>
      </c>
      <c r="I453" s="2">
        <v>129</v>
      </c>
      <c r="J453" s="2" t="str">
        <f>CHAR(I453)</f>
        <v></v>
      </c>
      <c r="K453" s="1" t="s">
        <v>39</v>
      </c>
    </row>
    <row r="454" spans="1:11" x14ac:dyDescent="0.25">
      <c r="A454">
        <v>453</v>
      </c>
      <c r="H454" s="50" t="str">
        <f>DEC2HEX(I454)</f>
        <v>82</v>
      </c>
      <c r="I454" s="2">
        <v>130</v>
      </c>
      <c r="J454" s="2" t="str">
        <f>CHAR(I454)</f>
        <v>‚</v>
      </c>
      <c r="K454" s="1" t="s">
        <v>39</v>
      </c>
    </row>
    <row r="455" spans="1:11" x14ac:dyDescent="0.25">
      <c r="A455">
        <v>454</v>
      </c>
      <c r="H455" s="50" t="str">
        <f>DEC2HEX(I455)</f>
        <v>83</v>
      </c>
      <c r="I455" s="2">
        <v>131</v>
      </c>
      <c r="J455" s="2" t="str">
        <f>CHAR(I455)</f>
        <v>ƒ</v>
      </c>
      <c r="K455" s="1" t="s">
        <v>39</v>
      </c>
    </row>
    <row r="456" spans="1:11" x14ac:dyDescent="0.25">
      <c r="A456">
        <v>455</v>
      </c>
      <c r="H456" s="50" t="str">
        <f>DEC2HEX(I456)</f>
        <v>84</v>
      </c>
      <c r="I456" s="2">
        <v>132</v>
      </c>
      <c r="J456" s="2" t="str">
        <f>CHAR(I456)</f>
        <v>„</v>
      </c>
      <c r="K456" s="1" t="s">
        <v>39</v>
      </c>
    </row>
    <row r="457" spans="1:11" x14ac:dyDescent="0.25">
      <c r="A457">
        <v>456</v>
      </c>
      <c r="H457" s="50" t="str">
        <f>DEC2HEX(I457)</f>
        <v>85</v>
      </c>
      <c r="I457" s="2">
        <v>133</v>
      </c>
      <c r="J457" s="2" t="str">
        <f>CHAR(I457)</f>
        <v>…</v>
      </c>
      <c r="K457" s="1" t="s">
        <v>39</v>
      </c>
    </row>
    <row r="458" spans="1:11" x14ac:dyDescent="0.25">
      <c r="A458">
        <v>457</v>
      </c>
      <c r="H458" s="50" t="str">
        <f>DEC2HEX(I458)</f>
        <v>86</v>
      </c>
      <c r="I458" s="2">
        <v>134</v>
      </c>
      <c r="J458" s="2" t="str">
        <f>CHAR(I458)</f>
        <v>†</v>
      </c>
      <c r="K458" s="1" t="s">
        <v>39</v>
      </c>
    </row>
    <row r="459" spans="1:11" x14ac:dyDescent="0.25">
      <c r="A459">
        <v>458</v>
      </c>
      <c r="H459" s="50" t="str">
        <f>DEC2HEX(I459)</f>
        <v>87</v>
      </c>
      <c r="I459" s="2">
        <v>135</v>
      </c>
      <c r="J459" s="2" t="str">
        <f>CHAR(I459)</f>
        <v>‡</v>
      </c>
      <c r="K459" s="1" t="s">
        <v>39</v>
      </c>
    </row>
    <row r="460" spans="1:11" x14ac:dyDescent="0.25">
      <c r="A460">
        <v>459</v>
      </c>
      <c r="H460" s="50" t="str">
        <f>DEC2HEX(I460)</f>
        <v>88</v>
      </c>
      <c r="I460" s="2">
        <v>136</v>
      </c>
      <c r="J460" s="2" t="str">
        <f>CHAR(I460)</f>
        <v>ˆ</v>
      </c>
      <c r="K460" s="1" t="s">
        <v>39</v>
      </c>
    </row>
    <row r="461" spans="1:11" x14ac:dyDescent="0.25">
      <c r="A461">
        <v>460</v>
      </c>
      <c r="H461" s="50" t="str">
        <f>DEC2HEX(I461)</f>
        <v>89</v>
      </c>
      <c r="I461" s="2">
        <v>137</v>
      </c>
      <c r="J461" s="2" t="str">
        <f>CHAR(I461)</f>
        <v>‰</v>
      </c>
      <c r="K461" s="1" t="s">
        <v>39</v>
      </c>
    </row>
    <row r="462" spans="1:11" x14ac:dyDescent="0.25">
      <c r="A462">
        <v>461</v>
      </c>
      <c r="H462" s="2" t="str">
        <f>DEC2HEX(I462)</f>
        <v>8A</v>
      </c>
      <c r="I462" s="2">
        <v>138</v>
      </c>
      <c r="J462" s="2" t="str">
        <f>CHAR(I462)</f>
        <v>Š</v>
      </c>
      <c r="K462" s="1" t="s">
        <v>39</v>
      </c>
    </row>
    <row r="463" spans="1:11" x14ac:dyDescent="0.25">
      <c r="A463">
        <v>462</v>
      </c>
      <c r="H463" s="50" t="str">
        <f>DEC2HEX(I463)</f>
        <v>8B</v>
      </c>
      <c r="I463" s="2">
        <v>139</v>
      </c>
      <c r="J463" s="2" t="str">
        <f>CHAR(I463)</f>
        <v>‹</v>
      </c>
      <c r="K463" s="1" t="s">
        <v>39</v>
      </c>
    </row>
    <row r="464" spans="1:11" x14ac:dyDescent="0.25">
      <c r="A464">
        <v>463</v>
      </c>
      <c r="H464" s="50" t="str">
        <f>DEC2HEX(I464)</f>
        <v>8C</v>
      </c>
      <c r="I464" s="2">
        <v>140</v>
      </c>
      <c r="J464" s="2" t="str">
        <f>CHAR(I464)</f>
        <v>Œ</v>
      </c>
      <c r="K464" s="1" t="s">
        <v>39</v>
      </c>
    </row>
    <row r="465" spans="1:11" x14ac:dyDescent="0.25">
      <c r="A465">
        <v>464</v>
      </c>
      <c r="H465" s="50" t="str">
        <f>DEC2HEX(I465)</f>
        <v>8D</v>
      </c>
      <c r="I465" s="2">
        <v>141</v>
      </c>
      <c r="J465" s="2" t="str">
        <f>CHAR(I465)</f>
        <v></v>
      </c>
      <c r="K465" s="1" t="s">
        <v>39</v>
      </c>
    </row>
    <row r="466" spans="1:11" x14ac:dyDescent="0.25">
      <c r="A466">
        <v>465</v>
      </c>
      <c r="H466" s="50" t="str">
        <f>DEC2HEX(I466)</f>
        <v>8E</v>
      </c>
      <c r="I466" s="2">
        <v>142</v>
      </c>
      <c r="J466" s="2" t="str">
        <f>CHAR(I466)</f>
        <v>Ž</v>
      </c>
      <c r="K466" s="1" t="s">
        <v>39</v>
      </c>
    </row>
    <row r="467" spans="1:11" x14ac:dyDescent="0.25">
      <c r="A467">
        <v>466</v>
      </c>
      <c r="H467" s="50" t="str">
        <f>DEC2HEX(I467)</f>
        <v>8F</v>
      </c>
      <c r="I467" s="2">
        <v>143</v>
      </c>
      <c r="J467" s="2" t="str">
        <f>CHAR(I467)</f>
        <v></v>
      </c>
      <c r="K467" s="1" t="s">
        <v>39</v>
      </c>
    </row>
    <row r="468" spans="1:11" x14ac:dyDescent="0.25">
      <c r="A468">
        <v>467</v>
      </c>
      <c r="H468" s="50" t="str">
        <f>DEC2HEX(I468)</f>
        <v>90</v>
      </c>
      <c r="I468" s="2">
        <v>144</v>
      </c>
      <c r="J468" s="2" t="str">
        <f>CHAR(I468)</f>
        <v></v>
      </c>
      <c r="K468" s="1" t="s">
        <v>39</v>
      </c>
    </row>
    <row r="469" spans="1:11" x14ac:dyDescent="0.25">
      <c r="A469">
        <v>468</v>
      </c>
      <c r="H469" s="50" t="str">
        <f>DEC2HEX(I469)</f>
        <v>91</v>
      </c>
      <c r="I469" s="2">
        <v>145</v>
      </c>
      <c r="J469" s="2" t="str">
        <f>CHAR(I469)</f>
        <v>‘</v>
      </c>
      <c r="K469" s="1" t="s">
        <v>39</v>
      </c>
    </row>
    <row r="470" spans="1:11" x14ac:dyDescent="0.25">
      <c r="A470">
        <v>469</v>
      </c>
      <c r="H470" s="50" t="str">
        <f>DEC2HEX(I470)</f>
        <v>92</v>
      </c>
      <c r="I470" s="2">
        <v>146</v>
      </c>
      <c r="J470" s="2" t="str">
        <f>CHAR(I470)</f>
        <v>’</v>
      </c>
      <c r="K470" s="1" t="s">
        <v>39</v>
      </c>
    </row>
    <row r="471" spans="1:11" x14ac:dyDescent="0.25">
      <c r="A471">
        <v>470</v>
      </c>
      <c r="H471" s="50" t="str">
        <f>DEC2HEX(I471)</f>
        <v>93</v>
      </c>
      <c r="I471" s="2">
        <v>147</v>
      </c>
      <c r="J471" s="2" t="str">
        <f>CHAR(I471)</f>
        <v>“</v>
      </c>
      <c r="K471" s="1" t="s">
        <v>39</v>
      </c>
    </row>
    <row r="472" spans="1:11" x14ac:dyDescent="0.25">
      <c r="A472">
        <v>471</v>
      </c>
      <c r="H472" s="50" t="str">
        <f>DEC2HEX(I472)</f>
        <v>94</v>
      </c>
      <c r="I472" s="2">
        <v>148</v>
      </c>
      <c r="J472" s="2" t="str">
        <f>CHAR(I472)</f>
        <v>”</v>
      </c>
      <c r="K472" s="1" t="s">
        <v>39</v>
      </c>
    </row>
    <row r="473" spans="1:11" x14ac:dyDescent="0.25">
      <c r="A473">
        <v>472</v>
      </c>
      <c r="H473" s="50" t="str">
        <f>DEC2HEX(I473)</f>
        <v>95</v>
      </c>
      <c r="I473" s="2">
        <v>149</v>
      </c>
      <c r="J473" s="2" t="str">
        <f>CHAR(I473)</f>
        <v>•</v>
      </c>
      <c r="K473" s="1" t="s">
        <v>39</v>
      </c>
    </row>
    <row r="474" spans="1:11" x14ac:dyDescent="0.25">
      <c r="A474">
        <v>473</v>
      </c>
      <c r="H474" s="50" t="str">
        <f>DEC2HEX(I474)</f>
        <v>96</v>
      </c>
      <c r="I474" s="2">
        <v>150</v>
      </c>
      <c r="J474" s="2" t="str">
        <f>CHAR(I474)</f>
        <v>–</v>
      </c>
      <c r="K474" s="1" t="s">
        <v>39</v>
      </c>
    </row>
    <row r="475" spans="1:11" x14ac:dyDescent="0.25">
      <c r="A475">
        <v>474</v>
      </c>
      <c r="H475" s="50" t="str">
        <f>DEC2HEX(I475)</f>
        <v>97</v>
      </c>
      <c r="I475" s="2">
        <v>151</v>
      </c>
      <c r="J475" s="2" t="str">
        <f>CHAR(I475)</f>
        <v>—</v>
      </c>
      <c r="K475" s="1" t="s">
        <v>39</v>
      </c>
    </row>
    <row r="476" spans="1:11" x14ac:dyDescent="0.25">
      <c r="A476">
        <v>475</v>
      </c>
      <c r="H476" s="50" t="str">
        <f>DEC2HEX(I476)</f>
        <v>98</v>
      </c>
      <c r="I476" s="2">
        <v>152</v>
      </c>
      <c r="J476" s="2" t="str">
        <f>CHAR(I476)</f>
        <v>˜</v>
      </c>
      <c r="K476" s="1" t="s">
        <v>39</v>
      </c>
    </row>
    <row r="477" spans="1:11" x14ac:dyDescent="0.25">
      <c r="A477">
        <v>476</v>
      </c>
      <c r="H477" s="50" t="str">
        <f>DEC2HEX(I477)</f>
        <v>99</v>
      </c>
      <c r="I477" s="2">
        <v>153</v>
      </c>
      <c r="J477" s="2" t="str">
        <f>CHAR(I477)</f>
        <v>™</v>
      </c>
      <c r="K477" s="1" t="s">
        <v>39</v>
      </c>
    </row>
    <row r="478" spans="1:11" x14ac:dyDescent="0.25">
      <c r="A478">
        <v>477</v>
      </c>
      <c r="H478" s="50" t="str">
        <f>DEC2HEX(I478)</f>
        <v>9A</v>
      </c>
      <c r="I478" s="2">
        <v>154</v>
      </c>
      <c r="J478" s="2" t="str">
        <f>CHAR(I478)</f>
        <v>š</v>
      </c>
      <c r="K478" s="1" t="s">
        <v>39</v>
      </c>
    </row>
    <row r="479" spans="1:11" x14ac:dyDescent="0.25">
      <c r="A479">
        <v>478</v>
      </c>
      <c r="H479" s="50" t="str">
        <f>DEC2HEX(I479)</f>
        <v>9B</v>
      </c>
      <c r="I479" s="2">
        <v>155</v>
      </c>
      <c r="J479" s="2" t="str">
        <f>CHAR(I479)</f>
        <v>›</v>
      </c>
      <c r="K479" s="1" t="s">
        <v>39</v>
      </c>
    </row>
    <row r="480" spans="1:11" x14ac:dyDescent="0.25">
      <c r="A480">
        <v>479</v>
      </c>
      <c r="H480" s="50" t="str">
        <f>DEC2HEX(I480)</f>
        <v>9C</v>
      </c>
      <c r="I480" s="2">
        <v>156</v>
      </c>
      <c r="J480" s="2" t="str">
        <f>CHAR(I480)</f>
        <v>œ</v>
      </c>
      <c r="K480" s="1" t="s">
        <v>39</v>
      </c>
    </row>
    <row r="481" spans="1:21" x14ac:dyDescent="0.25">
      <c r="A481">
        <v>480</v>
      </c>
      <c r="H481" s="50" t="str">
        <f>DEC2HEX(I481)</f>
        <v>9D</v>
      </c>
      <c r="I481" s="2">
        <v>157</v>
      </c>
      <c r="J481" s="2" t="str">
        <f>CHAR(I481)</f>
        <v></v>
      </c>
      <c r="K481" s="1" t="s">
        <v>39</v>
      </c>
    </row>
    <row r="482" spans="1:21" x14ac:dyDescent="0.25">
      <c r="A482">
        <v>481</v>
      </c>
      <c r="H482" s="50" t="str">
        <f>DEC2HEX(I482)</f>
        <v>9E</v>
      </c>
      <c r="I482" s="2">
        <v>158</v>
      </c>
      <c r="J482" s="2" t="str">
        <f>CHAR(I482)</f>
        <v>ž</v>
      </c>
      <c r="K482" s="1" t="s">
        <v>39</v>
      </c>
    </row>
    <row r="483" spans="1:21" x14ac:dyDescent="0.25">
      <c r="A483">
        <v>482</v>
      </c>
      <c r="H483" s="50" t="str">
        <f>DEC2HEX(I483)</f>
        <v>9F</v>
      </c>
      <c r="I483" s="2">
        <v>159</v>
      </c>
      <c r="J483" s="2" t="str">
        <f>CHAR(I483)</f>
        <v>Ÿ</v>
      </c>
      <c r="K483" s="1" t="s">
        <v>39</v>
      </c>
    </row>
    <row r="484" spans="1:21" x14ac:dyDescent="0.25">
      <c r="A484">
        <v>483</v>
      </c>
      <c r="H484" s="50" t="str">
        <f>DEC2HEX(I484)</f>
        <v>A0</v>
      </c>
      <c r="I484" s="2">
        <v>160</v>
      </c>
      <c r="J484" s="2" t="str">
        <f>CHAR(I484)</f>
        <v> </v>
      </c>
      <c r="K484" s="1" t="s">
        <v>39</v>
      </c>
      <c r="L484" s="4"/>
    </row>
    <row r="485" spans="1:21" x14ac:dyDescent="0.25">
      <c r="A485">
        <v>484</v>
      </c>
      <c r="H485" s="50" t="str">
        <f>DEC2HEX(I485)</f>
        <v>AD</v>
      </c>
      <c r="I485" s="2">
        <v>173</v>
      </c>
      <c r="J485" s="2" t="str">
        <f>CHAR(I485)</f>
        <v>­</v>
      </c>
      <c r="K485" s="1" t="s">
        <v>39</v>
      </c>
    </row>
    <row r="486" spans="1:21" x14ac:dyDescent="0.25">
      <c r="A486">
        <v>485</v>
      </c>
      <c r="H486" s="50" t="str">
        <f>DEC2HEX(I486)</f>
        <v>B4</v>
      </c>
      <c r="I486" s="2">
        <v>180</v>
      </c>
      <c r="J486" s="2" t="str">
        <f>CHAR(I486)</f>
        <v>´</v>
      </c>
      <c r="K486" s="1" t="s">
        <v>39</v>
      </c>
    </row>
    <row r="487" spans="1:21" x14ac:dyDescent="0.25">
      <c r="A487">
        <v>486</v>
      </c>
      <c r="H487" s="50" t="str">
        <f>DEC2HEX(I487)</f>
        <v>C5</v>
      </c>
      <c r="I487" s="2">
        <v>197</v>
      </c>
      <c r="J487" s="2" t="str">
        <f>CHAR(I487)</f>
        <v>Å</v>
      </c>
      <c r="K487" s="1" t="s">
        <v>38</v>
      </c>
    </row>
    <row r="488" spans="1:21" x14ac:dyDescent="0.25">
      <c r="A488">
        <v>487</v>
      </c>
      <c r="H488" s="56" t="str">
        <f>DEC2HEX(I488)</f>
        <v>CA</v>
      </c>
      <c r="I488" s="55">
        <v>202</v>
      </c>
      <c r="J488" s="55" t="str">
        <f>CHAR(I488)</f>
        <v>Ê</v>
      </c>
      <c r="K488" s="57" t="s">
        <v>38</v>
      </c>
    </row>
    <row r="489" spans="1:21" x14ac:dyDescent="0.25">
      <c r="A489">
        <v>488</v>
      </c>
      <c r="H489" s="56" t="str">
        <f>DEC2HEX(I489)</f>
        <v>D3</v>
      </c>
      <c r="I489" s="55">
        <v>211</v>
      </c>
      <c r="J489" s="55" t="str">
        <f>CHAR(I489)</f>
        <v>Ó</v>
      </c>
      <c r="K489" s="57" t="s">
        <v>38</v>
      </c>
    </row>
    <row r="490" spans="1:21" x14ac:dyDescent="0.25">
      <c r="A490">
        <v>489</v>
      </c>
      <c r="H490" s="56" t="str">
        <f>DEC2HEX(I490)</f>
        <v>E2</v>
      </c>
      <c r="I490" s="55">
        <v>226</v>
      </c>
      <c r="J490" s="55" t="str">
        <f>CHAR(I490)</f>
        <v>â</v>
      </c>
      <c r="K490" s="57" t="s">
        <v>38</v>
      </c>
    </row>
    <row r="491" spans="1:21" x14ac:dyDescent="0.25">
      <c r="A491">
        <v>490</v>
      </c>
      <c r="H491" s="56" t="str">
        <f>DEC2HEX(I491)</f>
        <v>E5</v>
      </c>
      <c r="I491" s="55">
        <v>229</v>
      </c>
      <c r="J491" s="55" t="str">
        <f>CHAR(I491)</f>
        <v>å</v>
      </c>
      <c r="K491" s="57" t="s">
        <v>38</v>
      </c>
    </row>
    <row r="492" spans="1:21" x14ac:dyDescent="0.25">
      <c r="A492">
        <v>491</v>
      </c>
      <c r="H492" s="56" t="str">
        <f>DEC2HEX(I492)</f>
        <v>EE</v>
      </c>
      <c r="I492" s="55">
        <v>238</v>
      </c>
      <c r="J492" s="55" t="str">
        <f>CHAR(I492)</f>
        <v>î</v>
      </c>
      <c r="K492" s="57" t="s">
        <v>38</v>
      </c>
    </row>
    <row r="493" spans="1:21" x14ac:dyDescent="0.25">
      <c r="A493">
        <v>492</v>
      </c>
      <c r="C493"/>
      <c r="D493"/>
      <c r="H493" s="55" t="str">
        <f>DEC2HEX(I493)</f>
        <v>F1</v>
      </c>
      <c r="I493" s="55">
        <v>241</v>
      </c>
      <c r="J493" s="55" t="str">
        <f>CHAR(I493)</f>
        <v>ñ</v>
      </c>
      <c r="K493" s="57" t="s">
        <v>38</v>
      </c>
      <c r="S493"/>
      <c r="U493"/>
    </row>
    <row r="494" spans="1:21" x14ac:dyDescent="0.25">
      <c r="A494">
        <v>493</v>
      </c>
      <c r="H494" s="56" t="str">
        <f>DEC2HEX(I494)</f>
        <v>F8</v>
      </c>
      <c r="I494" s="55">
        <v>248</v>
      </c>
      <c r="J494" s="55" t="str">
        <f>CHAR(I494)</f>
        <v>ø</v>
      </c>
      <c r="K494" s="57" t="s">
        <v>38</v>
      </c>
    </row>
    <row r="495" spans="1:21" x14ac:dyDescent="0.25">
      <c r="A495">
        <v>494</v>
      </c>
      <c r="H495" s="56" t="str">
        <f>DEC2HEX(I495)</f>
        <v>F9</v>
      </c>
      <c r="I495" s="55">
        <v>249</v>
      </c>
      <c r="J495" s="55" t="str">
        <f>CHAR(I495)</f>
        <v>ù</v>
      </c>
      <c r="K495" s="57" t="s">
        <v>38</v>
      </c>
    </row>
    <row r="496" spans="1:21" x14ac:dyDescent="0.25">
      <c r="A496">
        <v>495</v>
      </c>
      <c r="H496" s="56" t="str">
        <f>DEC2HEX(I496)</f>
        <v>FA</v>
      </c>
      <c r="I496" s="55">
        <v>250</v>
      </c>
      <c r="J496" s="55" t="str">
        <f>CHAR(I496)</f>
        <v>ú</v>
      </c>
      <c r="K496" s="57" t="s">
        <v>38</v>
      </c>
    </row>
    <row r="497" spans="1:11" x14ac:dyDescent="0.25">
      <c r="A497">
        <v>496</v>
      </c>
      <c r="H497" s="56" t="str">
        <f>DEC2HEX(I497)</f>
        <v>FD</v>
      </c>
      <c r="I497" s="55">
        <v>253</v>
      </c>
      <c r="J497" s="55" t="str">
        <f>CHAR(I497)</f>
        <v>ý</v>
      </c>
      <c r="K497" s="57" t="s">
        <v>38</v>
      </c>
    </row>
    <row r="498" spans="1:11" x14ac:dyDescent="0.25">
      <c r="A498">
        <v>497</v>
      </c>
      <c r="H498" s="50" t="str">
        <f>DEC2HEX(I498)</f>
        <v>FF</v>
      </c>
      <c r="I498" s="2">
        <v>255</v>
      </c>
      <c r="J498" s="2" t="str">
        <f>CHAR(I498)</f>
        <v>ÿ</v>
      </c>
      <c r="K498" s="1" t="s">
        <v>39</v>
      </c>
    </row>
    <row r="554" spans="8:8" x14ac:dyDescent="0.25">
      <c r="H554"/>
    </row>
    <row r="555" spans="8:8" x14ac:dyDescent="0.25">
      <c r="H555"/>
    </row>
    <row r="556" spans="8:8" x14ac:dyDescent="0.25">
      <c r="H556"/>
    </row>
  </sheetData>
  <sortState xmlns:xlrd2="http://schemas.microsoft.com/office/spreadsheetml/2017/richdata2" ref="A2:Y540">
    <sortCondition ref="E2:E540"/>
  </sortState>
  <phoneticPr fontId="6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542925</xdr:colOff>
                    <xdr:row>0</xdr:row>
                    <xdr:rowOff>0</xdr:rowOff>
                  </from>
                  <to>
                    <xdr:col>16</xdr:col>
                    <xdr:colOff>1209675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1247775</xdr:colOff>
                    <xdr:row>0</xdr:row>
                    <xdr:rowOff>9525</xdr:rowOff>
                  </from>
                  <to>
                    <xdr:col>16</xdr:col>
                    <xdr:colOff>2114550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2152650</xdr:colOff>
                    <xdr:row>0</xdr:row>
                    <xdr:rowOff>0</xdr:rowOff>
                  </from>
                  <to>
                    <xdr:col>16</xdr:col>
                    <xdr:colOff>2771775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9525</xdr:rowOff>
                  </from>
                  <to>
                    <xdr:col>18</xdr:col>
                    <xdr:colOff>123825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2790825</xdr:colOff>
                    <xdr:row>0</xdr:row>
                    <xdr:rowOff>9525</xdr:rowOff>
                  </from>
                  <to>
                    <xdr:col>16</xdr:col>
                    <xdr:colOff>3629025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5" x14ac:dyDescent="0.25"/>
  <cols>
    <col min="4" max="4" width="9.7109375" customWidth="1"/>
    <col min="5" max="5" width="10.28515625" customWidth="1"/>
  </cols>
  <sheetData>
    <row r="2" spans="1:6" x14ac:dyDescent="0.25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25">
      <c r="A3">
        <v>1</v>
      </c>
      <c r="B3" t="s">
        <v>8</v>
      </c>
    </row>
    <row r="4" spans="1:6" x14ac:dyDescent="0.25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25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25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25">
      <c r="A7">
        <v>5</v>
      </c>
      <c r="C7" s="3" t="s">
        <v>12</v>
      </c>
    </row>
    <row r="8" spans="1:6" x14ac:dyDescent="0.25">
      <c r="A8">
        <v>6</v>
      </c>
      <c r="C8" s="3" t="s">
        <v>13</v>
      </c>
    </row>
    <row r="9" spans="1:6" x14ac:dyDescent="0.25">
      <c r="A9">
        <v>7</v>
      </c>
      <c r="C9" s="3" t="s">
        <v>14</v>
      </c>
    </row>
    <row r="10" spans="1:6" x14ac:dyDescent="0.25">
      <c r="A10">
        <v>8</v>
      </c>
    </row>
    <row r="11" spans="1:6" x14ac:dyDescent="0.25">
      <c r="A11">
        <v>9</v>
      </c>
      <c r="B11" t="s">
        <v>4</v>
      </c>
    </row>
    <row r="12" spans="1:6" x14ac:dyDescent="0.25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25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25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25">
      <c r="A15">
        <v>13</v>
      </c>
      <c r="C15" s="3" t="s">
        <v>12</v>
      </c>
    </row>
    <row r="16" spans="1:6" x14ac:dyDescent="0.25">
      <c r="A16">
        <v>14</v>
      </c>
      <c r="C16" s="3" t="s">
        <v>13</v>
      </c>
    </row>
    <row r="17" spans="1:5" x14ac:dyDescent="0.25">
      <c r="A17">
        <v>15</v>
      </c>
      <c r="C17" s="3" t="s">
        <v>14</v>
      </c>
    </row>
    <row r="18" spans="1:5" x14ac:dyDescent="0.25">
      <c r="A18">
        <v>16</v>
      </c>
    </row>
    <row r="19" spans="1:5" x14ac:dyDescent="0.25">
      <c r="A19">
        <v>17</v>
      </c>
      <c r="B19" t="s">
        <v>28</v>
      </c>
    </row>
    <row r="20" spans="1:5" x14ac:dyDescent="0.25">
      <c r="A20">
        <v>18</v>
      </c>
      <c r="C20" t="s">
        <v>9</v>
      </c>
      <c r="E20">
        <v>20</v>
      </c>
    </row>
    <row r="21" spans="1:5" x14ac:dyDescent="0.25">
      <c r="A21">
        <v>19</v>
      </c>
      <c r="C21" t="s">
        <v>10</v>
      </c>
      <c r="E21">
        <v>21</v>
      </c>
    </row>
    <row r="22" spans="1:5" x14ac:dyDescent="0.25">
      <c r="A22">
        <v>20</v>
      </c>
      <c r="C22" t="s">
        <v>11</v>
      </c>
      <c r="E22">
        <v>22</v>
      </c>
    </row>
    <row r="23" spans="1:5" x14ac:dyDescent="0.25">
      <c r="A23">
        <v>21</v>
      </c>
      <c r="C23" s="3" t="s">
        <v>12</v>
      </c>
    </row>
    <row r="24" spans="1:5" x14ac:dyDescent="0.25">
      <c r="A24">
        <v>22</v>
      </c>
      <c r="C24" s="3" t="s">
        <v>13</v>
      </c>
    </row>
    <row r="25" spans="1:5" x14ac:dyDescent="0.25">
      <c r="A25">
        <v>23</v>
      </c>
      <c r="C25" s="3" t="s">
        <v>14</v>
      </c>
    </row>
    <row r="26" spans="1:5" x14ac:dyDescent="0.25">
      <c r="A26">
        <v>24</v>
      </c>
      <c r="B26" t="s">
        <v>29</v>
      </c>
    </row>
    <row r="27" spans="1:5" x14ac:dyDescent="0.25">
      <c r="A27">
        <v>25</v>
      </c>
      <c r="C27" t="s">
        <v>9</v>
      </c>
      <c r="E27">
        <v>23</v>
      </c>
    </row>
    <row r="28" spans="1:5" x14ac:dyDescent="0.25">
      <c r="A28">
        <v>26</v>
      </c>
      <c r="C28" t="s">
        <v>10</v>
      </c>
      <c r="E28">
        <v>16</v>
      </c>
    </row>
    <row r="29" spans="1:5" x14ac:dyDescent="0.25">
      <c r="A29">
        <v>27</v>
      </c>
      <c r="C29" t="s">
        <v>11</v>
      </c>
      <c r="E29">
        <v>17</v>
      </c>
    </row>
    <row r="30" spans="1:5" x14ac:dyDescent="0.25">
      <c r="A30">
        <v>28</v>
      </c>
      <c r="C30" s="3" t="s">
        <v>12</v>
      </c>
    </row>
    <row r="31" spans="1:5" x14ac:dyDescent="0.25">
      <c r="A31">
        <v>29</v>
      </c>
      <c r="C31" s="3" t="s">
        <v>13</v>
      </c>
    </row>
    <row r="32" spans="1:5" x14ac:dyDescent="0.25">
      <c r="A32">
        <v>30</v>
      </c>
      <c r="C32" s="3" t="s">
        <v>14</v>
      </c>
    </row>
    <row r="33" spans="1:6" x14ac:dyDescent="0.25">
      <c r="A33">
        <v>31</v>
      </c>
      <c r="B33" t="s">
        <v>15</v>
      </c>
    </row>
    <row r="34" spans="1:6" x14ac:dyDescent="0.25">
      <c r="A34">
        <v>32</v>
      </c>
      <c r="C34" t="s">
        <v>16</v>
      </c>
      <c r="D34" t="s">
        <v>32</v>
      </c>
      <c r="E34" t="s">
        <v>32</v>
      </c>
    </row>
    <row r="35" spans="1:6" x14ac:dyDescent="0.25">
      <c r="A35">
        <v>33</v>
      </c>
      <c r="C35" t="s">
        <v>17</v>
      </c>
      <c r="D35">
        <v>11</v>
      </c>
      <c r="E35">
        <v>11</v>
      </c>
    </row>
    <row r="36" spans="1:6" x14ac:dyDescent="0.25">
      <c r="A36">
        <v>34</v>
      </c>
      <c r="C36" t="s">
        <v>18</v>
      </c>
      <c r="D36">
        <v>12</v>
      </c>
      <c r="E36">
        <v>12</v>
      </c>
    </row>
    <row r="37" spans="1:6" x14ac:dyDescent="0.25">
      <c r="A37">
        <v>35</v>
      </c>
      <c r="C37" t="s">
        <v>19</v>
      </c>
      <c r="D37">
        <v>13</v>
      </c>
      <c r="E37">
        <v>13</v>
      </c>
    </row>
    <row r="38" spans="1:6" x14ac:dyDescent="0.25">
      <c r="A38">
        <v>36</v>
      </c>
    </row>
    <row r="39" spans="1:6" x14ac:dyDescent="0.25">
      <c r="A39">
        <v>37</v>
      </c>
      <c r="B39" t="s">
        <v>31</v>
      </c>
    </row>
    <row r="40" spans="1:6" x14ac:dyDescent="0.25">
      <c r="A40">
        <v>38</v>
      </c>
      <c r="C40" t="s">
        <v>21</v>
      </c>
      <c r="D40">
        <v>0</v>
      </c>
    </row>
    <row r="41" spans="1:6" x14ac:dyDescent="0.25">
      <c r="A41">
        <v>39</v>
      </c>
      <c r="C41" t="s">
        <v>20</v>
      </c>
      <c r="D41">
        <v>1</v>
      </c>
    </row>
    <row r="42" spans="1:6" x14ac:dyDescent="0.25">
      <c r="A42">
        <v>40</v>
      </c>
      <c r="B42" t="s">
        <v>23</v>
      </c>
    </row>
    <row r="43" spans="1:6" x14ac:dyDescent="0.25">
      <c r="A43">
        <v>41</v>
      </c>
      <c r="C43" t="s">
        <v>21</v>
      </c>
      <c r="D43">
        <v>7</v>
      </c>
    </row>
    <row r="44" spans="1:6" x14ac:dyDescent="0.25">
      <c r="A44">
        <v>42</v>
      </c>
      <c r="C44" t="s">
        <v>20</v>
      </c>
      <c r="D44">
        <v>8</v>
      </c>
    </row>
    <row r="45" spans="1:6" x14ac:dyDescent="0.25">
      <c r="A45">
        <v>43</v>
      </c>
      <c r="B45" t="s">
        <v>24</v>
      </c>
    </row>
    <row r="46" spans="1:6" x14ac:dyDescent="0.25">
      <c r="A46">
        <v>44</v>
      </c>
      <c r="D46">
        <v>16</v>
      </c>
      <c r="E46">
        <v>18</v>
      </c>
      <c r="F46">
        <v>16</v>
      </c>
    </row>
    <row r="47" spans="1:6" x14ac:dyDescent="0.25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O150"/>
  <sheetViews>
    <sheetView topLeftCell="E1" workbookViewId="0">
      <selection activeCell="J21" sqref="J21"/>
    </sheetView>
  </sheetViews>
  <sheetFormatPr defaultRowHeight="15" x14ac:dyDescent="0.25"/>
  <cols>
    <col min="1" max="1" width="15.85546875" customWidth="1"/>
    <col min="2" max="2" width="8.28515625" bestFit="1" customWidth="1"/>
    <col min="3" max="3" width="25" customWidth="1"/>
    <col min="4" max="4" width="16.140625" customWidth="1"/>
    <col min="7" max="7" width="38" customWidth="1"/>
    <col min="8" max="8" width="10.28515625" hidden="1" customWidth="1"/>
    <col min="9" max="9" width="11" customWidth="1"/>
    <col min="10" max="10" width="23.7109375" customWidth="1"/>
    <col min="13" max="13" width="11" customWidth="1"/>
    <col min="14" max="14" width="23.85546875" customWidth="1"/>
  </cols>
  <sheetData>
    <row r="3" spans="1:15" x14ac:dyDescent="0.25">
      <c r="A3" s="13" t="s">
        <v>181</v>
      </c>
      <c r="B3" s="13" t="s">
        <v>138</v>
      </c>
      <c r="C3" s="14" t="s">
        <v>141</v>
      </c>
      <c r="D3" s="15" t="s">
        <v>142</v>
      </c>
      <c r="F3" s="5" t="s">
        <v>179</v>
      </c>
      <c r="G3" s="6" t="s">
        <v>166</v>
      </c>
      <c r="H3" s="6" t="s">
        <v>165</v>
      </c>
      <c r="I3" s="6" t="s">
        <v>165</v>
      </c>
      <c r="J3" s="68" t="s">
        <v>180</v>
      </c>
      <c r="M3" s="66"/>
      <c r="N3" s="66"/>
      <c r="O3" s="66"/>
    </row>
    <row r="4" spans="1:15" x14ac:dyDescent="0.25">
      <c r="A4" s="16" t="s">
        <v>43</v>
      </c>
      <c r="B4" s="16"/>
      <c r="C4" s="17"/>
      <c r="D4" s="18"/>
      <c r="F4" s="7">
        <v>228</v>
      </c>
      <c r="G4" s="8" t="s">
        <v>499</v>
      </c>
      <c r="H4" s="8" t="s">
        <v>145</v>
      </c>
      <c r="I4" s="8">
        <v>0</v>
      </c>
      <c r="J4" s="69" t="s">
        <v>167</v>
      </c>
      <c r="K4">
        <f>I4+F4</f>
        <v>228</v>
      </c>
      <c r="M4" s="10"/>
      <c r="N4" s="10"/>
      <c r="O4" s="10"/>
    </row>
    <row r="5" spans="1:15" x14ac:dyDescent="0.25">
      <c r="A5" s="19"/>
      <c r="B5" s="19" t="s">
        <v>50</v>
      </c>
      <c r="C5" s="20" t="s">
        <v>51</v>
      </c>
      <c r="D5" s="21">
        <f>_xlfn.IFS(B5="uint32_t",4,B5="int",4,B5="float",4,B5="bool",2,B5="int32_t",4)</f>
        <v>4</v>
      </c>
      <c r="F5" s="9">
        <v>76</v>
      </c>
      <c r="G5" s="10" t="s">
        <v>146</v>
      </c>
      <c r="H5" s="10" t="s">
        <v>147</v>
      </c>
      <c r="I5" s="10">
        <v>300</v>
      </c>
      <c r="J5" s="70" t="s">
        <v>169</v>
      </c>
      <c r="K5">
        <f t="shared" ref="K5:K6" si="0">I5+F5</f>
        <v>376</v>
      </c>
      <c r="L5">
        <f>I5-K4</f>
        <v>72</v>
      </c>
      <c r="M5" s="10"/>
      <c r="N5" s="10"/>
      <c r="O5" s="10"/>
    </row>
    <row r="6" spans="1:15" x14ac:dyDescent="0.25">
      <c r="A6" s="16"/>
      <c r="B6" s="19" t="s">
        <v>50</v>
      </c>
      <c r="C6" s="20" t="s">
        <v>54</v>
      </c>
      <c r="D6" s="21">
        <f t="shared" ref="D6:D14" si="1">_xlfn.IFS(B6="uint32_t",4,B6="int",4,B6="float",4,B6="bool",2,B6="int32_t",4)</f>
        <v>4</v>
      </c>
      <c r="F6" s="7">
        <v>84</v>
      </c>
      <c r="G6" s="8" t="s">
        <v>150</v>
      </c>
      <c r="H6" s="8" t="s">
        <v>151</v>
      </c>
      <c r="I6" s="8">
        <v>500</v>
      </c>
      <c r="J6" s="69" t="s">
        <v>175</v>
      </c>
      <c r="K6">
        <f t="shared" si="0"/>
        <v>584</v>
      </c>
      <c r="L6">
        <f t="shared" ref="L6" si="2">I6-K5</f>
        <v>124</v>
      </c>
      <c r="M6" s="10"/>
      <c r="N6" s="10"/>
      <c r="O6" s="10"/>
    </row>
    <row r="7" spans="1:15" x14ac:dyDescent="0.25">
      <c r="A7" s="19"/>
      <c r="B7" s="16" t="s">
        <v>52</v>
      </c>
      <c r="C7" s="17" t="s">
        <v>53</v>
      </c>
      <c r="D7" s="18">
        <f t="shared" si="1"/>
        <v>4</v>
      </c>
      <c r="F7" s="9">
        <v>120</v>
      </c>
      <c r="G7" s="10" t="s">
        <v>148</v>
      </c>
      <c r="H7" s="10" t="s">
        <v>149</v>
      </c>
      <c r="I7" s="10">
        <v>600</v>
      </c>
      <c r="J7" s="70" t="s">
        <v>168</v>
      </c>
      <c r="K7">
        <f t="shared" ref="K7:K17" si="3">I7+F7</f>
        <v>720</v>
      </c>
      <c r="L7">
        <f t="shared" ref="L7:L17" si="4">I7-K6</f>
        <v>16</v>
      </c>
      <c r="M7" s="10"/>
      <c r="N7" s="10"/>
      <c r="O7" s="10"/>
    </row>
    <row r="8" spans="1:15" x14ac:dyDescent="0.25">
      <c r="B8" s="16" t="s">
        <v>52</v>
      </c>
      <c r="C8" s="17" t="s">
        <v>55</v>
      </c>
      <c r="D8" s="18">
        <f t="shared" si="1"/>
        <v>4</v>
      </c>
      <c r="F8" s="7">
        <v>96</v>
      </c>
      <c r="G8" s="8" t="s">
        <v>154</v>
      </c>
      <c r="H8" s="8" t="s">
        <v>155</v>
      </c>
      <c r="I8" s="8">
        <v>750</v>
      </c>
      <c r="J8" s="69" t="s">
        <v>177</v>
      </c>
      <c r="K8">
        <f t="shared" si="3"/>
        <v>846</v>
      </c>
      <c r="L8">
        <f t="shared" si="4"/>
        <v>30</v>
      </c>
      <c r="M8" s="10"/>
      <c r="N8" s="10"/>
      <c r="O8" s="10"/>
    </row>
    <row r="9" spans="1:15" x14ac:dyDescent="0.25">
      <c r="A9" s="19"/>
      <c r="B9" s="19" t="s">
        <v>50</v>
      </c>
      <c r="C9" s="20" t="s">
        <v>56</v>
      </c>
      <c r="D9" s="21">
        <f t="shared" si="1"/>
        <v>4</v>
      </c>
      <c r="F9" s="9">
        <v>120</v>
      </c>
      <c r="G9" s="10" t="s">
        <v>500</v>
      </c>
      <c r="H9" s="10" t="s">
        <v>156</v>
      </c>
      <c r="I9" s="10">
        <v>900</v>
      </c>
      <c r="J9" s="70" t="s">
        <v>170</v>
      </c>
      <c r="K9">
        <f t="shared" si="3"/>
        <v>1020</v>
      </c>
      <c r="L9">
        <f t="shared" si="4"/>
        <v>54</v>
      </c>
      <c r="M9" s="10"/>
      <c r="N9" s="10"/>
      <c r="O9" s="10"/>
    </row>
    <row r="10" spans="1:15" x14ac:dyDescent="0.25">
      <c r="A10" s="16"/>
      <c r="B10" s="16" t="s">
        <v>52</v>
      </c>
      <c r="C10" s="17" t="s">
        <v>57</v>
      </c>
      <c r="D10" s="18">
        <f t="shared" si="1"/>
        <v>4</v>
      </c>
      <c r="F10" s="7">
        <v>112</v>
      </c>
      <c r="G10" s="8" t="s">
        <v>152</v>
      </c>
      <c r="H10" s="8" t="s">
        <v>153</v>
      </c>
      <c r="I10" s="8">
        <v>1100</v>
      </c>
      <c r="J10" s="69" t="s">
        <v>176</v>
      </c>
      <c r="K10">
        <f t="shared" si="3"/>
        <v>1212</v>
      </c>
      <c r="L10">
        <f t="shared" si="4"/>
        <v>80</v>
      </c>
      <c r="M10" s="10"/>
      <c r="N10" s="10"/>
      <c r="O10" s="10"/>
    </row>
    <row r="11" spans="1:15" x14ac:dyDescent="0.25">
      <c r="A11" s="16"/>
      <c r="B11" s="19" t="s">
        <v>52</v>
      </c>
      <c r="C11" s="20" t="s">
        <v>58</v>
      </c>
      <c r="D11" s="21">
        <f t="shared" si="1"/>
        <v>4</v>
      </c>
      <c r="F11" s="9">
        <v>108</v>
      </c>
      <c r="G11" s="10" t="s">
        <v>501</v>
      </c>
      <c r="H11" s="10" t="s">
        <v>157</v>
      </c>
      <c r="I11" s="10">
        <v>1250</v>
      </c>
      <c r="J11" s="70" t="s">
        <v>178</v>
      </c>
      <c r="K11">
        <f t="shared" si="3"/>
        <v>1358</v>
      </c>
      <c r="L11">
        <f t="shared" si="4"/>
        <v>38</v>
      </c>
      <c r="M11" s="10"/>
      <c r="N11" s="10"/>
      <c r="O11" s="10"/>
    </row>
    <row r="12" spans="1:15" x14ac:dyDescent="0.25">
      <c r="A12" s="19"/>
      <c r="B12" s="16" t="s">
        <v>59</v>
      </c>
      <c r="C12" s="17" t="s">
        <v>189</v>
      </c>
      <c r="D12" s="21">
        <f t="shared" si="1"/>
        <v>4</v>
      </c>
      <c r="F12" s="7">
        <v>52</v>
      </c>
      <c r="G12" s="8" t="s">
        <v>508</v>
      </c>
      <c r="H12" s="8" t="s">
        <v>158</v>
      </c>
      <c r="I12" s="8">
        <v>1400</v>
      </c>
      <c r="J12" s="69" t="s">
        <v>171</v>
      </c>
      <c r="K12">
        <f t="shared" si="3"/>
        <v>1452</v>
      </c>
      <c r="L12">
        <f t="shared" si="4"/>
        <v>42</v>
      </c>
      <c r="M12" s="10"/>
      <c r="N12" s="10"/>
      <c r="O12" s="10"/>
    </row>
    <row r="13" spans="1:15" x14ac:dyDescent="0.25">
      <c r="A13" s="19"/>
      <c r="B13" s="16" t="s">
        <v>59</v>
      </c>
      <c r="C13" s="20" t="s">
        <v>190</v>
      </c>
      <c r="D13" s="21">
        <f t="shared" si="1"/>
        <v>4</v>
      </c>
      <c r="F13" s="9">
        <v>16</v>
      </c>
      <c r="G13" s="10" t="s">
        <v>159</v>
      </c>
      <c r="H13" s="10" t="s">
        <v>160</v>
      </c>
      <c r="I13" s="10">
        <v>1500</v>
      </c>
      <c r="J13" s="70" t="s">
        <v>172</v>
      </c>
      <c r="K13">
        <f t="shared" si="3"/>
        <v>1516</v>
      </c>
      <c r="L13">
        <f t="shared" si="4"/>
        <v>48</v>
      </c>
      <c r="M13" s="10"/>
      <c r="N13" s="10"/>
      <c r="O13" s="10"/>
    </row>
    <row r="14" spans="1:15" x14ac:dyDescent="0.25">
      <c r="A14" s="19"/>
      <c r="B14" s="19" t="s">
        <v>59</v>
      </c>
      <c r="C14" s="20" t="s">
        <v>191</v>
      </c>
      <c r="D14" s="21">
        <f t="shared" si="1"/>
        <v>4</v>
      </c>
      <c r="F14" s="9">
        <v>16</v>
      </c>
      <c r="G14" s="8" t="s">
        <v>161</v>
      </c>
      <c r="H14" s="8" t="s">
        <v>162</v>
      </c>
      <c r="I14" s="8">
        <v>1550</v>
      </c>
      <c r="J14" s="69" t="s">
        <v>173</v>
      </c>
      <c r="K14">
        <f t="shared" si="3"/>
        <v>1566</v>
      </c>
      <c r="L14">
        <f t="shared" si="4"/>
        <v>34</v>
      </c>
      <c r="M14" s="10"/>
      <c r="N14" s="10"/>
      <c r="O14" s="10"/>
    </row>
    <row r="15" spans="1:15" x14ac:dyDescent="0.25">
      <c r="A15" s="19"/>
      <c r="B15" s="16" t="s">
        <v>59</v>
      </c>
      <c r="C15" s="17" t="s">
        <v>192</v>
      </c>
      <c r="D15" s="21">
        <v>4</v>
      </c>
      <c r="F15" s="9">
        <v>16</v>
      </c>
      <c r="G15" s="10" t="s">
        <v>163</v>
      </c>
      <c r="H15" s="10" t="s">
        <v>164</v>
      </c>
      <c r="I15" s="10">
        <v>1600</v>
      </c>
      <c r="J15" s="70" t="s">
        <v>174</v>
      </c>
      <c r="K15">
        <f t="shared" si="3"/>
        <v>1616</v>
      </c>
      <c r="L15">
        <f t="shared" si="4"/>
        <v>34</v>
      </c>
      <c r="M15" s="67"/>
      <c r="N15" s="67"/>
      <c r="O15" s="67"/>
    </row>
    <row r="16" spans="1:15" x14ac:dyDescent="0.25">
      <c r="A16" s="19"/>
      <c r="B16" s="16"/>
      <c r="C16" s="17"/>
      <c r="D16" s="21"/>
      <c r="F16" s="9">
        <v>16</v>
      </c>
      <c r="G16" s="8" t="s">
        <v>497</v>
      </c>
      <c r="H16" s="8" t="s">
        <v>164</v>
      </c>
      <c r="I16" s="8">
        <v>1650</v>
      </c>
      <c r="J16" s="69" t="s">
        <v>502</v>
      </c>
      <c r="K16">
        <f t="shared" si="3"/>
        <v>1666</v>
      </c>
      <c r="L16">
        <f t="shared" si="4"/>
        <v>34</v>
      </c>
      <c r="M16" s="10"/>
      <c r="N16" s="10"/>
      <c r="O16" s="10"/>
    </row>
    <row r="17" spans="1:15" x14ac:dyDescent="0.25">
      <c r="A17" s="19"/>
      <c r="B17" s="16"/>
      <c r="C17" s="17"/>
      <c r="D17" s="21"/>
      <c r="F17" s="9">
        <v>16</v>
      </c>
      <c r="G17" s="10" t="s">
        <v>498</v>
      </c>
      <c r="H17" s="10" t="s">
        <v>164</v>
      </c>
      <c r="I17" s="10">
        <v>1700</v>
      </c>
      <c r="J17" s="70" t="s">
        <v>503</v>
      </c>
      <c r="K17">
        <f t="shared" si="3"/>
        <v>1716</v>
      </c>
      <c r="L17">
        <f t="shared" si="4"/>
        <v>34</v>
      </c>
      <c r="M17" s="10"/>
      <c r="N17" s="10"/>
      <c r="O17" s="10"/>
    </row>
    <row r="21" spans="1:15" x14ac:dyDescent="0.25">
      <c r="A21" s="16"/>
      <c r="B21" s="16" t="s">
        <v>59</v>
      </c>
      <c r="C21" s="17" t="s">
        <v>64</v>
      </c>
      <c r="D21" s="18">
        <f t="shared" ref="D21" si="5">_xlfn.IFS(B21="uint32_t",4,B21="int",4,B21="float",4,B21="bool",2,B21="int32_t",4)</f>
        <v>4</v>
      </c>
    </row>
    <row r="22" spans="1:15" x14ac:dyDescent="0.25">
      <c r="A22" s="19"/>
      <c r="B22" s="19"/>
      <c r="C22" s="23" t="s">
        <v>182</v>
      </c>
      <c r="D22" s="21">
        <f>SUM(D21:D21)</f>
        <v>4</v>
      </c>
    </row>
    <row r="23" spans="1:15" x14ac:dyDescent="0.25">
      <c r="A23" s="16" t="s">
        <v>44</v>
      </c>
      <c r="B23" s="16"/>
      <c r="C23" s="17"/>
      <c r="D23" s="18"/>
    </row>
    <row r="24" spans="1:15" x14ac:dyDescent="0.25">
      <c r="A24" s="19"/>
      <c r="B24" s="19" t="s">
        <v>50</v>
      </c>
      <c r="C24" s="20" t="s">
        <v>65</v>
      </c>
      <c r="D24" s="21">
        <f>_xlfn.IFS(B24="uint32_t",4,B24="int",4,B24="float",4,B24="bool",2,B24="int32_t",4)</f>
        <v>4</v>
      </c>
    </row>
    <row r="25" spans="1:15" x14ac:dyDescent="0.25">
      <c r="A25" s="16"/>
      <c r="B25" s="16" t="s">
        <v>66</v>
      </c>
      <c r="C25" s="17" t="s">
        <v>67</v>
      </c>
      <c r="D25" s="18">
        <f t="shared" ref="D25:D61" si="6">_xlfn.IFS(B25="uint32_t",4,B25="int",4,B25="float",4,B25="bool",2,B25="int32_t",4)</f>
        <v>2</v>
      </c>
    </row>
    <row r="26" spans="1:15" x14ac:dyDescent="0.25">
      <c r="A26" s="19"/>
      <c r="B26" s="19" t="s">
        <v>50</v>
      </c>
      <c r="C26" s="20" t="s">
        <v>68</v>
      </c>
      <c r="D26" s="21">
        <f t="shared" si="6"/>
        <v>4</v>
      </c>
    </row>
    <row r="27" spans="1:15" x14ac:dyDescent="0.25">
      <c r="A27" s="16"/>
      <c r="B27" s="16" t="s">
        <v>59</v>
      </c>
      <c r="C27" s="17" t="s">
        <v>69</v>
      </c>
      <c r="D27" s="18">
        <f t="shared" si="6"/>
        <v>4</v>
      </c>
    </row>
    <row r="28" spans="1:15" x14ac:dyDescent="0.25">
      <c r="A28" s="19"/>
      <c r="B28" s="16" t="s">
        <v>52</v>
      </c>
      <c r="C28" s="25" t="s">
        <v>186</v>
      </c>
      <c r="D28" s="18">
        <f t="shared" si="6"/>
        <v>4</v>
      </c>
    </row>
    <row r="29" spans="1:15" x14ac:dyDescent="0.25">
      <c r="A29" s="16"/>
      <c r="B29" s="16" t="s">
        <v>50</v>
      </c>
      <c r="C29" s="17" t="s">
        <v>70</v>
      </c>
      <c r="D29" s="18">
        <f t="shared" si="6"/>
        <v>4</v>
      </c>
    </row>
    <row r="30" spans="1:15" x14ac:dyDescent="0.25">
      <c r="A30" s="19"/>
      <c r="B30" s="19" t="s">
        <v>66</v>
      </c>
      <c r="C30" s="20" t="s">
        <v>71</v>
      </c>
      <c r="D30" s="21">
        <f t="shared" si="6"/>
        <v>2</v>
      </c>
    </row>
    <row r="31" spans="1:15" x14ac:dyDescent="0.25">
      <c r="A31" s="16"/>
      <c r="B31" s="16" t="s">
        <v>50</v>
      </c>
      <c r="C31" s="17" t="s">
        <v>72</v>
      </c>
      <c r="D31" s="18">
        <f t="shared" si="6"/>
        <v>4</v>
      </c>
    </row>
    <row r="32" spans="1:15" x14ac:dyDescent="0.25">
      <c r="A32" s="19"/>
      <c r="B32" s="19" t="s">
        <v>59</v>
      </c>
      <c r="C32" s="20" t="s">
        <v>73</v>
      </c>
      <c r="D32" s="21">
        <f t="shared" si="6"/>
        <v>4</v>
      </c>
    </row>
    <row r="33" spans="1:4" x14ac:dyDescent="0.25">
      <c r="A33" s="16"/>
      <c r="B33" s="16" t="s">
        <v>50</v>
      </c>
      <c r="C33" s="17" t="s">
        <v>74</v>
      </c>
      <c r="D33" s="18">
        <f t="shared" si="6"/>
        <v>4</v>
      </c>
    </row>
    <row r="34" spans="1:4" x14ac:dyDescent="0.25">
      <c r="A34" s="19"/>
      <c r="B34" s="19" t="s">
        <v>50</v>
      </c>
      <c r="C34" s="20" t="s">
        <v>75</v>
      </c>
      <c r="D34" s="21">
        <f t="shared" si="6"/>
        <v>4</v>
      </c>
    </row>
    <row r="35" spans="1:4" x14ac:dyDescent="0.25">
      <c r="A35" s="16"/>
      <c r="B35" s="16"/>
      <c r="C35" s="17"/>
      <c r="D35" s="18"/>
    </row>
    <row r="36" spans="1:4" x14ac:dyDescent="0.25">
      <c r="A36" s="19"/>
      <c r="B36" s="19" t="s">
        <v>50</v>
      </c>
      <c r="C36" s="20" t="s">
        <v>76</v>
      </c>
      <c r="D36" s="21">
        <f t="shared" si="6"/>
        <v>4</v>
      </c>
    </row>
    <row r="37" spans="1:4" x14ac:dyDescent="0.25">
      <c r="A37" s="16"/>
      <c r="B37" s="16" t="s">
        <v>66</v>
      </c>
      <c r="C37" s="17" t="s">
        <v>77</v>
      </c>
      <c r="D37" s="18">
        <f t="shared" si="6"/>
        <v>2</v>
      </c>
    </row>
    <row r="38" spans="1:4" x14ac:dyDescent="0.25">
      <c r="A38" s="19"/>
      <c r="B38" s="19" t="s">
        <v>50</v>
      </c>
      <c r="C38" s="20" t="s">
        <v>78</v>
      </c>
      <c r="D38" s="21">
        <f t="shared" si="6"/>
        <v>4</v>
      </c>
    </row>
    <row r="39" spans="1:4" x14ac:dyDescent="0.25">
      <c r="A39" s="16"/>
      <c r="B39" s="16" t="s">
        <v>59</v>
      </c>
      <c r="C39" s="17" t="s">
        <v>79</v>
      </c>
      <c r="D39" s="18">
        <f t="shared" si="6"/>
        <v>4</v>
      </c>
    </row>
    <row r="40" spans="1:4" x14ac:dyDescent="0.25">
      <c r="A40" s="19"/>
      <c r="B40" s="19" t="s">
        <v>50</v>
      </c>
      <c r="C40" s="20" t="s">
        <v>80</v>
      </c>
      <c r="D40" s="21">
        <f t="shared" si="6"/>
        <v>4</v>
      </c>
    </row>
    <row r="41" spans="1:4" x14ac:dyDescent="0.25">
      <c r="A41" s="16"/>
      <c r="B41" s="16" t="s">
        <v>50</v>
      </c>
      <c r="C41" s="17" t="s">
        <v>81</v>
      </c>
      <c r="D41" s="18">
        <f t="shared" si="6"/>
        <v>4</v>
      </c>
    </row>
    <row r="42" spans="1:4" x14ac:dyDescent="0.25">
      <c r="A42" s="19"/>
      <c r="B42" s="19"/>
      <c r="C42" s="20"/>
      <c r="D42" s="21"/>
    </row>
    <row r="43" spans="1:4" x14ac:dyDescent="0.25">
      <c r="A43" s="16"/>
      <c r="B43" s="16" t="s">
        <v>50</v>
      </c>
      <c r="C43" s="17" t="s">
        <v>82</v>
      </c>
      <c r="D43" s="18">
        <f t="shared" si="6"/>
        <v>4</v>
      </c>
    </row>
    <row r="44" spans="1:4" x14ac:dyDescent="0.25">
      <c r="A44" s="19"/>
      <c r="B44" s="19" t="s">
        <v>66</v>
      </c>
      <c r="C44" s="20" t="s">
        <v>83</v>
      </c>
      <c r="D44" s="21">
        <f t="shared" si="6"/>
        <v>2</v>
      </c>
    </row>
    <row r="45" spans="1:4" x14ac:dyDescent="0.25">
      <c r="A45" s="16"/>
      <c r="B45" s="16" t="s">
        <v>50</v>
      </c>
      <c r="C45" s="17" t="s">
        <v>84</v>
      </c>
      <c r="D45" s="18">
        <f t="shared" si="6"/>
        <v>4</v>
      </c>
    </row>
    <row r="46" spans="1:4" x14ac:dyDescent="0.25">
      <c r="A46" s="19"/>
      <c r="B46" s="19" t="s">
        <v>59</v>
      </c>
      <c r="C46" s="20" t="s">
        <v>85</v>
      </c>
      <c r="D46" s="21">
        <f t="shared" si="6"/>
        <v>4</v>
      </c>
    </row>
    <row r="47" spans="1:4" x14ac:dyDescent="0.25">
      <c r="A47" s="16"/>
      <c r="B47" s="16" t="s">
        <v>50</v>
      </c>
      <c r="C47" s="17" t="s">
        <v>86</v>
      </c>
      <c r="D47" s="18">
        <f t="shared" si="6"/>
        <v>4</v>
      </c>
    </row>
    <row r="48" spans="1:4" x14ac:dyDescent="0.25">
      <c r="A48" s="19"/>
      <c r="B48" s="19" t="s">
        <v>50</v>
      </c>
      <c r="C48" s="20" t="s">
        <v>87</v>
      </c>
      <c r="D48" s="21">
        <f t="shared" si="6"/>
        <v>4</v>
      </c>
    </row>
    <row r="49" spans="1:4" x14ac:dyDescent="0.25">
      <c r="A49" s="16"/>
      <c r="B49" s="16"/>
      <c r="C49" s="17"/>
      <c r="D49" s="18"/>
    </row>
    <row r="50" spans="1:4" x14ac:dyDescent="0.25">
      <c r="A50" s="19"/>
      <c r="B50" s="19" t="s">
        <v>60</v>
      </c>
      <c r="C50" s="20" t="s">
        <v>88</v>
      </c>
      <c r="D50" s="21">
        <f t="shared" si="6"/>
        <v>4</v>
      </c>
    </row>
    <row r="51" spans="1:4" x14ac:dyDescent="0.25">
      <c r="A51" s="16"/>
      <c r="B51" s="16" t="s">
        <v>50</v>
      </c>
      <c r="C51" s="17" t="s">
        <v>89</v>
      </c>
      <c r="D51" s="18">
        <f t="shared" si="6"/>
        <v>4</v>
      </c>
    </row>
    <row r="52" spans="1:4" x14ac:dyDescent="0.25">
      <c r="A52" s="19"/>
      <c r="B52" s="19" t="s">
        <v>60</v>
      </c>
      <c r="C52" s="20" t="s">
        <v>90</v>
      </c>
      <c r="D52" s="21">
        <f t="shared" si="6"/>
        <v>4</v>
      </c>
    </row>
    <row r="53" spans="1:4" x14ac:dyDescent="0.25">
      <c r="A53" s="16"/>
      <c r="B53" s="16" t="s">
        <v>50</v>
      </c>
      <c r="C53" s="17" t="s">
        <v>91</v>
      </c>
      <c r="D53" s="18">
        <f t="shared" si="6"/>
        <v>4</v>
      </c>
    </row>
    <row r="54" spans="1:4" x14ac:dyDescent="0.25">
      <c r="A54" s="19"/>
      <c r="B54" s="19"/>
      <c r="C54" s="23" t="s">
        <v>182</v>
      </c>
      <c r="D54" s="21">
        <f>SUM(D24:D53)</f>
        <v>100</v>
      </c>
    </row>
    <row r="55" spans="1:4" x14ac:dyDescent="0.25">
      <c r="A55" s="16" t="s">
        <v>45</v>
      </c>
      <c r="B55" s="16"/>
      <c r="C55" s="17"/>
      <c r="D55" s="18"/>
    </row>
    <row r="56" spans="1:4" x14ac:dyDescent="0.25">
      <c r="A56" s="19"/>
      <c r="B56" s="19" t="s">
        <v>60</v>
      </c>
      <c r="C56" s="20" t="s">
        <v>61</v>
      </c>
      <c r="D56" s="21">
        <f t="shared" si="6"/>
        <v>4</v>
      </c>
    </row>
    <row r="57" spans="1:4" x14ac:dyDescent="0.25">
      <c r="A57" s="16"/>
      <c r="B57" s="16" t="s">
        <v>50</v>
      </c>
      <c r="C57" s="17" t="s">
        <v>62</v>
      </c>
      <c r="D57" s="18">
        <f t="shared" si="6"/>
        <v>4</v>
      </c>
    </row>
    <row r="58" spans="1:4" x14ac:dyDescent="0.25">
      <c r="A58" s="19"/>
      <c r="B58" s="19" t="s">
        <v>60</v>
      </c>
      <c r="C58" s="20" t="s">
        <v>92</v>
      </c>
      <c r="D58" s="21">
        <f t="shared" si="6"/>
        <v>4</v>
      </c>
    </row>
    <row r="59" spans="1:4" x14ac:dyDescent="0.25">
      <c r="A59" s="16"/>
      <c r="B59" s="16" t="s">
        <v>50</v>
      </c>
      <c r="C59" s="17" t="s">
        <v>93</v>
      </c>
      <c r="D59" s="18">
        <f t="shared" si="6"/>
        <v>4</v>
      </c>
    </row>
    <row r="60" spans="1:4" x14ac:dyDescent="0.25">
      <c r="A60" s="19"/>
      <c r="B60" s="19" t="s">
        <v>60</v>
      </c>
      <c r="C60" s="20" t="s">
        <v>63</v>
      </c>
      <c r="D60" s="21">
        <f t="shared" si="6"/>
        <v>4</v>
      </c>
    </row>
    <row r="61" spans="1:4" x14ac:dyDescent="0.25">
      <c r="A61" s="16"/>
      <c r="B61" s="16" t="s">
        <v>60</v>
      </c>
      <c r="C61" s="17" t="s">
        <v>94</v>
      </c>
      <c r="D61" s="18">
        <f t="shared" si="6"/>
        <v>4</v>
      </c>
    </row>
    <row r="62" spans="1:4" x14ac:dyDescent="0.25">
      <c r="A62" s="19"/>
      <c r="B62" s="19"/>
      <c r="C62" s="23" t="s">
        <v>182</v>
      </c>
      <c r="D62" s="21">
        <f>SUM(D56:D61)</f>
        <v>24</v>
      </c>
    </row>
    <row r="63" spans="1:4" x14ac:dyDescent="0.25">
      <c r="A63" s="16" t="s">
        <v>143</v>
      </c>
      <c r="B63" s="16"/>
      <c r="C63" s="17"/>
      <c r="D63" s="18"/>
    </row>
    <row r="64" spans="1:4" x14ac:dyDescent="0.25">
      <c r="A64" s="19"/>
      <c r="B64" s="19" t="s">
        <v>60</v>
      </c>
      <c r="C64" s="20" t="s">
        <v>61</v>
      </c>
      <c r="D64" s="21">
        <f>_xlfn.IFS(B64="uint32_t",4,B64="int",4,B64="float",4,B64="bool",2,B64="int32_t",4)</f>
        <v>4</v>
      </c>
    </row>
    <row r="65" spans="1:4" x14ac:dyDescent="0.25">
      <c r="A65" s="16"/>
      <c r="B65" s="16" t="s">
        <v>50</v>
      </c>
      <c r="C65" s="17" t="s">
        <v>62</v>
      </c>
      <c r="D65" s="18">
        <f t="shared" ref="D65:D128" si="7">_xlfn.IFS(B65="uint32_t",4,B65="int",4,B65="float",4,B65="bool",2,B65="int32_t",4)</f>
        <v>4</v>
      </c>
    </row>
    <row r="66" spans="1:4" x14ac:dyDescent="0.25">
      <c r="A66" s="19"/>
      <c r="B66" s="19" t="s">
        <v>60</v>
      </c>
      <c r="C66" s="20" t="s">
        <v>53</v>
      </c>
      <c r="D66" s="21">
        <f t="shared" si="7"/>
        <v>4</v>
      </c>
    </row>
    <row r="67" spans="1:4" x14ac:dyDescent="0.25">
      <c r="A67" s="16"/>
      <c r="B67" s="16" t="s">
        <v>60</v>
      </c>
      <c r="C67" s="17" t="s">
        <v>55</v>
      </c>
      <c r="D67" s="18">
        <f t="shared" si="7"/>
        <v>4</v>
      </c>
    </row>
    <row r="68" spans="1:4" x14ac:dyDescent="0.25">
      <c r="A68" s="19"/>
      <c r="B68" s="19" t="s">
        <v>60</v>
      </c>
      <c r="C68" s="20" t="s">
        <v>63</v>
      </c>
      <c r="D68" s="21">
        <f t="shared" si="7"/>
        <v>4</v>
      </c>
    </row>
    <row r="69" spans="1:4" x14ac:dyDescent="0.25">
      <c r="A69" s="16"/>
      <c r="B69" s="16" t="s">
        <v>60</v>
      </c>
      <c r="C69" s="17" t="s">
        <v>57</v>
      </c>
      <c r="D69" s="18">
        <f t="shared" si="7"/>
        <v>4</v>
      </c>
    </row>
    <row r="70" spans="1:4" x14ac:dyDescent="0.25">
      <c r="A70" s="19"/>
      <c r="B70" s="19" t="s">
        <v>60</v>
      </c>
      <c r="C70" s="20" t="s">
        <v>58</v>
      </c>
      <c r="D70" s="21">
        <f t="shared" si="7"/>
        <v>4</v>
      </c>
    </row>
    <row r="71" spans="1:4" x14ac:dyDescent="0.25">
      <c r="A71" s="16"/>
      <c r="B71" s="16" t="s">
        <v>50</v>
      </c>
      <c r="C71" s="17" t="s">
        <v>54</v>
      </c>
      <c r="D71" s="18">
        <f t="shared" si="7"/>
        <v>4</v>
      </c>
    </row>
    <row r="72" spans="1:4" x14ac:dyDescent="0.25">
      <c r="A72" s="19"/>
      <c r="B72" s="19" t="s">
        <v>50</v>
      </c>
      <c r="C72" s="20" t="s">
        <v>56</v>
      </c>
      <c r="D72" s="21">
        <f t="shared" si="7"/>
        <v>4</v>
      </c>
    </row>
    <row r="73" spans="1:4" x14ac:dyDescent="0.25">
      <c r="A73" s="16"/>
      <c r="B73" s="16" t="s">
        <v>60</v>
      </c>
      <c r="C73" s="17" t="s">
        <v>97</v>
      </c>
      <c r="D73" s="18">
        <f t="shared" si="7"/>
        <v>4</v>
      </c>
    </row>
    <row r="74" spans="1:4" x14ac:dyDescent="0.25">
      <c r="A74" s="19"/>
      <c r="B74" s="19" t="s">
        <v>60</v>
      </c>
      <c r="C74" s="20" t="s">
        <v>98</v>
      </c>
      <c r="D74" s="21">
        <f t="shared" si="7"/>
        <v>4</v>
      </c>
    </row>
    <row r="75" spans="1:4" x14ac:dyDescent="0.25">
      <c r="A75" s="16"/>
      <c r="B75" s="16" t="s">
        <v>60</v>
      </c>
      <c r="C75" s="17" t="s">
        <v>99</v>
      </c>
      <c r="D75" s="18">
        <f t="shared" si="7"/>
        <v>4</v>
      </c>
    </row>
    <row r="76" spans="1:4" x14ac:dyDescent="0.25">
      <c r="A76" s="19"/>
      <c r="B76" s="19" t="s">
        <v>60</v>
      </c>
      <c r="C76" s="20" t="s">
        <v>100</v>
      </c>
      <c r="D76" s="21">
        <f t="shared" si="7"/>
        <v>4</v>
      </c>
    </row>
    <row r="77" spans="1:4" x14ac:dyDescent="0.25">
      <c r="A77" s="16"/>
      <c r="B77" s="16"/>
      <c r="C77" s="17"/>
      <c r="D77" s="18"/>
    </row>
    <row r="78" spans="1:4" x14ac:dyDescent="0.25">
      <c r="A78" s="19"/>
      <c r="B78" s="19" t="s">
        <v>59</v>
      </c>
      <c r="C78" s="20" t="s">
        <v>101</v>
      </c>
      <c r="D78" s="21">
        <f t="shared" si="7"/>
        <v>4</v>
      </c>
    </row>
    <row r="79" spans="1:4" x14ac:dyDescent="0.25">
      <c r="A79" s="16"/>
      <c r="B79" s="16" t="s">
        <v>59</v>
      </c>
      <c r="C79" s="17" t="s">
        <v>102</v>
      </c>
      <c r="D79" s="18">
        <f t="shared" si="7"/>
        <v>4</v>
      </c>
    </row>
    <row r="80" spans="1:4" x14ac:dyDescent="0.25">
      <c r="A80" s="19"/>
      <c r="B80" s="19" t="s">
        <v>59</v>
      </c>
      <c r="C80" s="20" t="s">
        <v>103</v>
      </c>
      <c r="D80" s="21">
        <f t="shared" si="7"/>
        <v>4</v>
      </c>
    </row>
    <row r="81" spans="1:4" x14ac:dyDescent="0.25">
      <c r="A81" s="16"/>
      <c r="B81" s="16" t="s">
        <v>59</v>
      </c>
      <c r="C81" s="17" t="s">
        <v>104</v>
      </c>
      <c r="D81" s="18">
        <f t="shared" si="7"/>
        <v>4</v>
      </c>
    </row>
    <row r="82" spans="1:4" x14ac:dyDescent="0.25">
      <c r="A82" s="19"/>
      <c r="B82" s="19" t="s">
        <v>59</v>
      </c>
      <c r="C82" s="20" t="s">
        <v>105</v>
      </c>
      <c r="D82" s="21">
        <f t="shared" si="7"/>
        <v>4</v>
      </c>
    </row>
    <row r="83" spans="1:4" x14ac:dyDescent="0.25">
      <c r="A83" s="16"/>
      <c r="B83" s="16" t="s">
        <v>59</v>
      </c>
      <c r="C83" s="17" t="s">
        <v>106</v>
      </c>
      <c r="D83" s="18">
        <f t="shared" si="7"/>
        <v>4</v>
      </c>
    </row>
    <row r="84" spans="1:4" x14ac:dyDescent="0.25">
      <c r="A84" s="19"/>
      <c r="B84" s="19" t="s">
        <v>59</v>
      </c>
      <c r="C84" s="20" t="s">
        <v>107</v>
      </c>
      <c r="D84" s="21">
        <f t="shared" si="7"/>
        <v>4</v>
      </c>
    </row>
    <row r="85" spans="1:4" x14ac:dyDescent="0.25">
      <c r="A85" s="16"/>
      <c r="B85" s="16" t="s">
        <v>59</v>
      </c>
      <c r="C85" s="17" t="s">
        <v>108</v>
      </c>
      <c r="D85" s="18">
        <f t="shared" si="7"/>
        <v>4</v>
      </c>
    </row>
    <row r="86" spans="1:4" x14ac:dyDescent="0.25">
      <c r="A86" s="19"/>
      <c r="B86" s="19" t="s">
        <v>50</v>
      </c>
      <c r="C86" s="20" t="s">
        <v>51</v>
      </c>
      <c r="D86" s="21">
        <f t="shared" si="7"/>
        <v>4</v>
      </c>
    </row>
    <row r="87" spans="1:4" x14ac:dyDescent="0.25">
      <c r="A87" s="16"/>
      <c r="B87" s="16" t="s">
        <v>50</v>
      </c>
      <c r="C87" s="17" t="s">
        <v>109</v>
      </c>
      <c r="D87" s="18">
        <f t="shared" si="7"/>
        <v>4</v>
      </c>
    </row>
    <row r="88" spans="1:4" x14ac:dyDescent="0.25">
      <c r="A88" s="19"/>
      <c r="B88" s="19"/>
      <c r="C88" s="23" t="s">
        <v>182</v>
      </c>
      <c r="D88" s="21">
        <f>SUM(D64:D87)</f>
        <v>92</v>
      </c>
    </row>
    <row r="89" spans="1:4" x14ac:dyDescent="0.25">
      <c r="A89" s="16" t="s">
        <v>46</v>
      </c>
      <c r="B89" s="16"/>
      <c r="C89" s="17"/>
      <c r="D89" s="18"/>
    </row>
    <row r="90" spans="1:4" x14ac:dyDescent="0.25">
      <c r="A90" s="19"/>
      <c r="B90" s="19" t="s">
        <v>60</v>
      </c>
      <c r="C90" s="20" t="s">
        <v>61</v>
      </c>
      <c r="D90" s="21">
        <f t="shared" si="7"/>
        <v>4</v>
      </c>
    </row>
    <row r="91" spans="1:4" x14ac:dyDescent="0.25">
      <c r="A91" s="16"/>
      <c r="B91" s="16" t="s">
        <v>50</v>
      </c>
      <c r="C91" s="17" t="s">
        <v>62</v>
      </c>
      <c r="D91" s="18">
        <f t="shared" si="7"/>
        <v>4</v>
      </c>
    </row>
    <row r="92" spans="1:4" x14ac:dyDescent="0.25">
      <c r="A92" s="19"/>
      <c r="B92" s="19" t="s">
        <v>60</v>
      </c>
      <c r="C92" s="20" t="s">
        <v>53</v>
      </c>
      <c r="D92" s="21">
        <f t="shared" si="7"/>
        <v>4</v>
      </c>
    </row>
    <row r="93" spans="1:4" x14ac:dyDescent="0.25">
      <c r="A93" s="16"/>
      <c r="B93" s="16" t="s">
        <v>50</v>
      </c>
      <c r="C93" s="17" t="s">
        <v>54</v>
      </c>
      <c r="D93" s="18">
        <f t="shared" si="7"/>
        <v>4</v>
      </c>
    </row>
    <row r="94" spans="1:4" x14ac:dyDescent="0.25">
      <c r="A94" s="19"/>
      <c r="B94" s="19" t="s">
        <v>50</v>
      </c>
      <c r="C94" s="20" t="s">
        <v>55</v>
      </c>
      <c r="D94" s="21">
        <f t="shared" si="7"/>
        <v>4</v>
      </c>
    </row>
    <row r="95" spans="1:4" x14ac:dyDescent="0.25">
      <c r="A95" s="16"/>
      <c r="B95" s="16" t="s">
        <v>50</v>
      </c>
      <c r="C95" s="17" t="s">
        <v>56</v>
      </c>
      <c r="D95" s="18">
        <f t="shared" si="7"/>
        <v>4</v>
      </c>
    </row>
    <row r="96" spans="1:4" x14ac:dyDescent="0.25">
      <c r="A96" s="19"/>
      <c r="B96" s="19" t="s">
        <v>60</v>
      </c>
      <c r="C96" s="20" t="s">
        <v>63</v>
      </c>
      <c r="D96" s="21">
        <f t="shared" si="7"/>
        <v>4</v>
      </c>
    </row>
    <row r="97" spans="1:4" x14ac:dyDescent="0.25">
      <c r="A97" s="16"/>
      <c r="B97" s="16" t="s">
        <v>60</v>
      </c>
      <c r="C97" s="17" t="s">
        <v>110</v>
      </c>
      <c r="D97" s="18">
        <f t="shared" si="7"/>
        <v>4</v>
      </c>
    </row>
    <row r="98" spans="1:4" x14ac:dyDescent="0.25">
      <c r="A98" s="19"/>
      <c r="B98" s="19" t="s">
        <v>60</v>
      </c>
      <c r="C98" s="20" t="s">
        <v>111</v>
      </c>
      <c r="D98" s="21">
        <f t="shared" si="7"/>
        <v>4</v>
      </c>
    </row>
    <row r="99" spans="1:4" x14ac:dyDescent="0.25">
      <c r="A99" s="16"/>
      <c r="B99" s="16" t="s">
        <v>50</v>
      </c>
      <c r="C99" s="17" t="s">
        <v>51</v>
      </c>
      <c r="D99" s="18">
        <f t="shared" si="7"/>
        <v>4</v>
      </c>
    </row>
    <row r="100" spans="1:4" x14ac:dyDescent="0.25">
      <c r="A100" s="19"/>
      <c r="B100" s="19" t="s">
        <v>50</v>
      </c>
      <c r="C100" s="20" t="s">
        <v>112</v>
      </c>
      <c r="D100" s="21">
        <f t="shared" si="7"/>
        <v>4</v>
      </c>
    </row>
    <row r="101" spans="1:4" x14ac:dyDescent="0.25">
      <c r="A101" s="16"/>
      <c r="B101" s="16" t="s">
        <v>60</v>
      </c>
      <c r="C101" s="17" t="s">
        <v>57</v>
      </c>
      <c r="D101" s="18">
        <f t="shared" si="7"/>
        <v>4</v>
      </c>
    </row>
    <row r="102" spans="1:4" x14ac:dyDescent="0.25">
      <c r="A102" s="19"/>
      <c r="B102" s="19" t="s">
        <v>60</v>
      </c>
      <c r="C102" s="20" t="s">
        <v>58</v>
      </c>
      <c r="D102" s="21">
        <f t="shared" si="7"/>
        <v>4</v>
      </c>
    </row>
    <row r="103" spans="1:4" x14ac:dyDescent="0.25">
      <c r="A103" s="16"/>
      <c r="B103" s="16" t="s">
        <v>59</v>
      </c>
      <c r="C103" s="17" t="s">
        <v>113</v>
      </c>
      <c r="D103" s="18">
        <f t="shared" si="7"/>
        <v>4</v>
      </c>
    </row>
    <row r="104" spans="1:4" x14ac:dyDescent="0.25">
      <c r="A104" s="19"/>
      <c r="B104" s="19" t="s">
        <v>59</v>
      </c>
      <c r="C104" s="20" t="s">
        <v>114</v>
      </c>
      <c r="D104" s="21">
        <f t="shared" si="7"/>
        <v>4</v>
      </c>
    </row>
    <row r="105" spans="1:4" x14ac:dyDescent="0.25">
      <c r="A105" s="16"/>
      <c r="B105" s="16" t="s">
        <v>59</v>
      </c>
      <c r="C105" s="17" t="s">
        <v>115</v>
      </c>
      <c r="D105" s="18">
        <f t="shared" si="7"/>
        <v>4</v>
      </c>
    </row>
    <row r="106" spans="1:4" x14ac:dyDescent="0.25">
      <c r="A106" s="19"/>
      <c r="B106" s="19" t="s">
        <v>59</v>
      </c>
      <c r="C106" s="20" t="s">
        <v>116</v>
      </c>
      <c r="D106" s="21">
        <f t="shared" si="7"/>
        <v>4</v>
      </c>
    </row>
    <row r="107" spans="1:4" x14ac:dyDescent="0.25">
      <c r="A107" s="16"/>
      <c r="B107" s="16"/>
      <c r="C107" s="22" t="s">
        <v>182</v>
      </c>
      <c r="D107" s="18">
        <f>SUM(D90:D106)</f>
        <v>68</v>
      </c>
    </row>
    <row r="108" spans="1:4" x14ac:dyDescent="0.25">
      <c r="A108" s="19" t="s">
        <v>49</v>
      </c>
      <c r="B108" s="19"/>
      <c r="C108" s="20"/>
      <c r="D108" s="21"/>
    </row>
    <row r="109" spans="1:4" x14ac:dyDescent="0.25">
      <c r="A109" s="16"/>
      <c r="B109" s="16" t="s">
        <v>50</v>
      </c>
      <c r="C109" s="17" t="s">
        <v>117</v>
      </c>
      <c r="D109" s="18">
        <f t="shared" si="7"/>
        <v>4</v>
      </c>
    </row>
    <row r="110" spans="1:4" x14ac:dyDescent="0.25">
      <c r="A110" s="19"/>
      <c r="B110" s="19" t="s">
        <v>60</v>
      </c>
      <c r="C110" s="20" t="s">
        <v>61</v>
      </c>
      <c r="D110" s="21">
        <f t="shared" si="7"/>
        <v>4</v>
      </c>
    </row>
    <row r="111" spans="1:4" x14ac:dyDescent="0.25">
      <c r="A111" s="16"/>
      <c r="B111" s="16" t="s">
        <v>60</v>
      </c>
      <c r="C111" s="17" t="s">
        <v>53</v>
      </c>
      <c r="D111" s="18">
        <f t="shared" si="7"/>
        <v>4</v>
      </c>
    </row>
    <row r="112" spans="1:4" x14ac:dyDescent="0.25">
      <c r="A112" s="19"/>
      <c r="B112" s="19" t="s">
        <v>60</v>
      </c>
      <c r="C112" s="20" t="s">
        <v>55</v>
      </c>
      <c r="D112" s="21">
        <f t="shared" si="7"/>
        <v>4</v>
      </c>
    </row>
    <row r="113" spans="1:4" x14ac:dyDescent="0.25">
      <c r="A113" s="16"/>
      <c r="B113" s="16" t="s">
        <v>60</v>
      </c>
      <c r="C113" s="17" t="s">
        <v>119</v>
      </c>
      <c r="D113" s="18">
        <f t="shared" si="7"/>
        <v>4</v>
      </c>
    </row>
    <row r="114" spans="1:4" x14ac:dyDescent="0.25">
      <c r="A114" s="19"/>
      <c r="B114" s="19" t="s">
        <v>60</v>
      </c>
      <c r="C114" s="20" t="s">
        <v>63</v>
      </c>
      <c r="D114" s="21">
        <f t="shared" si="7"/>
        <v>4</v>
      </c>
    </row>
    <row r="115" spans="1:4" x14ac:dyDescent="0.25">
      <c r="A115" s="16"/>
      <c r="B115" s="16" t="s">
        <v>60</v>
      </c>
      <c r="C115" s="17" t="s">
        <v>57</v>
      </c>
      <c r="D115" s="18">
        <f t="shared" si="7"/>
        <v>4</v>
      </c>
    </row>
    <row r="116" spans="1:4" x14ac:dyDescent="0.25">
      <c r="A116" s="19"/>
      <c r="B116" s="19" t="s">
        <v>60</v>
      </c>
      <c r="C116" s="20" t="s">
        <v>58</v>
      </c>
      <c r="D116" s="21">
        <f t="shared" si="7"/>
        <v>4</v>
      </c>
    </row>
    <row r="117" spans="1:4" x14ac:dyDescent="0.25">
      <c r="A117" s="16"/>
      <c r="B117" s="16" t="s">
        <v>60</v>
      </c>
      <c r="C117" s="17" t="s">
        <v>120</v>
      </c>
      <c r="D117" s="18">
        <f t="shared" si="7"/>
        <v>4</v>
      </c>
    </row>
    <row r="118" spans="1:4" x14ac:dyDescent="0.25">
      <c r="A118" s="19"/>
      <c r="B118" s="19" t="s">
        <v>50</v>
      </c>
      <c r="C118" s="20" t="s">
        <v>62</v>
      </c>
      <c r="D118" s="21">
        <f t="shared" si="7"/>
        <v>4</v>
      </c>
    </row>
    <row r="119" spans="1:4" x14ac:dyDescent="0.25">
      <c r="A119" s="16"/>
      <c r="B119" s="16" t="s">
        <v>50</v>
      </c>
      <c r="C119" s="17" t="s">
        <v>54</v>
      </c>
      <c r="D119" s="18">
        <f t="shared" si="7"/>
        <v>4</v>
      </c>
    </row>
    <row r="120" spans="1:4" x14ac:dyDescent="0.25">
      <c r="A120" s="19"/>
      <c r="B120" s="19" t="s">
        <v>50</v>
      </c>
      <c r="C120" s="20" t="s">
        <v>56</v>
      </c>
      <c r="D120" s="21">
        <f t="shared" si="7"/>
        <v>4</v>
      </c>
    </row>
    <row r="121" spans="1:4" x14ac:dyDescent="0.25">
      <c r="A121" s="16"/>
      <c r="B121" s="16" t="s">
        <v>50</v>
      </c>
      <c r="C121" s="17" t="s">
        <v>121</v>
      </c>
      <c r="D121" s="18">
        <f t="shared" si="7"/>
        <v>4</v>
      </c>
    </row>
    <row r="122" spans="1:4" x14ac:dyDescent="0.25">
      <c r="A122" s="19"/>
      <c r="B122" s="19" t="s">
        <v>50</v>
      </c>
      <c r="C122" s="20" t="s">
        <v>51</v>
      </c>
      <c r="D122" s="21">
        <f t="shared" si="7"/>
        <v>4</v>
      </c>
    </row>
    <row r="123" spans="1:4" x14ac:dyDescent="0.25">
      <c r="A123" s="16"/>
      <c r="B123" s="16"/>
      <c r="C123" s="22" t="s">
        <v>182</v>
      </c>
      <c r="D123" s="18">
        <f>SUM(D109:D122)</f>
        <v>56</v>
      </c>
    </row>
    <row r="124" spans="1:4" x14ac:dyDescent="0.25">
      <c r="A124" s="19" t="s">
        <v>47</v>
      </c>
      <c r="B124" s="19"/>
      <c r="C124" s="20"/>
      <c r="D124" s="21"/>
    </row>
    <row r="125" spans="1:4" x14ac:dyDescent="0.25">
      <c r="A125" s="16"/>
      <c r="B125" s="16" t="s">
        <v>50</v>
      </c>
      <c r="C125" s="17" t="s">
        <v>51</v>
      </c>
      <c r="D125" s="18">
        <f t="shared" si="7"/>
        <v>4</v>
      </c>
    </row>
    <row r="126" spans="1:4" x14ac:dyDescent="0.25">
      <c r="A126" s="19"/>
      <c r="B126" s="19" t="s">
        <v>50</v>
      </c>
      <c r="C126" s="20" t="s">
        <v>122</v>
      </c>
      <c r="D126" s="21">
        <f t="shared" si="7"/>
        <v>4</v>
      </c>
    </row>
    <row r="127" spans="1:4" x14ac:dyDescent="0.25">
      <c r="A127" s="16"/>
      <c r="B127" s="16" t="s">
        <v>118</v>
      </c>
      <c r="C127" s="17" t="s">
        <v>123</v>
      </c>
      <c r="D127" s="18"/>
    </row>
    <row r="128" spans="1:4" x14ac:dyDescent="0.25">
      <c r="A128" s="19"/>
      <c r="B128" s="19" t="s">
        <v>50</v>
      </c>
      <c r="C128" s="20" t="s">
        <v>124</v>
      </c>
      <c r="D128" s="21">
        <f t="shared" si="7"/>
        <v>4</v>
      </c>
    </row>
    <row r="129" spans="1:4" x14ac:dyDescent="0.25">
      <c r="A129" s="16"/>
      <c r="B129" s="16" t="s">
        <v>59</v>
      </c>
      <c r="C129" s="17" t="s">
        <v>125</v>
      </c>
      <c r="D129" s="18">
        <f t="shared" ref="D129:D149" si="8">_xlfn.IFS(B129="uint32_t",4,B129="int",4,B129="float",4,B129="bool",2,B129="int32_t",4)</f>
        <v>4</v>
      </c>
    </row>
    <row r="130" spans="1:4" x14ac:dyDescent="0.25">
      <c r="A130" s="19"/>
      <c r="B130" s="19" t="s">
        <v>60</v>
      </c>
      <c r="C130" s="20" t="s">
        <v>126</v>
      </c>
      <c r="D130" s="21">
        <f t="shared" si="8"/>
        <v>4</v>
      </c>
    </row>
    <row r="131" spans="1:4" x14ac:dyDescent="0.25">
      <c r="A131" s="16"/>
      <c r="B131" s="16" t="s">
        <v>60</v>
      </c>
      <c r="C131" s="17" t="s">
        <v>127</v>
      </c>
      <c r="D131" s="18">
        <f t="shared" si="8"/>
        <v>4</v>
      </c>
    </row>
    <row r="132" spans="1:4" x14ac:dyDescent="0.25">
      <c r="A132" s="19"/>
      <c r="B132" s="19" t="s">
        <v>59</v>
      </c>
      <c r="C132" s="20" t="s">
        <v>128</v>
      </c>
      <c r="D132" s="21">
        <f t="shared" si="8"/>
        <v>4</v>
      </c>
    </row>
    <row r="133" spans="1:4" x14ac:dyDescent="0.25">
      <c r="A133" s="16"/>
      <c r="B133" s="16" t="s">
        <v>118</v>
      </c>
      <c r="C133" s="17" t="s">
        <v>129</v>
      </c>
      <c r="D133" s="18"/>
    </row>
    <row r="134" spans="1:4" x14ac:dyDescent="0.25">
      <c r="A134" s="19"/>
      <c r="B134" s="19" t="s">
        <v>60</v>
      </c>
      <c r="C134" s="20" t="s">
        <v>130</v>
      </c>
      <c r="D134" s="21">
        <f t="shared" si="8"/>
        <v>4</v>
      </c>
    </row>
    <row r="135" spans="1:4" x14ac:dyDescent="0.25">
      <c r="A135" s="16"/>
      <c r="B135" s="16" t="s">
        <v>59</v>
      </c>
      <c r="C135" s="17" t="s">
        <v>131</v>
      </c>
      <c r="D135" s="18">
        <f t="shared" si="8"/>
        <v>4</v>
      </c>
    </row>
    <row r="136" spans="1:4" x14ac:dyDescent="0.25">
      <c r="A136" s="19"/>
      <c r="B136" s="19" t="s">
        <v>60</v>
      </c>
      <c r="C136" s="20" t="s">
        <v>132</v>
      </c>
      <c r="D136" s="21">
        <f t="shared" si="8"/>
        <v>4</v>
      </c>
    </row>
    <row r="137" spans="1:4" x14ac:dyDescent="0.25">
      <c r="A137" s="16"/>
      <c r="B137" s="16" t="s">
        <v>60</v>
      </c>
      <c r="C137" s="17" t="s">
        <v>133</v>
      </c>
      <c r="D137" s="18">
        <f t="shared" si="8"/>
        <v>4</v>
      </c>
    </row>
    <row r="138" spans="1:4" x14ac:dyDescent="0.25">
      <c r="A138" s="19"/>
      <c r="B138" s="19" t="s">
        <v>59</v>
      </c>
      <c r="C138" s="20" t="s">
        <v>134</v>
      </c>
      <c r="D138" s="21">
        <f t="shared" si="8"/>
        <v>4</v>
      </c>
    </row>
    <row r="139" spans="1:4" x14ac:dyDescent="0.25">
      <c r="A139" s="16"/>
      <c r="B139" s="16"/>
      <c r="C139" s="22" t="s">
        <v>182</v>
      </c>
      <c r="D139" s="18">
        <f>SUM(D125:D138)</f>
        <v>48</v>
      </c>
    </row>
    <row r="140" spans="1:4" x14ac:dyDescent="0.25">
      <c r="A140" s="19" t="s">
        <v>48</v>
      </c>
      <c r="B140" s="19"/>
      <c r="C140" s="20"/>
      <c r="D140" s="21"/>
    </row>
    <row r="141" spans="1:4" x14ac:dyDescent="0.25">
      <c r="A141" s="16"/>
      <c r="B141" s="16" t="s">
        <v>60</v>
      </c>
      <c r="C141" s="17" t="s">
        <v>135</v>
      </c>
      <c r="D141" s="18">
        <f t="shared" si="8"/>
        <v>4</v>
      </c>
    </row>
    <row r="142" spans="1:4" x14ac:dyDescent="0.25">
      <c r="A142" s="19"/>
      <c r="B142" s="19" t="s">
        <v>60</v>
      </c>
      <c r="C142" s="20" t="s">
        <v>95</v>
      </c>
      <c r="D142" s="21">
        <f t="shared" si="8"/>
        <v>4</v>
      </c>
    </row>
    <row r="143" spans="1:4" x14ac:dyDescent="0.25">
      <c r="A143" s="16"/>
      <c r="B143" s="16" t="s">
        <v>60</v>
      </c>
      <c r="C143" s="17" t="s">
        <v>136</v>
      </c>
      <c r="D143" s="18">
        <f t="shared" si="8"/>
        <v>4</v>
      </c>
    </row>
    <row r="144" spans="1:4" x14ac:dyDescent="0.25">
      <c r="A144" s="19"/>
      <c r="B144" s="19" t="s">
        <v>50</v>
      </c>
      <c r="C144" s="20" t="s">
        <v>96</v>
      </c>
      <c r="D144" s="21">
        <f t="shared" si="8"/>
        <v>4</v>
      </c>
    </row>
    <row r="145" spans="1:4" x14ac:dyDescent="0.25">
      <c r="A145" s="16"/>
      <c r="B145" s="16"/>
      <c r="C145" s="22" t="s">
        <v>182</v>
      </c>
      <c r="D145" s="18">
        <f>SUM(D141:D144)</f>
        <v>16</v>
      </c>
    </row>
    <row r="146" spans="1:4" x14ac:dyDescent="0.25">
      <c r="A146" s="19" t="s">
        <v>144</v>
      </c>
      <c r="B146" s="19"/>
      <c r="C146" s="20"/>
      <c r="D146" s="21"/>
    </row>
    <row r="147" spans="1:4" x14ac:dyDescent="0.25">
      <c r="A147" s="16"/>
      <c r="B147" s="16" t="s">
        <v>50</v>
      </c>
      <c r="C147" s="17" t="s">
        <v>137</v>
      </c>
      <c r="D147" s="18">
        <f t="shared" si="8"/>
        <v>4</v>
      </c>
    </row>
    <row r="148" spans="1:4" x14ac:dyDescent="0.25">
      <c r="A148" s="19"/>
      <c r="B148" s="19" t="s">
        <v>50</v>
      </c>
      <c r="C148" s="20" t="s">
        <v>139</v>
      </c>
      <c r="D148" s="21">
        <f t="shared" si="8"/>
        <v>4</v>
      </c>
    </row>
    <row r="149" spans="1:4" x14ac:dyDescent="0.25">
      <c r="A149" s="16"/>
      <c r="B149" s="16" t="s">
        <v>60</v>
      </c>
      <c r="C149" s="17" t="s">
        <v>140</v>
      </c>
      <c r="D149" s="18">
        <f t="shared" si="8"/>
        <v>4</v>
      </c>
    </row>
    <row r="150" spans="1:4" x14ac:dyDescent="0.25">
      <c r="A150" s="11"/>
      <c r="B150" s="11"/>
      <c r="C150" s="24" t="s">
        <v>182</v>
      </c>
      <c r="D150" s="12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J43"/>
  <sheetViews>
    <sheetView topLeftCell="A10" workbookViewId="0">
      <selection activeCell="F37" sqref="F37"/>
    </sheetView>
  </sheetViews>
  <sheetFormatPr defaultRowHeight="15" x14ac:dyDescent="0.25"/>
  <sheetData>
    <row r="1" spans="1:3" x14ac:dyDescent="0.25">
      <c r="A1" t="s">
        <v>197</v>
      </c>
    </row>
    <row r="2" spans="1:3" x14ac:dyDescent="0.25">
      <c r="B2" s="31" t="s">
        <v>229</v>
      </c>
    </row>
    <row r="3" spans="1:3" x14ac:dyDescent="0.25">
      <c r="B3" s="31" t="s">
        <v>228</v>
      </c>
    </row>
    <row r="4" spans="1:3" x14ac:dyDescent="0.25">
      <c r="B4" s="31" t="s">
        <v>221</v>
      </c>
      <c r="C4" t="s">
        <v>234</v>
      </c>
    </row>
    <row r="5" spans="1:3" x14ac:dyDescent="0.25">
      <c r="B5" s="32" t="s">
        <v>220</v>
      </c>
    </row>
    <row r="6" spans="1:3" x14ac:dyDescent="0.25">
      <c r="B6" s="32" t="s">
        <v>596</v>
      </c>
      <c r="C6" t="s">
        <v>235</v>
      </c>
    </row>
    <row r="7" spans="1:3" x14ac:dyDescent="0.25">
      <c r="B7" s="31" t="s">
        <v>198</v>
      </c>
    </row>
    <row r="8" spans="1:3" x14ac:dyDescent="0.25">
      <c r="B8" s="31" t="s">
        <v>213</v>
      </c>
    </row>
    <row r="9" spans="1:3" x14ac:dyDescent="0.25">
      <c r="B9" s="31" t="s">
        <v>219</v>
      </c>
    </row>
    <row r="10" spans="1:3" x14ac:dyDescent="0.25">
      <c r="B10" s="31" t="s">
        <v>206</v>
      </c>
    </row>
    <row r="11" spans="1:3" x14ac:dyDescent="0.25">
      <c r="B11" s="31" t="s">
        <v>204</v>
      </c>
    </row>
    <row r="12" spans="1:3" x14ac:dyDescent="0.25">
      <c r="B12" s="31" t="s">
        <v>205</v>
      </c>
    </row>
    <row r="13" spans="1:3" x14ac:dyDescent="0.25">
      <c r="B13" s="31" t="s">
        <v>207</v>
      </c>
    </row>
    <row r="14" spans="1:3" x14ac:dyDescent="0.25">
      <c r="B14" s="31" t="s">
        <v>226</v>
      </c>
    </row>
    <row r="15" spans="1:3" x14ac:dyDescent="0.25">
      <c r="B15" s="31" t="s">
        <v>223</v>
      </c>
    </row>
    <row r="16" spans="1:3" x14ac:dyDescent="0.25">
      <c r="B16" s="32" t="s">
        <v>218</v>
      </c>
    </row>
    <row r="17" spans="2:10" x14ac:dyDescent="0.25">
      <c r="B17" t="s">
        <v>230</v>
      </c>
      <c r="C17" t="s">
        <v>227</v>
      </c>
      <c r="D17" t="s">
        <v>222</v>
      </c>
      <c r="E17" t="s">
        <v>41</v>
      </c>
      <c r="F17" t="s">
        <v>596</v>
      </c>
      <c r="G17" t="s">
        <v>221</v>
      </c>
      <c r="H17" t="s">
        <v>228</v>
      </c>
      <c r="I17" t="s">
        <v>231</v>
      </c>
      <c r="J17" t="s">
        <v>232</v>
      </c>
    </row>
    <row r="18" spans="2:10" x14ac:dyDescent="0.25">
      <c r="B18" s="32" t="s">
        <v>597</v>
      </c>
    </row>
    <row r="19" spans="2:10" x14ac:dyDescent="0.25">
      <c r="B19" s="32"/>
    </row>
    <row r="20" spans="2:10" x14ac:dyDescent="0.25">
      <c r="B20" s="31" t="s">
        <v>216</v>
      </c>
    </row>
    <row r="21" spans="2:10" x14ac:dyDescent="0.25">
      <c r="B21" s="31" t="s">
        <v>217</v>
      </c>
    </row>
    <row r="22" spans="2:10" x14ac:dyDescent="0.25">
      <c r="B22" s="31" t="s">
        <v>214</v>
      </c>
    </row>
    <row r="23" spans="2:10" x14ac:dyDescent="0.25">
      <c r="B23" s="31" t="s">
        <v>215</v>
      </c>
    </row>
    <row r="24" spans="2:10" x14ac:dyDescent="0.25">
      <c r="B24" s="31" t="s">
        <v>224</v>
      </c>
    </row>
    <row r="25" spans="2:10" x14ac:dyDescent="0.25">
      <c r="B25" s="31" t="s">
        <v>225</v>
      </c>
    </row>
    <row r="26" spans="2:10" x14ac:dyDescent="0.25">
      <c r="B26" s="33" t="s">
        <v>201</v>
      </c>
    </row>
    <row r="27" spans="2:10" x14ac:dyDescent="0.25">
      <c r="B27" s="33" t="s">
        <v>200</v>
      </c>
    </row>
    <row r="28" spans="2:10" x14ac:dyDescent="0.25">
      <c r="B28" s="33" t="s">
        <v>202</v>
      </c>
    </row>
    <row r="29" spans="2:10" x14ac:dyDescent="0.25">
      <c r="B29" s="33" t="s">
        <v>203</v>
      </c>
    </row>
    <row r="30" spans="2:10" x14ac:dyDescent="0.25">
      <c r="B30" s="33"/>
    </row>
    <row r="31" spans="2:10" x14ac:dyDescent="0.25">
      <c r="B31" s="31" t="s">
        <v>227</v>
      </c>
    </row>
    <row r="32" spans="2:10" x14ac:dyDescent="0.25">
      <c r="B32" s="31" t="s">
        <v>598</v>
      </c>
      <c r="C32" t="s">
        <v>41</v>
      </c>
      <c r="D32" t="s">
        <v>222</v>
      </c>
      <c r="E32" t="s">
        <v>221</v>
      </c>
      <c r="F32" t="s">
        <v>596</v>
      </c>
      <c r="G32" t="s">
        <v>227</v>
      </c>
    </row>
    <row r="33" spans="2:2" x14ac:dyDescent="0.25">
      <c r="B33" s="31"/>
    </row>
    <row r="34" spans="2:2" x14ac:dyDescent="0.25">
      <c r="B34" s="31" t="s">
        <v>212</v>
      </c>
    </row>
    <row r="35" spans="2:2" x14ac:dyDescent="0.25">
      <c r="B35" s="31" t="s">
        <v>209</v>
      </c>
    </row>
    <row r="36" spans="2:2" x14ac:dyDescent="0.25">
      <c r="B36" s="31" t="s">
        <v>211</v>
      </c>
    </row>
    <row r="37" spans="2:2" x14ac:dyDescent="0.25">
      <c r="B37" s="31" t="s">
        <v>208</v>
      </c>
    </row>
    <row r="38" spans="2:2" x14ac:dyDescent="0.25">
      <c r="B38" s="31" t="s">
        <v>210</v>
      </c>
    </row>
    <row r="39" spans="2:2" x14ac:dyDescent="0.25">
      <c r="B39" s="31" t="s">
        <v>199</v>
      </c>
    </row>
    <row r="40" spans="2:2" x14ac:dyDescent="0.25">
      <c r="B40" s="31" t="s">
        <v>199</v>
      </c>
    </row>
    <row r="41" spans="2:2" x14ac:dyDescent="0.25">
      <c r="B41" s="31" t="s">
        <v>222</v>
      </c>
    </row>
    <row r="42" spans="2:2" x14ac:dyDescent="0.25">
      <c r="B42" s="31"/>
    </row>
    <row r="43" spans="2:2" x14ac:dyDescent="0.25">
      <c r="B43" s="31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5" x14ac:dyDescent="0.25"/>
  <cols>
    <col min="6" max="6" width="11.85546875" bestFit="1" customWidth="1"/>
    <col min="12" max="12" width="30.85546875" bestFit="1" customWidth="1"/>
    <col min="17" max="17" width="20.5703125" bestFit="1" customWidth="1"/>
  </cols>
  <sheetData>
    <row r="1" spans="2:27" x14ac:dyDescent="0.25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</row>
    <row r="2" spans="2:27" x14ac:dyDescent="0.25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542</v>
      </c>
      <c r="O2" t="s">
        <v>534</v>
      </c>
      <c r="P2" t="s">
        <v>535</v>
      </c>
      <c r="Q2" t="s">
        <v>536</v>
      </c>
      <c r="R2" t="s">
        <v>41</v>
      </c>
      <c r="S2" t="s">
        <v>537</v>
      </c>
      <c r="T2" t="s">
        <v>222</v>
      </c>
      <c r="U2" t="s">
        <v>538</v>
      </c>
      <c r="V2" t="s">
        <v>234</v>
      </c>
      <c r="W2" t="s">
        <v>539</v>
      </c>
      <c r="X2" t="s">
        <v>235</v>
      </c>
      <c r="Y2" t="s">
        <v>540</v>
      </c>
      <c r="Z2" t="s">
        <v>534</v>
      </c>
      <c r="AA2" t="s">
        <v>543</v>
      </c>
    </row>
    <row r="3" spans="2:27" x14ac:dyDescent="0.25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O3">
        <v>0</v>
      </c>
      <c r="P3">
        <v>68</v>
      </c>
      <c r="Q3">
        <v>131</v>
      </c>
      <c r="R3">
        <v>203</v>
      </c>
      <c r="S3">
        <v>219</v>
      </c>
      <c r="T3">
        <v>249</v>
      </c>
      <c r="U3">
        <v>264</v>
      </c>
      <c r="V3">
        <v>294</v>
      </c>
      <c r="W3">
        <v>325</v>
      </c>
      <c r="X3">
        <v>355</v>
      </c>
      <c r="Y3">
        <v>385</v>
      </c>
      <c r="Z3">
        <v>415</v>
      </c>
      <c r="AA3">
        <v>0</v>
      </c>
    </row>
    <row r="4" spans="2:27" x14ac:dyDescent="0.25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80</v>
      </c>
    </row>
    <row r="5" spans="2:27" x14ac:dyDescent="0.25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O5">
        <v>65</v>
      </c>
      <c r="P5">
        <v>60</v>
      </c>
      <c r="Q5">
        <v>70</v>
      </c>
      <c r="R5">
        <v>15</v>
      </c>
      <c r="S5">
        <v>30</v>
      </c>
      <c r="T5">
        <v>15</v>
      </c>
      <c r="U5">
        <v>30</v>
      </c>
      <c r="V5">
        <v>30</v>
      </c>
      <c r="W5">
        <v>30</v>
      </c>
      <c r="X5">
        <v>30</v>
      </c>
      <c r="Y5">
        <v>30</v>
      </c>
      <c r="Z5">
        <v>65</v>
      </c>
      <c r="AA5">
        <v>480</v>
      </c>
    </row>
    <row r="6" spans="2:27" x14ac:dyDescent="0.25">
      <c r="O6">
        <v>30</v>
      </c>
      <c r="P6">
        <v>30</v>
      </c>
      <c r="Q6">
        <v>30</v>
      </c>
      <c r="R6">
        <v>30</v>
      </c>
      <c r="S6">
        <v>30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5</v>
      </c>
    </row>
    <row r="8" spans="2:27" x14ac:dyDescent="0.25">
      <c r="F8">
        <v>325</v>
      </c>
      <c r="N8" t="s">
        <v>541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439</v>
      </c>
      <c r="U8" t="s">
        <v>194</v>
      </c>
      <c r="V8" t="s">
        <v>533</v>
      </c>
      <c r="W8" t="s">
        <v>196</v>
      </c>
    </row>
    <row r="9" spans="2:27" x14ac:dyDescent="0.25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25">
      <c r="B10" s="36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25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25">
      <c r="B12" s="28" t="str">
        <f t="shared" ref="B12:B75" si="0">DEC2HEX(C12)</f>
        <v>24</v>
      </c>
      <c r="C12" s="28">
        <v>36</v>
      </c>
      <c r="D12" s="37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25">
      <c r="B13" s="28" t="str">
        <f t="shared" si="0"/>
        <v>25</v>
      </c>
      <c r="C13" s="28">
        <v>37</v>
      </c>
      <c r="D13" s="37" t="str">
        <f t="shared" si="1"/>
        <v>%</v>
      </c>
      <c r="L13" t="s">
        <v>240</v>
      </c>
      <c r="M13" t="s">
        <v>249</v>
      </c>
    </row>
    <row r="14" spans="2:27" s="30" customFormat="1" x14ac:dyDescent="0.25">
      <c r="B14" s="80"/>
      <c r="C14" s="80"/>
      <c r="D14" s="81"/>
      <c r="N14" s="30" t="s">
        <v>542</v>
      </c>
      <c r="O14" s="30" t="s">
        <v>534</v>
      </c>
      <c r="P14" s="30" t="s">
        <v>536</v>
      </c>
      <c r="Q14" s="30" t="s">
        <v>535</v>
      </c>
      <c r="R14" s="30" t="s">
        <v>41</v>
      </c>
      <c r="S14" s="30" t="s">
        <v>537</v>
      </c>
      <c r="T14" s="30" t="s">
        <v>222</v>
      </c>
      <c r="U14" s="30" t="s">
        <v>538</v>
      </c>
      <c r="V14" s="30" t="s">
        <v>234</v>
      </c>
      <c r="W14" s="30" t="s">
        <v>539</v>
      </c>
      <c r="X14" s="30" t="s">
        <v>235</v>
      </c>
      <c r="Y14" s="30" t="s">
        <v>540</v>
      </c>
      <c r="Z14" s="30" t="s">
        <v>534</v>
      </c>
      <c r="AA14" s="30" t="s">
        <v>543</v>
      </c>
    </row>
    <row r="15" spans="2:27" x14ac:dyDescent="0.25">
      <c r="B15" s="28" t="str">
        <f t="shared" si="0"/>
        <v>27</v>
      </c>
      <c r="C15" s="28">
        <v>39</v>
      </c>
      <c r="D15" s="37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25">
      <c r="B16" s="28" t="str">
        <f t="shared" si="0"/>
        <v>28</v>
      </c>
      <c r="C16" s="28">
        <v>40</v>
      </c>
      <c r="D16" s="37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25">
      <c r="B17" s="28" t="str">
        <f t="shared" si="0"/>
        <v>29</v>
      </c>
      <c r="C17" s="28">
        <v>41</v>
      </c>
      <c r="D17" s="37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25">
      <c r="B18" s="28" t="str">
        <f t="shared" si="0"/>
        <v>2A</v>
      </c>
      <c r="C18" s="28">
        <v>42</v>
      </c>
      <c r="D18" s="37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25">
      <c r="B19" s="28" t="str">
        <f t="shared" si="0"/>
        <v>2B</v>
      </c>
      <c r="C19" s="28">
        <v>43</v>
      </c>
      <c r="D19" s="37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25">
      <c r="B20" s="28" t="str">
        <f t="shared" si="0"/>
        <v>2C</v>
      </c>
      <c r="C20" s="28">
        <v>44</v>
      </c>
      <c r="D20" s="37" t="str">
        <f t="shared" si="1"/>
        <v>,</v>
      </c>
      <c r="F20" t="s">
        <v>9</v>
      </c>
      <c r="L20" t="s">
        <v>246</v>
      </c>
      <c r="M20" t="s">
        <v>255</v>
      </c>
      <c r="N20" t="s">
        <v>544</v>
      </c>
      <c r="O20" t="s">
        <v>545</v>
      </c>
      <c r="P20" t="s">
        <v>546</v>
      </c>
      <c r="Q20" t="s">
        <v>553</v>
      </c>
      <c r="S20" t="s">
        <v>554</v>
      </c>
      <c r="T20" t="s">
        <v>555</v>
      </c>
      <c r="U20" t="s">
        <v>556</v>
      </c>
    </row>
    <row r="21" spans="2:27" x14ac:dyDescent="0.25">
      <c r="B21" s="28" t="str">
        <f t="shared" si="0"/>
        <v>2D</v>
      </c>
      <c r="C21" s="28">
        <v>45</v>
      </c>
      <c r="D21" s="37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25">
      <c r="B22" s="28" t="str">
        <f t="shared" si="0"/>
        <v>2E</v>
      </c>
      <c r="C22" s="28">
        <v>46</v>
      </c>
      <c r="D22" s="37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25">
      <c r="B23" s="28" t="str">
        <f t="shared" si="0"/>
        <v>2F</v>
      </c>
      <c r="C23" s="28">
        <v>47</v>
      </c>
      <c r="D23" s="37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25">
      <c r="B24" s="28" t="str">
        <f t="shared" si="0"/>
        <v>30</v>
      </c>
      <c r="C24" s="28">
        <v>48</v>
      </c>
      <c r="D24" s="37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25">
      <c r="B25" s="28" t="str">
        <f t="shared" si="0"/>
        <v>31</v>
      </c>
      <c r="C25" s="28">
        <v>49</v>
      </c>
      <c r="D25" s="37" t="str">
        <f t="shared" si="1"/>
        <v>1</v>
      </c>
      <c r="F25">
        <v>140</v>
      </c>
      <c r="G25">
        <v>70</v>
      </c>
      <c r="P25" t="s">
        <v>547</v>
      </c>
      <c r="T25" t="s">
        <v>547</v>
      </c>
    </row>
    <row r="26" spans="2:27" x14ac:dyDescent="0.25">
      <c r="B26" s="28" t="str">
        <f t="shared" si="0"/>
        <v>32</v>
      </c>
      <c r="C26" s="28">
        <v>50</v>
      </c>
      <c r="D26" s="37" t="str">
        <f t="shared" si="1"/>
        <v>2</v>
      </c>
      <c r="F26">
        <v>18</v>
      </c>
      <c r="G26">
        <v>18</v>
      </c>
      <c r="L26" t="s">
        <v>259</v>
      </c>
      <c r="P26" t="s">
        <v>548</v>
      </c>
      <c r="T26" t="s">
        <v>548</v>
      </c>
    </row>
    <row r="27" spans="2:27" x14ac:dyDescent="0.25">
      <c r="B27" s="28" t="str">
        <f t="shared" si="0"/>
        <v>33</v>
      </c>
      <c r="C27" s="28">
        <v>51</v>
      </c>
      <c r="D27" s="37" t="str">
        <f t="shared" si="1"/>
        <v>3</v>
      </c>
      <c r="O27" t="s">
        <v>549</v>
      </c>
      <c r="P27">
        <v>95</v>
      </c>
      <c r="S27" t="s">
        <v>549</v>
      </c>
      <c r="T27">
        <v>95</v>
      </c>
    </row>
    <row r="28" spans="2:27" x14ac:dyDescent="0.25">
      <c r="B28" s="28" t="str">
        <f t="shared" si="0"/>
        <v>34</v>
      </c>
      <c r="C28" s="28">
        <v>52</v>
      </c>
      <c r="D28" s="37" t="str">
        <f t="shared" si="1"/>
        <v>4</v>
      </c>
      <c r="O28" t="s">
        <v>550</v>
      </c>
      <c r="P28">
        <v>15</v>
      </c>
      <c r="S28" t="s">
        <v>550</v>
      </c>
      <c r="T28">
        <v>15</v>
      </c>
    </row>
    <row r="29" spans="2:27" x14ac:dyDescent="0.25">
      <c r="B29" s="28" t="str">
        <f t="shared" si="0"/>
        <v>35</v>
      </c>
      <c r="C29" s="28">
        <v>53</v>
      </c>
      <c r="D29" s="37" t="str">
        <f t="shared" si="1"/>
        <v>5</v>
      </c>
      <c r="O29" t="s">
        <v>551</v>
      </c>
      <c r="P29">
        <v>0</v>
      </c>
      <c r="S29" t="s">
        <v>551</v>
      </c>
      <c r="T29">
        <v>0</v>
      </c>
    </row>
    <row r="30" spans="2:27" x14ac:dyDescent="0.25">
      <c r="B30" s="28" t="str">
        <f t="shared" si="0"/>
        <v>36</v>
      </c>
      <c r="C30" s="28">
        <v>54</v>
      </c>
      <c r="D30" s="37" t="str">
        <f t="shared" si="1"/>
        <v>6</v>
      </c>
      <c r="F30" t="s">
        <v>260</v>
      </c>
      <c r="G30" t="s">
        <v>267</v>
      </c>
      <c r="O30" t="s">
        <v>552</v>
      </c>
      <c r="P30">
        <v>100</v>
      </c>
      <c r="S30" t="s">
        <v>552</v>
      </c>
      <c r="T30">
        <v>100</v>
      </c>
    </row>
    <row r="31" spans="2:27" x14ac:dyDescent="0.25">
      <c r="B31" s="28" t="str">
        <f t="shared" si="0"/>
        <v>37</v>
      </c>
      <c r="C31" s="28">
        <v>55</v>
      </c>
      <c r="D31" s="37" t="str">
        <f t="shared" si="1"/>
        <v>7</v>
      </c>
      <c r="F31" t="s">
        <v>261</v>
      </c>
      <c r="G31" t="s">
        <v>268</v>
      </c>
    </row>
    <row r="32" spans="2:27" x14ac:dyDescent="0.25">
      <c r="B32" s="28" t="str">
        <f t="shared" si="0"/>
        <v>38</v>
      </c>
      <c r="C32" s="28">
        <v>56</v>
      </c>
      <c r="D32" s="37" t="str">
        <f t="shared" si="1"/>
        <v>8</v>
      </c>
      <c r="F32" t="s">
        <v>262</v>
      </c>
      <c r="G32" t="s">
        <v>259</v>
      </c>
      <c r="I32">
        <v>82</v>
      </c>
      <c r="O32" t="s">
        <v>557</v>
      </c>
      <c r="P32" t="s">
        <v>351</v>
      </c>
      <c r="Q32" t="s">
        <v>461</v>
      </c>
      <c r="R32" t="s">
        <v>558</v>
      </c>
    </row>
    <row r="33" spans="2:31" x14ac:dyDescent="0.25">
      <c r="B33" s="28" t="str">
        <f t="shared" si="0"/>
        <v>39</v>
      </c>
      <c r="C33" s="28">
        <v>57</v>
      </c>
      <c r="D33" s="37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25">
      <c r="B34" s="28" t="str">
        <f t="shared" si="0"/>
        <v>3A</v>
      </c>
      <c r="C34" s="28">
        <v>58</v>
      </c>
      <c r="D34" s="37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25">
      <c r="B35" s="28" t="str">
        <f t="shared" si="0"/>
        <v>3B</v>
      </c>
      <c r="C35" s="28">
        <v>59</v>
      </c>
      <c r="D35" s="37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25">
      <c r="B36" s="28" t="str">
        <f t="shared" si="0"/>
        <v>3C</v>
      </c>
      <c r="C36" s="28">
        <v>60</v>
      </c>
      <c r="D36" s="37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29" customFormat="1" x14ac:dyDescent="0.25">
      <c r="B37" s="76" t="str">
        <f t="shared" si="0"/>
        <v>3D</v>
      </c>
      <c r="C37" s="76">
        <v>61</v>
      </c>
      <c r="D37" s="77" t="str">
        <f t="shared" si="1"/>
        <v>=</v>
      </c>
      <c r="F37" s="29" t="s">
        <v>266</v>
      </c>
      <c r="G37" s="29" t="s">
        <v>273</v>
      </c>
    </row>
    <row r="38" spans="2:31" x14ac:dyDescent="0.25">
      <c r="B38" s="28" t="str">
        <f t="shared" si="0"/>
        <v>3E</v>
      </c>
      <c r="C38" s="28">
        <v>62</v>
      </c>
      <c r="D38" s="37" t="str">
        <f t="shared" si="1"/>
        <v>&gt;</v>
      </c>
    </row>
    <row r="39" spans="2:31" x14ac:dyDescent="0.25">
      <c r="B39" s="28" t="str">
        <f t="shared" si="0"/>
        <v>3F</v>
      </c>
      <c r="C39" s="28">
        <v>63</v>
      </c>
      <c r="D39" s="37" t="str">
        <f t="shared" si="1"/>
        <v>?</v>
      </c>
      <c r="O39" t="s">
        <v>8</v>
      </c>
      <c r="P39" t="s">
        <v>559</v>
      </c>
      <c r="Q39" t="s">
        <v>532</v>
      </c>
      <c r="R39" t="s">
        <v>234</v>
      </c>
      <c r="S39" t="s">
        <v>235</v>
      </c>
      <c r="T39" t="s">
        <v>183</v>
      </c>
      <c r="U39" t="s">
        <v>184</v>
      </c>
      <c r="X39" t="s">
        <v>560</v>
      </c>
      <c r="Y39" t="s">
        <v>561</v>
      </c>
      <c r="Z39" t="s">
        <v>185</v>
      </c>
      <c r="AA39" t="s">
        <v>533</v>
      </c>
      <c r="AB39" t="s">
        <v>434</v>
      </c>
      <c r="AC39" t="s">
        <v>562</v>
      </c>
      <c r="AD39" t="s">
        <v>563</v>
      </c>
    </row>
    <row r="40" spans="2:31" x14ac:dyDescent="0.25">
      <c r="B40" s="28" t="str">
        <f t="shared" si="0"/>
        <v>40</v>
      </c>
      <c r="C40" s="28">
        <v>64</v>
      </c>
      <c r="D40" s="37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25">
      <c r="B41" s="28" t="str">
        <f t="shared" si="0"/>
        <v>41</v>
      </c>
      <c r="C41" s="28">
        <v>65</v>
      </c>
      <c r="D41" s="37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25">
      <c r="B42" s="28" t="str">
        <f t="shared" si="0"/>
        <v>42</v>
      </c>
      <c r="C42" s="28">
        <v>66</v>
      </c>
      <c r="D42" s="37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25">
      <c r="B43" s="28" t="str">
        <f t="shared" si="0"/>
        <v>43</v>
      </c>
      <c r="C43" s="28">
        <v>67</v>
      </c>
      <c r="D43" s="37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25">
      <c r="B44" s="28" t="str">
        <f t="shared" si="0"/>
        <v>44</v>
      </c>
      <c r="C44" s="28">
        <v>68</v>
      </c>
      <c r="D44" s="37" t="str">
        <f t="shared" si="1"/>
        <v>D</v>
      </c>
    </row>
    <row r="45" spans="2:31" s="30" customFormat="1" x14ac:dyDescent="0.25">
      <c r="B45" s="80" t="str">
        <f t="shared" si="0"/>
        <v>45</v>
      </c>
      <c r="C45" s="80">
        <v>69</v>
      </c>
      <c r="D45" s="81" t="str">
        <f t="shared" si="1"/>
        <v>E</v>
      </c>
    </row>
    <row r="46" spans="2:31" x14ac:dyDescent="0.25">
      <c r="B46" s="28" t="str">
        <f t="shared" si="0"/>
        <v>46</v>
      </c>
      <c r="C46" s="28">
        <v>70</v>
      </c>
      <c r="D46" s="37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25">
      <c r="B47" s="28" t="str">
        <f t="shared" si="0"/>
        <v>47</v>
      </c>
      <c r="C47" s="28">
        <v>71</v>
      </c>
      <c r="D47" s="37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0" customFormat="1" x14ac:dyDescent="0.25">
      <c r="B48" s="80" t="str">
        <f t="shared" si="0"/>
        <v>48</v>
      </c>
      <c r="C48" s="80">
        <v>72</v>
      </c>
      <c r="D48" s="81" t="str">
        <f t="shared" si="1"/>
        <v>H</v>
      </c>
      <c r="N48" s="30">
        <v>480</v>
      </c>
      <c r="O48" s="30">
        <v>272</v>
      </c>
      <c r="Q48" s="30">
        <v>160</v>
      </c>
    </row>
    <row r="49" spans="2:23" x14ac:dyDescent="0.25">
      <c r="B49" s="28" t="str">
        <f t="shared" si="0"/>
        <v>49</v>
      </c>
      <c r="C49" s="28">
        <v>73</v>
      </c>
      <c r="D49" s="37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439</v>
      </c>
      <c r="U49" t="s">
        <v>533</v>
      </c>
      <c r="V49" t="s">
        <v>196</v>
      </c>
      <c r="W49" t="s">
        <v>564</v>
      </c>
    </row>
    <row r="50" spans="2:23" x14ac:dyDescent="0.25">
      <c r="B50" s="28" t="str">
        <f t="shared" si="0"/>
        <v>4A</v>
      </c>
      <c r="C50" s="28">
        <v>74</v>
      </c>
      <c r="D50" s="37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25">
      <c r="B51" s="28" t="str">
        <f t="shared" si="0"/>
        <v>4B</v>
      </c>
      <c r="C51" s="28">
        <v>75</v>
      </c>
      <c r="D51" s="37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25">
      <c r="B52" s="28" t="str">
        <f t="shared" si="0"/>
        <v>4C</v>
      </c>
      <c r="C52" s="28">
        <v>76</v>
      </c>
      <c r="D52" s="37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25">
      <c r="B53" s="28" t="str">
        <f t="shared" si="0"/>
        <v>4D</v>
      </c>
      <c r="C53" s="28">
        <v>77</v>
      </c>
      <c r="D53" s="37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25">
      <c r="B54" s="28" t="str">
        <f t="shared" si="0"/>
        <v>4E</v>
      </c>
      <c r="C54" s="28">
        <v>78</v>
      </c>
      <c r="D54" s="37" t="str">
        <f t="shared" si="1"/>
        <v>N</v>
      </c>
    </row>
    <row r="55" spans="2:23" x14ac:dyDescent="0.25">
      <c r="B55" s="28" t="str">
        <f t="shared" si="0"/>
        <v>4F</v>
      </c>
      <c r="C55" s="28">
        <v>79</v>
      </c>
      <c r="D55" s="37" t="str">
        <f t="shared" si="1"/>
        <v>O</v>
      </c>
    </row>
    <row r="56" spans="2:23" x14ac:dyDescent="0.25">
      <c r="B56" s="28" t="str">
        <f t="shared" si="0"/>
        <v>50</v>
      </c>
      <c r="C56" s="28">
        <v>80</v>
      </c>
      <c r="D56" s="37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533</v>
      </c>
      <c r="T56" t="s">
        <v>196</v>
      </c>
      <c r="U56" t="s">
        <v>564</v>
      </c>
    </row>
    <row r="57" spans="2:23" x14ac:dyDescent="0.25">
      <c r="B57" s="28" t="str">
        <f t="shared" si="0"/>
        <v>51</v>
      </c>
      <c r="C57" s="28">
        <v>81</v>
      </c>
      <c r="D57" s="37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25">
      <c r="B58" s="28" t="str">
        <f t="shared" si="0"/>
        <v>52</v>
      </c>
      <c r="C58" s="28">
        <v>82</v>
      </c>
      <c r="D58" s="37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25">
      <c r="B59" s="28" t="str">
        <f t="shared" si="0"/>
        <v>53</v>
      </c>
      <c r="C59" s="28">
        <v>83</v>
      </c>
      <c r="D59" s="37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25">
      <c r="B60" s="28" t="str">
        <f t="shared" si="0"/>
        <v>54</v>
      </c>
      <c r="C60" s="28">
        <v>84</v>
      </c>
      <c r="D60" s="37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25">
      <c r="B61" s="28" t="str">
        <f t="shared" si="0"/>
        <v>55</v>
      </c>
      <c r="C61" s="28">
        <v>85</v>
      </c>
      <c r="D61" s="37" t="str">
        <f t="shared" si="1"/>
        <v>U</v>
      </c>
    </row>
    <row r="62" spans="2:23" x14ac:dyDescent="0.25">
      <c r="B62" s="28" t="str">
        <f t="shared" si="0"/>
        <v>56</v>
      </c>
      <c r="C62" s="28">
        <v>86</v>
      </c>
      <c r="D62" s="37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25">
      <c r="B63" s="28" t="str">
        <f t="shared" si="0"/>
        <v>57</v>
      </c>
      <c r="C63" s="28">
        <v>87</v>
      </c>
      <c r="D63" s="37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25">
      <c r="B64" s="28" t="str">
        <f t="shared" si="0"/>
        <v>58</v>
      </c>
      <c r="C64" s="28">
        <v>88</v>
      </c>
      <c r="D64" s="37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25">
      <c r="B65" s="28" t="str">
        <f t="shared" si="0"/>
        <v>59</v>
      </c>
      <c r="C65" s="28">
        <v>89</v>
      </c>
      <c r="D65" s="37" t="str">
        <f t="shared" si="1"/>
        <v>Y</v>
      </c>
      <c r="O65">
        <v>40</v>
      </c>
      <c r="R65">
        <v>40</v>
      </c>
    </row>
    <row r="66" spans="2:18" x14ac:dyDescent="0.25">
      <c r="B66" s="28" t="str">
        <f t="shared" si="0"/>
        <v>5A</v>
      </c>
      <c r="C66" s="28">
        <v>90</v>
      </c>
      <c r="D66" s="37" t="str">
        <f t="shared" si="1"/>
        <v>Z</v>
      </c>
    </row>
    <row r="67" spans="2:18" x14ac:dyDescent="0.25">
      <c r="B67" s="28" t="str">
        <f t="shared" si="0"/>
        <v>5B</v>
      </c>
      <c r="C67" s="28">
        <v>91</v>
      </c>
      <c r="D67" s="37" t="str">
        <f t="shared" si="1"/>
        <v>[</v>
      </c>
    </row>
    <row r="68" spans="2:18" x14ac:dyDescent="0.25">
      <c r="B68" s="28" t="str">
        <f t="shared" si="0"/>
        <v>5C</v>
      </c>
      <c r="C68" s="28">
        <v>92</v>
      </c>
      <c r="D68" s="37" t="str">
        <f t="shared" si="1"/>
        <v>\</v>
      </c>
    </row>
    <row r="69" spans="2:18" x14ac:dyDescent="0.25">
      <c r="B69" s="28" t="str">
        <f t="shared" si="0"/>
        <v>5D</v>
      </c>
      <c r="C69" s="28">
        <v>93</v>
      </c>
      <c r="D69" s="37" t="str">
        <f t="shared" si="1"/>
        <v>]</v>
      </c>
      <c r="O69" s="49" t="str">
        <f>DEC2HEX(P69)</f>
        <v>1C</v>
      </c>
      <c r="P69" s="27">
        <v>28</v>
      </c>
      <c r="Q69" s="27" t="str">
        <f>CHAR(P69)</f>
        <v>_x001C_</v>
      </c>
    </row>
    <row r="70" spans="2:18" x14ac:dyDescent="0.25">
      <c r="B70" s="28" t="str">
        <f t="shared" si="0"/>
        <v>5E</v>
      </c>
      <c r="C70" s="28">
        <v>94</v>
      </c>
      <c r="D70" s="37" t="str">
        <f t="shared" si="1"/>
        <v>^</v>
      </c>
      <c r="O70" s="49" t="str">
        <f>DEC2HEX(P70)</f>
        <v>FF</v>
      </c>
      <c r="P70" s="27">
        <v>255</v>
      </c>
      <c r="Q70" s="27" t="str">
        <f>CHAR(P70)</f>
        <v>ÿ</v>
      </c>
    </row>
    <row r="71" spans="2:18" x14ac:dyDescent="0.25">
      <c r="B71" s="28" t="str">
        <f t="shared" si="0"/>
        <v>5F</v>
      </c>
      <c r="C71" s="28">
        <v>95</v>
      </c>
      <c r="D71" s="37" t="str">
        <f t="shared" si="1"/>
        <v>_</v>
      </c>
      <c r="Q71" s="88" t="s">
        <v>580</v>
      </c>
      <c r="R71">
        <f>CODE(Q71)</f>
        <v>236</v>
      </c>
    </row>
    <row r="72" spans="2:18" x14ac:dyDescent="0.25">
      <c r="B72" s="28" t="str">
        <f t="shared" si="0"/>
        <v>60</v>
      </c>
      <c r="C72" s="28">
        <v>96</v>
      </c>
      <c r="D72" s="37" t="str">
        <f t="shared" si="1"/>
        <v>`</v>
      </c>
      <c r="Q72" t="s">
        <v>595</v>
      </c>
      <c r="R72">
        <f>CODE(Q72)</f>
        <v>3</v>
      </c>
    </row>
    <row r="73" spans="2:18" x14ac:dyDescent="0.25">
      <c r="B73" s="28" t="str">
        <f t="shared" si="0"/>
        <v>61</v>
      </c>
      <c r="C73" s="28">
        <v>97</v>
      </c>
      <c r="D73" s="37" t="str">
        <f t="shared" si="1"/>
        <v>a</v>
      </c>
    </row>
    <row r="74" spans="2:18" x14ac:dyDescent="0.25">
      <c r="B74" s="28" t="str">
        <f t="shared" si="0"/>
        <v>62</v>
      </c>
      <c r="C74" s="28">
        <v>98</v>
      </c>
      <c r="D74" s="37" t="str">
        <f t="shared" si="1"/>
        <v>b</v>
      </c>
    </row>
    <row r="75" spans="2:18" x14ac:dyDescent="0.25">
      <c r="B75" s="28" t="str">
        <f t="shared" si="0"/>
        <v>63</v>
      </c>
      <c r="C75" s="28">
        <v>99</v>
      </c>
      <c r="D75" s="37" t="str">
        <f t="shared" si="1"/>
        <v>c</v>
      </c>
      <c r="O75" t="s">
        <v>602</v>
      </c>
      <c r="P75" t="s">
        <v>612</v>
      </c>
      <c r="Q75" t="s">
        <v>619</v>
      </c>
    </row>
    <row r="76" spans="2:18" x14ac:dyDescent="0.25">
      <c r="B76" s="28" t="str">
        <f t="shared" ref="B76:B140" si="2">DEC2HEX(C76)</f>
        <v>64</v>
      </c>
      <c r="C76" s="28">
        <v>100</v>
      </c>
      <c r="D76" s="37" t="str">
        <f t="shared" ref="D76:D140" si="3">CHAR(C76)</f>
        <v>d</v>
      </c>
      <c r="O76" t="s">
        <v>237</v>
      </c>
      <c r="P76" t="s">
        <v>616</v>
      </c>
      <c r="Q76" t="s">
        <v>618</v>
      </c>
    </row>
    <row r="77" spans="2:18" x14ac:dyDescent="0.25">
      <c r="B77" s="28" t="str">
        <f t="shared" si="2"/>
        <v>65</v>
      </c>
      <c r="C77" s="28">
        <v>101</v>
      </c>
      <c r="D77" s="37" t="str">
        <f t="shared" si="3"/>
        <v>e</v>
      </c>
      <c r="O77" t="s">
        <v>603</v>
      </c>
      <c r="P77" t="s">
        <v>625</v>
      </c>
      <c r="Q77" t="s">
        <v>620</v>
      </c>
    </row>
    <row r="78" spans="2:18" x14ac:dyDescent="0.25">
      <c r="B78" s="28" t="str">
        <f t="shared" si="2"/>
        <v>66</v>
      </c>
      <c r="C78" s="28">
        <v>102</v>
      </c>
      <c r="D78" s="37" t="str">
        <f t="shared" si="3"/>
        <v>f</v>
      </c>
      <c r="O78" t="s">
        <v>555</v>
      </c>
      <c r="P78" t="s">
        <v>613</v>
      </c>
      <c r="Q78" t="s">
        <v>621</v>
      </c>
    </row>
    <row r="79" spans="2:18" x14ac:dyDescent="0.25">
      <c r="B79" s="28" t="str">
        <f t="shared" si="2"/>
        <v>67</v>
      </c>
      <c r="C79" s="28">
        <v>103</v>
      </c>
      <c r="D79" s="37" t="str">
        <f t="shared" si="3"/>
        <v>g</v>
      </c>
      <c r="O79" t="s">
        <v>604</v>
      </c>
      <c r="P79" t="s">
        <v>614</v>
      </c>
      <c r="Q79" t="s">
        <v>617</v>
      </c>
    </row>
    <row r="80" spans="2:18" x14ac:dyDescent="0.25">
      <c r="B80" s="28" t="str">
        <f t="shared" si="2"/>
        <v>68</v>
      </c>
      <c r="C80" s="28">
        <v>104</v>
      </c>
      <c r="D80" s="37" t="str">
        <f t="shared" si="3"/>
        <v>h</v>
      </c>
      <c r="O80" t="s">
        <v>607</v>
      </c>
      <c r="P80" t="s">
        <v>615</v>
      </c>
      <c r="Q80" t="s">
        <v>626</v>
      </c>
    </row>
    <row r="81" spans="2:21" x14ac:dyDescent="0.25">
      <c r="B81" s="28" t="str">
        <f t="shared" si="2"/>
        <v>69</v>
      </c>
      <c r="C81" s="28">
        <v>105</v>
      </c>
      <c r="D81" s="37" t="str">
        <f t="shared" si="3"/>
        <v>i</v>
      </c>
      <c r="O81" t="s">
        <v>600</v>
      </c>
      <c r="P81" t="s">
        <v>622</v>
      </c>
    </row>
    <row r="82" spans="2:21" x14ac:dyDescent="0.25">
      <c r="B82" s="28" t="str">
        <f t="shared" si="2"/>
        <v>6A</v>
      </c>
      <c r="C82" s="28">
        <v>106</v>
      </c>
      <c r="D82" s="37" t="str">
        <f t="shared" si="3"/>
        <v>j</v>
      </c>
      <c r="O82" t="s">
        <v>605</v>
      </c>
      <c r="P82" t="s">
        <v>623</v>
      </c>
    </row>
    <row r="83" spans="2:21" x14ac:dyDescent="0.25">
      <c r="B83" s="28" t="str">
        <f t="shared" si="2"/>
        <v>6B</v>
      </c>
      <c r="C83" s="28">
        <v>107</v>
      </c>
      <c r="D83" s="37" t="str">
        <f t="shared" si="3"/>
        <v>k</v>
      </c>
      <c r="O83" t="s">
        <v>606</v>
      </c>
      <c r="P83" t="s">
        <v>624</v>
      </c>
    </row>
    <row r="84" spans="2:21" x14ac:dyDescent="0.25">
      <c r="B84" s="28" t="str">
        <f t="shared" si="2"/>
        <v>6C</v>
      </c>
      <c r="C84" s="28">
        <v>108</v>
      </c>
      <c r="D84" s="37" t="str">
        <f t="shared" si="3"/>
        <v>l</v>
      </c>
      <c r="O84" t="s">
        <v>608</v>
      </c>
    </row>
    <row r="85" spans="2:21" x14ac:dyDescent="0.25">
      <c r="B85" s="28" t="str">
        <f t="shared" si="2"/>
        <v>6D</v>
      </c>
      <c r="C85" s="28">
        <v>109</v>
      </c>
      <c r="D85" s="37" t="str">
        <f t="shared" si="3"/>
        <v>m</v>
      </c>
      <c r="O85" t="s">
        <v>610</v>
      </c>
    </row>
    <row r="86" spans="2:21" x14ac:dyDescent="0.25">
      <c r="B86" s="28" t="str">
        <f t="shared" si="2"/>
        <v>6E</v>
      </c>
      <c r="C86" s="28">
        <v>110</v>
      </c>
      <c r="D86" s="37" t="str">
        <f t="shared" si="3"/>
        <v>n</v>
      </c>
      <c r="O86" t="s">
        <v>599</v>
      </c>
    </row>
    <row r="87" spans="2:21" x14ac:dyDescent="0.25">
      <c r="B87" s="28" t="str">
        <f t="shared" si="2"/>
        <v>6F</v>
      </c>
      <c r="C87" s="28">
        <v>111</v>
      </c>
      <c r="D87" s="37" t="str">
        <f t="shared" si="3"/>
        <v>o</v>
      </c>
      <c r="O87" t="s">
        <v>611</v>
      </c>
    </row>
    <row r="88" spans="2:21" x14ac:dyDescent="0.25">
      <c r="B88" s="28" t="str">
        <f t="shared" si="2"/>
        <v>70</v>
      </c>
      <c r="C88" s="28">
        <v>112</v>
      </c>
      <c r="D88" s="37" t="str">
        <f t="shared" si="3"/>
        <v>p</v>
      </c>
      <c r="O88" t="s">
        <v>601</v>
      </c>
      <c r="R88" s="94" t="s">
        <v>8</v>
      </c>
      <c r="S88" s="95" t="s">
        <v>630</v>
      </c>
      <c r="T88" s="94" t="s">
        <v>8</v>
      </c>
      <c r="U88" s="95" t="s">
        <v>630</v>
      </c>
    </row>
    <row r="89" spans="2:21" x14ac:dyDescent="0.25">
      <c r="B89" s="28" t="str">
        <f t="shared" si="2"/>
        <v>71</v>
      </c>
      <c r="C89" s="28">
        <v>113</v>
      </c>
      <c r="D89" s="37" t="str">
        <f t="shared" si="3"/>
        <v>q</v>
      </c>
      <c r="O89" t="s">
        <v>609</v>
      </c>
      <c r="Q89" s="93" t="s">
        <v>635</v>
      </c>
      <c r="R89" s="104" t="s">
        <v>636</v>
      </c>
      <c r="S89" s="105"/>
      <c r="T89" s="104" t="s">
        <v>637</v>
      </c>
      <c r="U89" s="105"/>
    </row>
    <row r="90" spans="2:21" x14ac:dyDescent="0.25">
      <c r="B90" s="28" t="str">
        <f t="shared" si="2"/>
        <v>72</v>
      </c>
      <c r="C90" s="28">
        <v>114</v>
      </c>
      <c r="D90" s="37" t="str">
        <f t="shared" si="3"/>
        <v>r</v>
      </c>
      <c r="P90" t="s">
        <v>627</v>
      </c>
      <c r="Q90" s="97" t="s">
        <v>628</v>
      </c>
      <c r="R90" s="89" t="s">
        <v>631</v>
      </c>
      <c r="S90" s="90" t="s">
        <v>632</v>
      </c>
      <c r="T90" s="89" t="s">
        <v>633</v>
      </c>
      <c r="U90" s="90" t="s">
        <v>632</v>
      </c>
    </row>
    <row r="91" spans="2:21" x14ac:dyDescent="0.25">
      <c r="B91" s="28" t="str">
        <f t="shared" si="2"/>
        <v>73</v>
      </c>
      <c r="C91" s="28">
        <v>115</v>
      </c>
      <c r="D91" s="37" t="str">
        <f t="shared" si="3"/>
        <v>s</v>
      </c>
      <c r="Q91" s="98" t="s">
        <v>629</v>
      </c>
      <c r="R91" s="91" t="s">
        <v>633</v>
      </c>
      <c r="S91" s="92" t="s">
        <v>634</v>
      </c>
      <c r="T91" s="91" t="s">
        <v>631</v>
      </c>
      <c r="U91" s="92" t="s">
        <v>634</v>
      </c>
    </row>
    <row r="92" spans="2:21" x14ac:dyDescent="0.25">
      <c r="B92" s="28" t="str">
        <f t="shared" si="2"/>
        <v>74</v>
      </c>
      <c r="C92" s="28">
        <v>116</v>
      </c>
      <c r="D92" s="37" t="str">
        <f t="shared" si="3"/>
        <v>t</v>
      </c>
    </row>
    <row r="93" spans="2:21" x14ac:dyDescent="0.25">
      <c r="B93" s="28" t="str">
        <f t="shared" si="2"/>
        <v>75</v>
      </c>
      <c r="C93" s="28">
        <v>117</v>
      </c>
      <c r="D93" s="37" t="str">
        <f t="shared" si="3"/>
        <v>u</v>
      </c>
      <c r="R93" s="94" t="s">
        <v>8</v>
      </c>
      <c r="S93" s="96" t="s">
        <v>630</v>
      </c>
      <c r="T93" s="96" t="s">
        <v>8</v>
      </c>
      <c r="U93" s="95" t="s">
        <v>630</v>
      </c>
    </row>
    <row r="94" spans="2:21" x14ac:dyDescent="0.25">
      <c r="B94" s="28" t="str">
        <f t="shared" si="2"/>
        <v>76</v>
      </c>
      <c r="C94" s="28">
        <v>118</v>
      </c>
      <c r="D94" s="37" t="str">
        <f t="shared" si="3"/>
        <v>v</v>
      </c>
      <c r="Q94" s="93" t="s">
        <v>638</v>
      </c>
      <c r="R94" s="106" t="s">
        <v>636</v>
      </c>
      <c r="S94" s="106"/>
      <c r="T94" s="106" t="s">
        <v>637</v>
      </c>
      <c r="U94" s="107"/>
    </row>
    <row r="95" spans="2:21" x14ac:dyDescent="0.25">
      <c r="B95" s="28" t="str">
        <f t="shared" si="2"/>
        <v>77</v>
      </c>
      <c r="C95" s="28">
        <v>119</v>
      </c>
      <c r="D95" s="37" t="str">
        <f t="shared" si="3"/>
        <v>w</v>
      </c>
      <c r="Q95" s="97" t="s">
        <v>628</v>
      </c>
      <c r="R95" s="89" t="s">
        <v>633</v>
      </c>
      <c r="S95" s="90" t="s">
        <v>631</v>
      </c>
      <c r="T95" s="89" t="s">
        <v>631</v>
      </c>
      <c r="U95" s="90" t="s">
        <v>631</v>
      </c>
    </row>
    <row r="96" spans="2:21" x14ac:dyDescent="0.25">
      <c r="B96" s="28" t="str">
        <f t="shared" si="2"/>
        <v>78</v>
      </c>
      <c r="C96" s="28">
        <v>120</v>
      </c>
      <c r="D96" s="37" t="str">
        <f t="shared" si="3"/>
        <v>x</v>
      </c>
      <c r="Q96" s="98" t="s">
        <v>629</v>
      </c>
      <c r="R96" s="91" t="s">
        <v>631</v>
      </c>
      <c r="S96" s="92" t="s">
        <v>633</v>
      </c>
      <c r="T96" s="91" t="s">
        <v>633</v>
      </c>
      <c r="U96" s="92" t="s">
        <v>633</v>
      </c>
    </row>
    <row r="97" spans="2:4" x14ac:dyDescent="0.25">
      <c r="B97" s="28" t="str">
        <f t="shared" si="2"/>
        <v>79</v>
      </c>
      <c r="C97" s="28">
        <v>121</v>
      </c>
      <c r="D97" s="37" t="str">
        <f t="shared" si="3"/>
        <v>y</v>
      </c>
    </row>
    <row r="98" spans="2:4" x14ac:dyDescent="0.25">
      <c r="B98" s="28" t="str">
        <f t="shared" si="2"/>
        <v>7A</v>
      </c>
      <c r="C98" s="28">
        <v>122</v>
      </c>
      <c r="D98" s="37" t="str">
        <f t="shared" si="3"/>
        <v>z</v>
      </c>
    </row>
    <row r="99" spans="2:4" x14ac:dyDescent="0.25">
      <c r="B99" s="28" t="str">
        <f t="shared" si="2"/>
        <v>7B</v>
      </c>
      <c r="C99" s="28">
        <v>123</v>
      </c>
      <c r="D99" s="37" t="str">
        <f t="shared" si="3"/>
        <v>{</v>
      </c>
    </row>
    <row r="100" spans="2:4" x14ac:dyDescent="0.25">
      <c r="B100" s="28" t="str">
        <f t="shared" si="2"/>
        <v>7C</v>
      </c>
      <c r="C100" s="28">
        <v>124</v>
      </c>
      <c r="D100" s="28" t="str">
        <f t="shared" si="3"/>
        <v>|</v>
      </c>
    </row>
    <row r="101" spans="2:4" x14ac:dyDescent="0.25">
      <c r="B101" s="28" t="str">
        <f t="shared" si="2"/>
        <v>7D</v>
      </c>
      <c r="C101" s="28">
        <v>125</v>
      </c>
      <c r="D101" s="37" t="str">
        <f t="shared" si="3"/>
        <v>}</v>
      </c>
    </row>
    <row r="102" spans="2:4" x14ac:dyDescent="0.25">
      <c r="B102" s="28" t="str">
        <f t="shared" si="2"/>
        <v>7E</v>
      </c>
      <c r="C102" s="28">
        <v>126</v>
      </c>
      <c r="D102" s="37" t="str">
        <f t="shared" si="3"/>
        <v>~</v>
      </c>
    </row>
    <row r="103" spans="2:4" x14ac:dyDescent="0.25">
      <c r="B103" s="28"/>
      <c r="C103" s="28"/>
      <c r="D103" s="37"/>
    </row>
    <row r="104" spans="2:4" x14ac:dyDescent="0.25">
      <c r="B104" s="28" t="str">
        <f t="shared" si="2"/>
        <v>7F</v>
      </c>
      <c r="C104" s="28">
        <v>127</v>
      </c>
      <c r="D104" s="37" t="str">
        <f t="shared" si="3"/>
        <v></v>
      </c>
    </row>
    <row r="105" spans="2:4" x14ac:dyDescent="0.25">
      <c r="B105" s="28" t="str">
        <f t="shared" si="2"/>
        <v>80</v>
      </c>
      <c r="C105" s="28">
        <v>128</v>
      </c>
      <c r="D105" s="37" t="str">
        <f t="shared" si="3"/>
        <v>€</v>
      </c>
    </row>
    <row r="106" spans="2:4" x14ac:dyDescent="0.25">
      <c r="B106" s="28" t="str">
        <f t="shared" si="2"/>
        <v>81</v>
      </c>
      <c r="C106" s="28">
        <v>129</v>
      </c>
      <c r="D106" s="37" t="str">
        <f t="shared" si="3"/>
        <v></v>
      </c>
    </row>
    <row r="107" spans="2:4" x14ac:dyDescent="0.25">
      <c r="B107" s="28" t="str">
        <f t="shared" si="2"/>
        <v>82</v>
      </c>
      <c r="C107" s="28">
        <v>130</v>
      </c>
      <c r="D107" s="37" t="str">
        <f t="shared" si="3"/>
        <v>‚</v>
      </c>
    </row>
    <row r="108" spans="2:4" x14ac:dyDescent="0.25">
      <c r="B108" s="28" t="str">
        <f t="shared" si="2"/>
        <v>83</v>
      </c>
      <c r="C108" s="28">
        <v>131</v>
      </c>
      <c r="D108" s="37" t="str">
        <f t="shared" si="3"/>
        <v>ƒ</v>
      </c>
    </row>
    <row r="109" spans="2:4" x14ac:dyDescent="0.25">
      <c r="B109" s="28" t="str">
        <f t="shared" si="2"/>
        <v>84</v>
      </c>
      <c r="C109" s="28">
        <v>132</v>
      </c>
      <c r="D109" s="37" t="str">
        <f t="shared" si="3"/>
        <v>„</v>
      </c>
    </row>
    <row r="110" spans="2:4" x14ac:dyDescent="0.25">
      <c r="B110" s="28" t="str">
        <f t="shared" si="2"/>
        <v>85</v>
      </c>
      <c r="C110" s="28">
        <v>133</v>
      </c>
      <c r="D110" s="37" t="str">
        <f t="shared" si="3"/>
        <v>…</v>
      </c>
    </row>
    <row r="111" spans="2:4" x14ac:dyDescent="0.25">
      <c r="B111" s="28" t="str">
        <f t="shared" si="2"/>
        <v>86</v>
      </c>
      <c r="C111" s="28">
        <v>134</v>
      </c>
      <c r="D111" s="37" t="str">
        <f t="shared" si="3"/>
        <v>†</v>
      </c>
    </row>
    <row r="112" spans="2:4" x14ac:dyDescent="0.25">
      <c r="B112" s="28" t="str">
        <f t="shared" si="2"/>
        <v>87</v>
      </c>
      <c r="C112" s="28">
        <v>135</v>
      </c>
      <c r="D112" s="37" t="str">
        <f t="shared" si="3"/>
        <v>‡</v>
      </c>
    </row>
    <row r="113" spans="2:4" x14ac:dyDescent="0.25">
      <c r="B113" s="28" t="str">
        <f t="shared" si="2"/>
        <v>88</v>
      </c>
      <c r="C113" s="28">
        <v>136</v>
      </c>
      <c r="D113" s="37" t="str">
        <f t="shared" si="3"/>
        <v>ˆ</v>
      </c>
    </row>
    <row r="114" spans="2:4" x14ac:dyDescent="0.25">
      <c r="B114" s="28" t="str">
        <f t="shared" si="2"/>
        <v>89</v>
      </c>
      <c r="C114" s="28">
        <v>137</v>
      </c>
      <c r="D114" s="37" t="str">
        <f t="shared" si="3"/>
        <v>‰</v>
      </c>
    </row>
    <row r="115" spans="2:4" x14ac:dyDescent="0.25">
      <c r="B115" s="28" t="str">
        <f t="shared" si="2"/>
        <v>8A</v>
      </c>
      <c r="C115" s="28">
        <v>138</v>
      </c>
      <c r="D115" s="37" t="str">
        <f t="shared" si="3"/>
        <v>Š</v>
      </c>
    </row>
    <row r="116" spans="2:4" x14ac:dyDescent="0.25">
      <c r="B116" s="28" t="str">
        <f t="shared" si="2"/>
        <v>8B</v>
      </c>
      <c r="C116" s="28">
        <v>139</v>
      </c>
      <c r="D116" s="37" t="str">
        <f t="shared" si="3"/>
        <v>‹</v>
      </c>
    </row>
    <row r="117" spans="2:4" x14ac:dyDescent="0.25">
      <c r="B117" s="28" t="str">
        <f t="shared" si="2"/>
        <v>8C</v>
      </c>
      <c r="C117" s="28">
        <v>140</v>
      </c>
      <c r="D117" s="37" t="str">
        <f t="shared" si="3"/>
        <v>Œ</v>
      </c>
    </row>
    <row r="118" spans="2:4" x14ac:dyDescent="0.25">
      <c r="B118" s="28" t="str">
        <f t="shared" si="2"/>
        <v>8D</v>
      </c>
      <c r="C118" s="28">
        <v>141</v>
      </c>
      <c r="D118" s="37" t="str">
        <f t="shared" si="3"/>
        <v></v>
      </c>
    </row>
    <row r="119" spans="2:4" x14ac:dyDescent="0.25">
      <c r="B119" s="28" t="str">
        <f t="shared" si="2"/>
        <v>8E</v>
      </c>
      <c r="C119" s="28">
        <v>142</v>
      </c>
      <c r="D119" s="37" t="str">
        <f t="shared" si="3"/>
        <v>Ž</v>
      </c>
    </row>
    <row r="120" spans="2:4" x14ac:dyDescent="0.25">
      <c r="B120" s="28" t="str">
        <f t="shared" si="2"/>
        <v>8F</v>
      </c>
      <c r="C120" s="28">
        <v>143</v>
      </c>
      <c r="D120" s="37" t="str">
        <f t="shared" si="3"/>
        <v></v>
      </c>
    </row>
    <row r="121" spans="2:4" x14ac:dyDescent="0.25">
      <c r="B121" s="28" t="str">
        <f t="shared" si="2"/>
        <v>90</v>
      </c>
      <c r="C121" s="28">
        <v>144</v>
      </c>
      <c r="D121" s="37" t="str">
        <f t="shared" si="3"/>
        <v></v>
      </c>
    </row>
    <row r="122" spans="2:4" x14ac:dyDescent="0.25">
      <c r="B122" s="28" t="str">
        <f t="shared" si="2"/>
        <v>91</v>
      </c>
      <c r="C122" s="28">
        <v>145</v>
      </c>
      <c r="D122" s="37" t="str">
        <f t="shared" si="3"/>
        <v>‘</v>
      </c>
    </row>
    <row r="123" spans="2:4" x14ac:dyDescent="0.25">
      <c r="B123" s="28" t="str">
        <f t="shared" si="2"/>
        <v>92</v>
      </c>
      <c r="C123" s="28">
        <v>146</v>
      </c>
      <c r="D123" s="37" t="str">
        <f t="shared" si="3"/>
        <v>’</v>
      </c>
    </row>
    <row r="124" spans="2:4" x14ac:dyDescent="0.25">
      <c r="B124" s="28" t="str">
        <f t="shared" si="2"/>
        <v>93</v>
      </c>
      <c r="C124" s="28">
        <v>147</v>
      </c>
      <c r="D124" s="37" t="str">
        <f t="shared" si="3"/>
        <v>“</v>
      </c>
    </row>
    <row r="125" spans="2:4" x14ac:dyDescent="0.25">
      <c r="B125" s="28" t="str">
        <f t="shared" si="2"/>
        <v>94</v>
      </c>
      <c r="C125" s="28">
        <v>148</v>
      </c>
      <c r="D125" s="37" t="str">
        <f t="shared" si="3"/>
        <v>”</v>
      </c>
    </row>
    <row r="126" spans="2:4" x14ac:dyDescent="0.25">
      <c r="B126" s="28" t="str">
        <f t="shared" si="2"/>
        <v>95</v>
      </c>
      <c r="C126" s="28">
        <v>149</v>
      </c>
      <c r="D126" s="37" t="str">
        <f t="shared" si="3"/>
        <v>•</v>
      </c>
    </row>
    <row r="127" spans="2:4" x14ac:dyDescent="0.25">
      <c r="B127" s="28" t="str">
        <f t="shared" si="2"/>
        <v>96</v>
      </c>
      <c r="C127" s="28">
        <v>150</v>
      </c>
      <c r="D127" s="37" t="str">
        <f t="shared" si="3"/>
        <v>–</v>
      </c>
    </row>
    <row r="128" spans="2:4" x14ac:dyDescent="0.25">
      <c r="B128" s="28" t="str">
        <f t="shared" si="2"/>
        <v>97</v>
      </c>
      <c r="C128" s="28">
        <v>151</v>
      </c>
      <c r="D128" s="37" t="str">
        <f t="shared" si="3"/>
        <v>—</v>
      </c>
    </row>
    <row r="129" spans="2:4" x14ac:dyDescent="0.25">
      <c r="B129" s="28" t="str">
        <f t="shared" si="2"/>
        <v>98</v>
      </c>
      <c r="C129" s="28">
        <v>152</v>
      </c>
      <c r="D129" s="37" t="str">
        <f t="shared" si="3"/>
        <v>˜</v>
      </c>
    </row>
    <row r="130" spans="2:4" x14ac:dyDescent="0.25">
      <c r="B130" s="28" t="str">
        <f t="shared" si="2"/>
        <v>99</v>
      </c>
      <c r="C130" s="28">
        <v>153</v>
      </c>
      <c r="D130" s="37" t="str">
        <f t="shared" si="3"/>
        <v>™</v>
      </c>
    </row>
    <row r="131" spans="2:4" x14ac:dyDescent="0.25">
      <c r="B131" s="28" t="str">
        <f t="shared" si="2"/>
        <v>9A</v>
      </c>
      <c r="C131" s="28">
        <v>154</v>
      </c>
      <c r="D131" s="37" t="str">
        <f t="shared" si="3"/>
        <v>š</v>
      </c>
    </row>
    <row r="132" spans="2:4" x14ac:dyDescent="0.25">
      <c r="B132" s="28" t="str">
        <f t="shared" si="2"/>
        <v>9B</v>
      </c>
      <c r="C132" s="28">
        <v>155</v>
      </c>
      <c r="D132" s="37" t="str">
        <f t="shared" si="3"/>
        <v>›</v>
      </c>
    </row>
    <row r="133" spans="2:4" x14ac:dyDescent="0.25">
      <c r="B133" s="28" t="str">
        <f t="shared" si="2"/>
        <v>9C</v>
      </c>
      <c r="C133" s="28">
        <v>156</v>
      </c>
      <c r="D133" s="37" t="str">
        <f t="shared" si="3"/>
        <v>œ</v>
      </c>
    </row>
    <row r="134" spans="2:4" x14ac:dyDescent="0.25">
      <c r="B134" s="28" t="str">
        <f t="shared" si="2"/>
        <v>9D</v>
      </c>
      <c r="C134" s="28">
        <v>157</v>
      </c>
      <c r="D134" s="37" t="str">
        <f t="shared" si="3"/>
        <v></v>
      </c>
    </row>
    <row r="135" spans="2:4" x14ac:dyDescent="0.25">
      <c r="B135" s="28" t="str">
        <f t="shared" si="2"/>
        <v>9E</v>
      </c>
      <c r="C135" s="28">
        <v>158</v>
      </c>
      <c r="D135" s="37" t="str">
        <f t="shared" si="3"/>
        <v>ž</v>
      </c>
    </row>
    <row r="136" spans="2:4" x14ac:dyDescent="0.25">
      <c r="B136" s="28" t="str">
        <f t="shared" si="2"/>
        <v>9F</v>
      </c>
      <c r="C136" s="28">
        <v>159</v>
      </c>
      <c r="D136" s="37" t="str">
        <f t="shared" si="3"/>
        <v>Ÿ</v>
      </c>
    </row>
    <row r="137" spans="2:4" x14ac:dyDescent="0.25">
      <c r="B137" s="28" t="str">
        <f t="shared" si="2"/>
        <v>A0</v>
      </c>
      <c r="C137" s="28">
        <v>160</v>
      </c>
      <c r="D137" s="37" t="str">
        <f t="shared" si="3"/>
        <v> </v>
      </c>
    </row>
    <row r="138" spans="2:4" x14ac:dyDescent="0.25">
      <c r="B138" s="28" t="str">
        <f t="shared" si="2"/>
        <v>A1</v>
      </c>
      <c r="C138" s="28">
        <v>161</v>
      </c>
      <c r="D138" s="37" t="str">
        <f t="shared" si="3"/>
        <v>¡</v>
      </c>
    </row>
    <row r="139" spans="2:4" x14ac:dyDescent="0.25">
      <c r="B139" s="28" t="str">
        <f t="shared" si="2"/>
        <v>A2</v>
      </c>
      <c r="C139" s="28">
        <v>162</v>
      </c>
      <c r="D139" s="37" t="str">
        <f t="shared" si="3"/>
        <v>¢</v>
      </c>
    </row>
    <row r="140" spans="2:4" x14ac:dyDescent="0.25">
      <c r="B140" s="28" t="str">
        <f t="shared" si="2"/>
        <v>A3</v>
      </c>
      <c r="C140" s="28">
        <v>163</v>
      </c>
      <c r="D140" s="37" t="str">
        <f t="shared" si="3"/>
        <v>£</v>
      </c>
    </row>
    <row r="141" spans="2:4" x14ac:dyDescent="0.25">
      <c r="B141" s="28" t="str">
        <f t="shared" ref="B141:B204" si="4">DEC2HEX(C141)</f>
        <v>A4</v>
      </c>
      <c r="C141" s="28">
        <v>164</v>
      </c>
      <c r="D141" s="37" t="str">
        <f t="shared" ref="D141:D204" si="5">CHAR(C141)</f>
        <v>¤</v>
      </c>
    </row>
    <row r="142" spans="2:4" x14ac:dyDescent="0.25">
      <c r="B142" s="28" t="str">
        <f t="shared" si="4"/>
        <v>A5</v>
      </c>
      <c r="C142" s="28">
        <v>165</v>
      </c>
      <c r="D142" s="37" t="str">
        <f t="shared" si="5"/>
        <v>¥</v>
      </c>
    </row>
    <row r="143" spans="2:4" x14ac:dyDescent="0.25">
      <c r="B143" s="28" t="str">
        <f t="shared" si="4"/>
        <v>A6</v>
      </c>
      <c r="C143" s="28">
        <v>166</v>
      </c>
      <c r="D143" s="37" t="str">
        <f t="shared" si="5"/>
        <v>¦</v>
      </c>
    </row>
    <row r="144" spans="2:4" x14ac:dyDescent="0.25">
      <c r="B144" s="28" t="str">
        <f t="shared" si="4"/>
        <v>A7</v>
      </c>
      <c r="C144" s="28">
        <v>167</v>
      </c>
      <c r="D144" s="37" t="str">
        <f t="shared" si="5"/>
        <v>§</v>
      </c>
    </row>
    <row r="145" spans="2:4" x14ac:dyDescent="0.25">
      <c r="B145" s="28" t="str">
        <f t="shared" si="4"/>
        <v>A8</v>
      </c>
      <c r="C145" s="28">
        <v>168</v>
      </c>
      <c r="D145" s="37" t="str">
        <f t="shared" si="5"/>
        <v>¨</v>
      </c>
    </row>
    <row r="146" spans="2:4" x14ac:dyDescent="0.25">
      <c r="B146" s="28" t="str">
        <f t="shared" si="4"/>
        <v>A9</v>
      </c>
      <c r="C146" s="28">
        <v>169</v>
      </c>
      <c r="D146" s="37" t="str">
        <f t="shared" si="5"/>
        <v>©</v>
      </c>
    </row>
    <row r="147" spans="2:4" x14ac:dyDescent="0.25">
      <c r="B147" s="28" t="str">
        <f t="shared" si="4"/>
        <v>AA</v>
      </c>
      <c r="C147" s="28">
        <v>170</v>
      </c>
      <c r="D147" s="37" t="str">
        <f t="shared" si="5"/>
        <v>ª</v>
      </c>
    </row>
    <row r="148" spans="2:4" x14ac:dyDescent="0.25">
      <c r="B148" s="28" t="str">
        <f t="shared" si="4"/>
        <v>AB</v>
      </c>
      <c r="C148" s="28">
        <v>171</v>
      </c>
      <c r="D148" s="37" t="str">
        <f t="shared" si="5"/>
        <v>«</v>
      </c>
    </row>
    <row r="149" spans="2:4" x14ac:dyDescent="0.25">
      <c r="B149" s="28" t="str">
        <f t="shared" si="4"/>
        <v>AC</v>
      </c>
      <c r="C149" s="28">
        <v>172</v>
      </c>
      <c r="D149" s="37" t="str">
        <f t="shared" si="5"/>
        <v>¬</v>
      </c>
    </row>
    <row r="150" spans="2:4" x14ac:dyDescent="0.25">
      <c r="B150" s="28" t="str">
        <f t="shared" si="4"/>
        <v>AD</v>
      </c>
      <c r="C150" s="28">
        <v>173</v>
      </c>
      <c r="D150" s="28" t="str">
        <f t="shared" si="5"/>
        <v>­</v>
      </c>
    </row>
    <row r="151" spans="2:4" x14ac:dyDescent="0.25">
      <c r="B151" s="28" t="str">
        <f t="shared" si="4"/>
        <v>AE</v>
      </c>
      <c r="C151" s="28">
        <v>174</v>
      </c>
      <c r="D151" s="37" t="str">
        <f t="shared" si="5"/>
        <v>®</v>
      </c>
    </row>
    <row r="152" spans="2:4" x14ac:dyDescent="0.25">
      <c r="B152" s="28" t="str">
        <f t="shared" si="4"/>
        <v>AF</v>
      </c>
      <c r="C152" s="28">
        <v>175</v>
      </c>
      <c r="D152" s="37" t="str">
        <f t="shared" si="5"/>
        <v>¯</v>
      </c>
    </row>
    <row r="153" spans="2:4" x14ac:dyDescent="0.25">
      <c r="B153" s="28" t="str">
        <f t="shared" si="4"/>
        <v>B0</v>
      </c>
      <c r="C153" s="28">
        <v>176</v>
      </c>
      <c r="D153" s="37" t="str">
        <f t="shared" si="5"/>
        <v>°</v>
      </c>
    </row>
    <row r="154" spans="2:4" x14ac:dyDescent="0.25">
      <c r="B154" s="28" t="str">
        <f t="shared" si="4"/>
        <v>B1</v>
      </c>
      <c r="C154" s="28">
        <v>177</v>
      </c>
      <c r="D154" s="37" t="str">
        <f t="shared" si="5"/>
        <v>±</v>
      </c>
    </row>
    <row r="155" spans="2:4" x14ac:dyDescent="0.25">
      <c r="B155" s="28" t="str">
        <f t="shared" si="4"/>
        <v>B2</v>
      </c>
      <c r="C155" s="28">
        <v>178</v>
      </c>
      <c r="D155" s="37" t="str">
        <f t="shared" si="5"/>
        <v>²</v>
      </c>
    </row>
    <row r="156" spans="2:4" x14ac:dyDescent="0.25">
      <c r="B156" s="28" t="str">
        <f t="shared" si="4"/>
        <v>B3</v>
      </c>
      <c r="C156" s="28">
        <v>179</v>
      </c>
      <c r="D156" s="37" t="str">
        <f t="shared" si="5"/>
        <v>³</v>
      </c>
    </row>
    <row r="157" spans="2:4" x14ac:dyDescent="0.25">
      <c r="B157" s="28" t="str">
        <f t="shared" si="4"/>
        <v>B4</v>
      </c>
      <c r="C157" s="28">
        <v>180</v>
      </c>
      <c r="D157" s="37" t="str">
        <f t="shared" si="5"/>
        <v>´</v>
      </c>
    </row>
    <row r="158" spans="2:4" x14ac:dyDescent="0.25">
      <c r="B158" s="28" t="str">
        <f t="shared" si="4"/>
        <v>B5</v>
      </c>
      <c r="C158" s="28">
        <v>181</v>
      </c>
      <c r="D158" s="37" t="str">
        <f t="shared" si="5"/>
        <v>µ</v>
      </c>
    </row>
    <row r="159" spans="2:4" x14ac:dyDescent="0.25">
      <c r="B159" s="28" t="str">
        <f t="shared" si="4"/>
        <v>B6</v>
      </c>
      <c r="C159" s="28">
        <v>182</v>
      </c>
      <c r="D159" s="37" t="str">
        <f t="shared" si="5"/>
        <v>¶</v>
      </c>
    </row>
    <row r="160" spans="2:4" x14ac:dyDescent="0.25">
      <c r="B160" s="28" t="str">
        <f t="shared" si="4"/>
        <v>B7</v>
      </c>
      <c r="C160" s="28">
        <v>183</v>
      </c>
      <c r="D160" s="37" t="str">
        <f t="shared" si="5"/>
        <v>·</v>
      </c>
    </row>
    <row r="161" spans="2:4" x14ac:dyDescent="0.25">
      <c r="B161" s="28" t="str">
        <f t="shared" si="4"/>
        <v>B8</v>
      </c>
      <c r="C161" s="28">
        <v>184</v>
      </c>
      <c r="D161" s="37" t="str">
        <f t="shared" si="5"/>
        <v>¸</v>
      </c>
    </row>
    <row r="162" spans="2:4" x14ac:dyDescent="0.25">
      <c r="B162" s="28" t="str">
        <f t="shared" si="4"/>
        <v>B9</v>
      </c>
      <c r="C162" s="28">
        <v>185</v>
      </c>
      <c r="D162" s="37" t="str">
        <f t="shared" si="5"/>
        <v>¹</v>
      </c>
    </row>
    <row r="163" spans="2:4" x14ac:dyDescent="0.25">
      <c r="B163" s="28" t="str">
        <f t="shared" si="4"/>
        <v>BA</v>
      </c>
      <c r="C163" s="28">
        <v>186</v>
      </c>
      <c r="D163" s="37" t="str">
        <f t="shared" si="5"/>
        <v>º</v>
      </c>
    </row>
    <row r="164" spans="2:4" x14ac:dyDescent="0.25">
      <c r="B164" s="28" t="str">
        <f t="shared" si="4"/>
        <v>BB</v>
      </c>
      <c r="C164" s="28">
        <v>187</v>
      </c>
      <c r="D164" s="37" t="str">
        <f t="shared" si="5"/>
        <v>»</v>
      </c>
    </row>
    <row r="165" spans="2:4" x14ac:dyDescent="0.25">
      <c r="B165" s="28" t="str">
        <f t="shared" si="4"/>
        <v>BC</v>
      </c>
      <c r="C165" s="28">
        <v>188</v>
      </c>
      <c r="D165" s="37" t="str">
        <f t="shared" si="5"/>
        <v>¼</v>
      </c>
    </row>
    <row r="166" spans="2:4" x14ac:dyDescent="0.25">
      <c r="B166" s="28" t="str">
        <f t="shared" si="4"/>
        <v>BD</v>
      </c>
      <c r="C166" s="28">
        <v>189</v>
      </c>
      <c r="D166" s="37" t="str">
        <f t="shared" si="5"/>
        <v>½</v>
      </c>
    </row>
    <row r="167" spans="2:4" x14ac:dyDescent="0.25">
      <c r="B167" s="28" t="str">
        <f t="shared" si="4"/>
        <v>BE</v>
      </c>
      <c r="C167" s="28">
        <v>190</v>
      </c>
      <c r="D167" s="37" t="str">
        <f t="shared" si="5"/>
        <v>¾</v>
      </c>
    </row>
    <row r="168" spans="2:4" x14ac:dyDescent="0.25">
      <c r="B168" s="28" t="str">
        <f t="shared" si="4"/>
        <v>BF</v>
      </c>
      <c r="C168" s="28">
        <v>191</v>
      </c>
      <c r="D168" s="37" t="str">
        <f t="shared" si="5"/>
        <v>¿</v>
      </c>
    </row>
    <row r="169" spans="2:4" x14ac:dyDescent="0.25">
      <c r="B169" s="28" t="str">
        <f t="shared" si="4"/>
        <v>C0</v>
      </c>
      <c r="C169" s="28">
        <v>192</v>
      </c>
      <c r="D169" s="37" t="str">
        <f t="shared" si="5"/>
        <v>À</v>
      </c>
    </row>
    <row r="170" spans="2:4" x14ac:dyDescent="0.25">
      <c r="B170" s="28" t="str">
        <f t="shared" si="4"/>
        <v>C1</v>
      </c>
      <c r="C170" s="28">
        <v>193</v>
      </c>
      <c r="D170" s="37" t="str">
        <f t="shared" si="5"/>
        <v>Á</v>
      </c>
    </row>
    <row r="171" spans="2:4" x14ac:dyDescent="0.25">
      <c r="B171" s="28" t="str">
        <f t="shared" si="4"/>
        <v>C2</v>
      </c>
      <c r="C171" s="28">
        <v>194</v>
      </c>
      <c r="D171" s="37" t="str">
        <f t="shared" si="5"/>
        <v>Â</v>
      </c>
    </row>
    <row r="172" spans="2:4" x14ac:dyDescent="0.25">
      <c r="B172" s="28" t="str">
        <f t="shared" si="4"/>
        <v>C3</v>
      </c>
      <c r="C172" s="28">
        <v>195</v>
      </c>
      <c r="D172" s="37" t="str">
        <f t="shared" si="5"/>
        <v>Ã</v>
      </c>
    </row>
    <row r="173" spans="2:4" x14ac:dyDescent="0.25">
      <c r="B173" s="28" t="str">
        <f t="shared" si="4"/>
        <v>C4</v>
      </c>
      <c r="C173" s="28">
        <v>196</v>
      </c>
      <c r="D173" s="37" t="str">
        <f t="shared" si="5"/>
        <v>Ä</v>
      </c>
    </row>
    <row r="174" spans="2:4" x14ac:dyDescent="0.25">
      <c r="B174" s="28" t="str">
        <f t="shared" si="4"/>
        <v>C5</v>
      </c>
      <c r="C174" s="28">
        <v>197</v>
      </c>
      <c r="D174" s="37" t="str">
        <f t="shared" si="5"/>
        <v>Å</v>
      </c>
    </row>
    <row r="175" spans="2:4" x14ac:dyDescent="0.25">
      <c r="B175" s="28" t="str">
        <f t="shared" si="4"/>
        <v>C6</v>
      </c>
      <c r="C175" s="28">
        <v>198</v>
      </c>
      <c r="D175" s="37" t="str">
        <f t="shared" si="5"/>
        <v>Æ</v>
      </c>
    </row>
    <row r="176" spans="2:4" x14ac:dyDescent="0.25">
      <c r="B176" s="28" t="str">
        <f t="shared" si="4"/>
        <v>C7</v>
      </c>
      <c r="C176" s="28">
        <v>199</v>
      </c>
      <c r="D176" s="37" t="str">
        <f t="shared" si="5"/>
        <v>Ç</v>
      </c>
    </row>
    <row r="177" spans="2:4" x14ac:dyDescent="0.25">
      <c r="B177" s="28" t="str">
        <f t="shared" si="4"/>
        <v>C8</v>
      </c>
      <c r="C177" s="28">
        <v>200</v>
      </c>
      <c r="D177" s="37" t="str">
        <f t="shared" si="5"/>
        <v>È</v>
      </c>
    </row>
    <row r="178" spans="2:4" x14ac:dyDescent="0.25">
      <c r="B178" s="28" t="str">
        <f t="shared" si="4"/>
        <v>C9</v>
      </c>
      <c r="C178" s="28">
        <v>201</v>
      </c>
      <c r="D178" s="37" t="str">
        <f t="shared" si="5"/>
        <v>É</v>
      </c>
    </row>
    <row r="179" spans="2:4" x14ac:dyDescent="0.25">
      <c r="B179" s="28" t="str">
        <f t="shared" si="4"/>
        <v>CA</v>
      </c>
      <c r="C179" s="28">
        <v>202</v>
      </c>
      <c r="D179" s="37" t="str">
        <f t="shared" si="5"/>
        <v>Ê</v>
      </c>
    </row>
    <row r="180" spans="2:4" x14ac:dyDescent="0.25">
      <c r="B180" s="28" t="str">
        <f t="shared" si="4"/>
        <v>CB</v>
      </c>
      <c r="C180" s="28">
        <v>203</v>
      </c>
      <c r="D180" s="37" t="str">
        <f t="shared" si="5"/>
        <v>Ë</v>
      </c>
    </row>
    <row r="181" spans="2:4" x14ac:dyDescent="0.25">
      <c r="B181" s="28" t="str">
        <f t="shared" si="4"/>
        <v>CC</v>
      </c>
      <c r="C181" s="28">
        <v>204</v>
      </c>
      <c r="D181" s="37" t="str">
        <f t="shared" si="5"/>
        <v>Ì</v>
      </c>
    </row>
    <row r="182" spans="2:4" x14ac:dyDescent="0.25">
      <c r="B182" s="28" t="str">
        <f t="shared" si="4"/>
        <v>CD</v>
      </c>
      <c r="C182" s="28">
        <v>205</v>
      </c>
      <c r="D182" s="37" t="str">
        <f t="shared" si="5"/>
        <v>Í</v>
      </c>
    </row>
    <row r="183" spans="2:4" x14ac:dyDescent="0.25">
      <c r="B183" s="28" t="str">
        <f t="shared" si="4"/>
        <v>CE</v>
      </c>
      <c r="C183" s="28">
        <v>206</v>
      </c>
      <c r="D183" s="37" t="str">
        <f t="shared" si="5"/>
        <v>Î</v>
      </c>
    </row>
    <row r="184" spans="2:4" x14ac:dyDescent="0.25">
      <c r="B184" s="28" t="str">
        <f t="shared" si="4"/>
        <v>CF</v>
      </c>
      <c r="C184" s="28">
        <v>207</v>
      </c>
      <c r="D184" s="37" t="str">
        <f t="shared" si="5"/>
        <v>Ï</v>
      </c>
    </row>
    <row r="185" spans="2:4" x14ac:dyDescent="0.25">
      <c r="B185" s="28" t="str">
        <f t="shared" si="4"/>
        <v>D0</v>
      </c>
      <c r="C185" s="28">
        <v>208</v>
      </c>
      <c r="D185" s="37" t="str">
        <f t="shared" si="5"/>
        <v>Ð</v>
      </c>
    </row>
    <row r="186" spans="2:4" x14ac:dyDescent="0.25">
      <c r="B186" s="28" t="str">
        <f t="shared" si="4"/>
        <v>D1</v>
      </c>
      <c r="C186" s="28">
        <v>209</v>
      </c>
      <c r="D186" s="37" t="str">
        <f t="shared" si="5"/>
        <v>Ñ</v>
      </c>
    </row>
    <row r="187" spans="2:4" x14ac:dyDescent="0.25">
      <c r="B187" s="28" t="str">
        <f t="shared" si="4"/>
        <v>D2</v>
      </c>
      <c r="C187" s="28">
        <v>210</v>
      </c>
      <c r="D187" s="37" t="str">
        <f t="shared" si="5"/>
        <v>Ò</v>
      </c>
    </row>
    <row r="188" spans="2:4" x14ac:dyDescent="0.25">
      <c r="B188" s="28" t="str">
        <f t="shared" si="4"/>
        <v>D3</v>
      </c>
      <c r="C188" s="28">
        <v>211</v>
      </c>
      <c r="D188" s="37" t="str">
        <f t="shared" si="5"/>
        <v>Ó</v>
      </c>
    </row>
    <row r="189" spans="2:4" x14ac:dyDescent="0.25">
      <c r="B189" s="28" t="str">
        <f t="shared" si="4"/>
        <v>D4</v>
      </c>
      <c r="C189" s="28">
        <v>212</v>
      </c>
      <c r="D189" s="37" t="str">
        <f t="shared" si="5"/>
        <v>Ô</v>
      </c>
    </row>
    <row r="190" spans="2:4" x14ac:dyDescent="0.25">
      <c r="B190" s="28" t="str">
        <f t="shared" si="4"/>
        <v>D5</v>
      </c>
      <c r="C190" s="28">
        <v>213</v>
      </c>
      <c r="D190" s="37" t="str">
        <f t="shared" si="5"/>
        <v>Õ</v>
      </c>
    </row>
    <row r="191" spans="2:4" x14ac:dyDescent="0.25">
      <c r="B191" s="28" t="str">
        <f t="shared" si="4"/>
        <v>D6</v>
      </c>
      <c r="C191" s="28">
        <v>214</v>
      </c>
      <c r="D191" s="37" t="str">
        <f t="shared" si="5"/>
        <v>Ö</v>
      </c>
    </row>
    <row r="192" spans="2:4" x14ac:dyDescent="0.25">
      <c r="B192" s="28" t="str">
        <f t="shared" si="4"/>
        <v>D7</v>
      </c>
      <c r="C192" s="28">
        <v>215</v>
      </c>
      <c r="D192" s="37" t="str">
        <f t="shared" si="5"/>
        <v>×</v>
      </c>
    </row>
    <row r="193" spans="2:4" x14ac:dyDescent="0.25">
      <c r="B193" s="28" t="str">
        <f t="shared" si="4"/>
        <v>D8</v>
      </c>
      <c r="C193" s="28">
        <v>216</v>
      </c>
      <c r="D193" s="28" t="str">
        <f t="shared" si="5"/>
        <v>Ø</v>
      </c>
    </row>
    <row r="194" spans="2:4" x14ac:dyDescent="0.25">
      <c r="B194" s="28" t="str">
        <f t="shared" si="4"/>
        <v>D9</v>
      </c>
      <c r="C194" s="28">
        <v>217</v>
      </c>
      <c r="D194" s="37" t="str">
        <f t="shared" si="5"/>
        <v>Ù</v>
      </c>
    </row>
    <row r="195" spans="2:4" x14ac:dyDescent="0.25">
      <c r="B195" s="28" t="str">
        <f t="shared" si="4"/>
        <v>DA</v>
      </c>
      <c r="C195" s="28">
        <v>218</v>
      </c>
      <c r="D195" s="37" t="str">
        <f t="shared" si="5"/>
        <v>Ú</v>
      </c>
    </row>
    <row r="196" spans="2:4" x14ac:dyDescent="0.25">
      <c r="B196" s="28" t="str">
        <f t="shared" si="4"/>
        <v>DB</v>
      </c>
      <c r="C196" s="28">
        <v>219</v>
      </c>
      <c r="D196" s="37" t="str">
        <f t="shared" si="5"/>
        <v>Û</v>
      </c>
    </row>
    <row r="197" spans="2:4" x14ac:dyDescent="0.25">
      <c r="B197" s="28" t="str">
        <f t="shared" si="4"/>
        <v>DC</v>
      </c>
      <c r="C197" s="28">
        <v>220</v>
      </c>
      <c r="D197" s="37" t="str">
        <f t="shared" si="5"/>
        <v>Ü</v>
      </c>
    </row>
    <row r="198" spans="2:4" x14ac:dyDescent="0.25">
      <c r="B198" s="28" t="str">
        <f t="shared" si="4"/>
        <v>DD</v>
      </c>
      <c r="C198" s="28">
        <v>221</v>
      </c>
      <c r="D198" s="37" t="str">
        <f t="shared" si="5"/>
        <v>Ý</v>
      </c>
    </row>
    <row r="199" spans="2:4" x14ac:dyDescent="0.25">
      <c r="B199" s="28" t="str">
        <f t="shared" si="4"/>
        <v>DE</v>
      </c>
      <c r="C199" s="28">
        <v>222</v>
      </c>
      <c r="D199" s="37" t="str">
        <f t="shared" si="5"/>
        <v>Þ</v>
      </c>
    </row>
    <row r="200" spans="2:4" x14ac:dyDescent="0.25">
      <c r="B200" s="28" t="str">
        <f t="shared" si="4"/>
        <v>DF</v>
      </c>
      <c r="C200" s="28">
        <v>223</v>
      </c>
      <c r="D200" s="37" t="str">
        <f t="shared" si="5"/>
        <v>ß</v>
      </c>
    </row>
    <row r="201" spans="2:4" x14ac:dyDescent="0.25">
      <c r="B201" s="28" t="str">
        <f t="shared" si="4"/>
        <v>E0</v>
      </c>
      <c r="C201" s="28">
        <v>224</v>
      </c>
      <c r="D201" s="37" t="str">
        <f t="shared" si="5"/>
        <v>à</v>
      </c>
    </row>
    <row r="202" spans="2:4" x14ac:dyDescent="0.25">
      <c r="B202" s="28" t="str">
        <f t="shared" si="4"/>
        <v>E1</v>
      </c>
      <c r="C202" s="28">
        <v>225</v>
      </c>
      <c r="D202" s="37" t="str">
        <f t="shared" si="5"/>
        <v>á</v>
      </c>
    </row>
    <row r="203" spans="2:4" x14ac:dyDescent="0.25">
      <c r="B203" s="28" t="str">
        <f t="shared" si="4"/>
        <v>E2</v>
      </c>
      <c r="C203" s="28">
        <v>226</v>
      </c>
      <c r="D203" s="37" t="str">
        <f t="shared" si="5"/>
        <v>â</v>
      </c>
    </row>
    <row r="204" spans="2:4" x14ac:dyDescent="0.25">
      <c r="B204" s="28" t="str">
        <f t="shared" si="4"/>
        <v>E3</v>
      </c>
      <c r="C204" s="28">
        <v>227</v>
      </c>
      <c r="D204" s="37" t="str">
        <f t="shared" si="5"/>
        <v>ã</v>
      </c>
    </row>
    <row r="205" spans="2:4" x14ac:dyDescent="0.25">
      <c r="B205" s="28" t="str">
        <f t="shared" ref="B205:B268" si="6">DEC2HEX(C205)</f>
        <v>E4</v>
      </c>
      <c r="C205" s="28">
        <v>228</v>
      </c>
      <c r="D205" s="37" t="str">
        <f t="shared" ref="D205:D268" si="7">CHAR(C205)</f>
        <v>ä</v>
      </c>
    </row>
    <row r="206" spans="2:4" x14ac:dyDescent="0.25">
      <c r="B206" s="28" t="str">
        <f t="shared" si="6"/>
        <v>E5</v>
      </c>
      <c r="C206" s="28">
        <v>229</v>
      </c>
      <c r="D206" s="37" t="str">
        <f t="shared" si="7"/>
        <v>å</v>
      </c>
    </row>
    <row r="207" spans="2:4" x14ac:dyDescent="0.25">
      <c r="B207" s="28" t="str">
        <f t="shared" si="6"/>
        <v>E6</v>
      </c>
      <c r="C207" s="28">
        <v>230</v>
      </c>
      <c r="D207" s="37" t="str">
        <f t="shared" si="7"/>
        <v>æ</v>
      </c>
    </row>
    <row r="208" spans="2:4" x14ac:dyDescent="0.25">
      <c r="B208" s="28" t="str">
        <f t="shared" si="6"/>
        <v>E7</v>
      </c>
      <c r="C208" s="28">
        <v>231</v>
      </c>
      <c r="D208" s="37" t="str">
        <f t="shared" si="7"/>
        <v>ç</v>
      </c>
    </row>
    <row r="209" spans="2:4" x14ac:dyDescent="0.25">
      <c r="B209" s="28" t="str">
        <f t="shared" si="6"/>
        <v>E8</v>
      </c>
      <c r="C209" s="28">
        <v>232</v>
      </c>
      <c r="D209" s="37" t="str">
        <f t="shared" si="7"/>
        <v>è</v>
      </c>
    </row>
    <row r="210" spans="2:4" x14ac:dyDescent="0.25">
      <c r="B210" s="28" t="str">
        <f t="shared" si="6"/>
        <v>E9</v>
      </c>
      <c r="C210" s="28">
        <v>233</v>
      </c>
      <c r="D210" s="37" t="str">
        <f t="shared" si="7"/>
        <v>é</v>
      </c>
    </row>
    <row r="211" spans="2:4" x14ac:dyDescent="0.25">
      <c r="B211" s="28" t="str">
        <f t="shared" si="6"/>
        <v>EA</v>
      </c>
      <c r="C211" s="28">
        <v>234</v>
      </c>
      <c r="D211" s="37" t="str">
        <f t="shared" si="7"/>
        <v>ê</v>
      </c>
    </row>
    <row r="212" spans="2:4" x14ac:dyDescent="0.25">
      <c r="B212" s="28" t="str">
        <f t="shared" si="6"/>
        <v>EB</v>
      </c>
      <c r="C212" s="28">
        <v>235</v>
      </c>
      <c r="D212" s="37" t="str">
        <f t="shared" si="7"/>
        <v>ë</v>
      </c>
    </row>
    <row r="213" spans="2:4" x14ac:dyDescent="0.25">
      <c r="B213" s="28" t="str">
        <f t="shared" si="6"/>
        <v>EC</v>
      </c>
      <c r="C213" s="28">
        <v>236</v>
      </c>
      <c r="D213" s="37" t="str">
        <f t="shared" si="7"/>
        <v>ì</v>
      </c>
    </row>
    <row r="214" spans="2:4" x14ac:dyDescent="0.25">
      <c r="B214" s="28" t="str">
        <f t="shared" si="6"/>
        <v>ED</v>
      </c>
      <c r="C214" s="28">
        <v>237</v>
      </c>
      <c r="D214" s="37" t="str">
        <f t="shared" si="7"/>
        <v>í</v>
      </c>
    </row>
    <row r="215" spans="2:4" x14ac:dyDescent="0.25">
      <c r="B215" s="28" t="str">
        <f t="shared" si="6"/>
        <v>EE</v>
      </c>
      <c r="C215" s="28">
        <v>238</v>
      </c>
      <c r="D215" s="37" t="str">
        <f t="shared" si="7"/>
        <v>î</v>
      </c>
    </row>
    <row r="216" spans="2:4" x14ac:dyDescent="0.25">
      <c r="B216" s="28" t="str">
        <f t="shared" si="6"/>
        <v>EF</v>
      </c>
      <c r="C216" s="28">
        <v>239</v>
      </c>
      <c r="D216" s="37" t="str">
        <f t="shared" si="7"/>
        <v>ï</v>
      </c>
    </row>
    <row r="217" spans="2:4" x14ac:dyDescent="0.25">
      <c r="B217" s="28" t="str">
        <f t="shared" si="6"/>
        <v>F0</v>
      </c>
      <c r="C217" s="28">
        <v>240</v>
      </c>
      <c r="D217" s="37" t="str">
        <f t="shared" si="7"/>
        <v>ð</v>
      </c>
    </row>
    <row r="218" spans="2:4" x14ac:dyDescent="0.25">
      <c r="B218" s="28" t="str">
        <f t="shared" si="6"/>
        <v>F1</v>
      </c>
      <c r="C218" s="28">
        <v>241</v>
      </c>
      <c r="D218" s="37" t="str">
        <f t="shared" si="7"/>
        <v>ñ</v>
      </c>
    </row>
    <row r="219" spans="2:4" x14ac:dyDescent="0.25">
      <c r="B219" s="28" t="str">
        <f t="shared" si="6"/>
        <v>F2</v>
      </c>
      <c r="C219" s="28">
        <v>242</v>
      </c>
      <c r="D219" s="37" t="str">
        <f t="shared" si="7"/>
        <v>ò</v>
      </c>
    </row>
    <row r="220" spans="2:4" x14ac:dyDescent="0.25">
      <c r="B220" s="28" t="str">
        <f t="shared" si="6"/>
        <v>F3</v>
      </c>
      <c r="C220" s="28">
        <v>243</v>
      </c>
      <c r="D220" s="37" t="str">
        <f t="shared" si="7"/>
        <v>ó</v>
      </c>
    </row>
    <row r="221" spans="2:4" x14ac:dyDescent="0.25">
      <c r="B221" s="28" t="str">
        <f t="shared" si="6"/>
        <v>F4</v>
      </c>
      <c r="C221" s="28">
        <v>244</v>
      </c>
      <c r="D221" s="37" t="str">
        <f t="shared" si="7"/>
        <v>ô</v>
      </c>
    </row>
    <row r="222" spans="2:4" x14ac:dyDescent="0.25">
      <c r="B222" s="28" t="str">
        <f t="shared" si="6"/>
        <v>F5</v>
      </c>
      <c r="C222" s="28">
        <v>245</v>
      </c>
      <c r="D222" s="37" t="str">
        <f t="shared" si="7"/>
        <v>õ</v>
      </c>
    </row>
    <row r="223" spans="2:4" x14ac:dyDescent="0.25">
      <c r="B223" s="28" t="str">
        <f t="shared" si="6"/>
        <v>F6</v>
      </c>
      <c r="C223" s="28">
        <v>246</v>
      </c>
      <c r="D223" s="37" t="str">
        <f t="shared" si="7"/>
        <v>ö</v>
      </c>
    </row>
    <row r="224" spans="2:4" x14ac:dyDescent="0.25">
      <c r="B224" s="28" t="str">
        <f t="shared" si="6"/>
        <v>F7</v>
      </c>
      <c r="C224" s="28">
        <v>247</v>
      </c>
      <c r="D224" s="37" t="str">
        <f t="shared" si="7"/>
        <v>÷</v>
      </c>
    </row>
    <row r="225" spans="2:4" x14ac:dyDescent="0.25">
      <c r="B225" s="28" t="str">
        <f t="shared" si="6"/>
        <v>F8</v>
      </c>
      <c r="C225" s="28">
        <v>248</v>
      </c>
      <c r="D225" s="37" t="str">
        <f t="shared" si="7"/>
        <v>ø</v>
      </c>
    </row>
    <row r="226" spans="2:4" x14ac:dyDescent="0.25">
      <c r="B226" s="28" t="str">
        <f t="shared" si="6"/>
        <v>F9</v>
      </c>
      <c r="C226" s="28">
        <v>249</v>
      </c>
      <c r="D226" s="37" t="str">
        <f t="shared" si="7"/>
        <v>ù</v>
      </c>
    </row>
    <row r="227" spans="2:4" x14ac:dyDescent="0.25">
      <c r="B227" s="28" t="str">
        <f t="shared" si="6"/>
        <v>FA</v>
      </c>
      <c r="C227" s="28">
        <v>250</v>
      </c>
      <c r="D227" s="37" t="str">
        <f t="shared" si="7"/>
        <v>ú</v>
      </c>
    </row>
    <row r="228" spans="2:4" x14ac:dyDescent="0.25">
      <c r="B228" s="28" t="str">
        <f t="shared" si="6"/>
        <v>FB</v>
      </c>
      <c r="C228" s="28">
        <v>251</v>
      </c>
      <c r="D228" s="37" t="str">
        <f t="shared" si="7"/>
        <v>û</v>
      </c>
    </row>
    <row r="229" spans="2:4" x14ac:dyDescent="0.25">
      <c r="B229" s="28" t="str">
        <f t="shared" si="6"/>
        <v>FC</v>
      </c>
      <c r="C229" s="28">
        <v>252</v>
      </c>
      <c r="D229" s="28" t="str">
        <f t="shared" si="7"/>
        <v>ü</v>
      </c>
    </row>
    <row r="230" spans="2:4" x14ac:dyDescent="0.25">
      <c r="B230" s="28" t="str">
        <f t="shared" si="6"/>
        <v>FD</v>
      </c>
      <c r="C230" s="28">
        <v>253</v>
      </c>
      <c r="D230" s="37" t="str">
        <f t="shared" si="7"/>
        <v>ý</v>
      </c>
    </row>
    <row r="231" spans="2:4" x14ac:dyDescent="0.25">
      <c r="B231" s="28" t="str">
        <f t="shared" si="6"/>
        <v>FE</v>
      </c>
      <c r="C231" s="28">
        <v>254</v>
      </c>
      <c r="D231" s="37" t="str">
        <f t="shared" si="7"/>
        <v>þ</v>
      </c>
    </row>
    <row r="232" spans="2:4" x14ac:dyDescent="0.25">
      <c r="B232" s="28" t="str">
        <f t="shared" si="6"/>
        <v>FF</v>
      </c>
      <c r="C232" s="28">
        <v>255</v>
      </c>
      <c r="D232" s="37" t="str">
        <f t="shared" si="7"/>
        <v>ÿ</v>
      </c>
    </row>
    <row r="233" spans="2:4" x14ac:dyDescent="0.25">
      <c r="B233" s="28" t="str">
        <f t="shared" si="6"/>
        <v>100</v>
      </c>
      <c r="C233" s="28">
        <v>256</v>
      </c>
      <c r="D233" s="37" t="e">
        <f t="shared" si="7"/>
        <v>#VALUE!</v>
      </c>
    </row>
    <row r="234" spans="2:4" x14ac:dyDescent="0.25">
      <c r="B234" s="28" t="str">
        <f t="shared" si="6"/>
        <v>101</v>
      </c>
      <c r="C234" s="28">
        <v>257</v>
      </c>
      <c r="D234" s="37" t="e">
        <f t="shared" si="7"/>
        <v>#VALUE!</v>
      </c>
    </row>
    <row r="235" spans="2:4" x14ac:dyDescent="0.25">
      <c r="B235" s="28" t="str">
        <f t="shared" si="6"/>
        <v>102</v>
      </c>
      <c r="C235" s="28">
        <v>258</v>
      </c>
      <c r="D235" s="37" t="e">
        <f t="shared" si="7"/>
        <v>#VALUE!</v>
      </c>
    </row>
    <row r="236" spans="2:4" x14ac:dyDescent="0.25">
      <c r="B236" s="28" t="str">
        <f t="shared" si="6"/>
        <v>103</v>
      </c>
      <c r="C236" s="28">
        <v>259</v>
      </c>
      <c r="D236" s="37" t="e">
        <f t="shared" si="7"/>
        <v>#VALUE!</v>
      </c>
    </row>
    <row r="237" spans="2:4" x14ac:dyDescent="0.25">
      <c r="B237" s="28" t="str">
        <f t="shared" si="6"/>
        <v>104</v>
      </c>
      <c r="C237" s="28">
        <v>260</v>
      </c>
      <c r="D237" s="37" t="e">
        <f t="shared" si="7"/>
        <v>#VALUE!</v>
      </c>
    </row>
    <row r="238" spans="2:4" x14ac:dyDescent="0.25">
      <c r="B238" s="28" t="str">
        <f t="shared" si="6"/>
        <v>105</v>
      </c>
      <c r="C238" s="28">
        <v>261</v>
      </c>
      <c r="D238" s="37" t="e">
        <f t="shared" si="7"/>
        <v>#VALUE!</v>
      </c>
    </row>
    <row r="239" spans="2:4" x14ac:dyDescent="0.25">
      <c r="B239" s="28" t="str">
        <f t="shared" si="6"/>
        <v>106</v>
      </c>
      <c r="C239" s="28">
        <v>262</v>
      </c>
      <c r="D239" s="37" t="e">
        <f t="shared" si="7"/>
        <v>#VALUE!</v>
      </c>
    </row>
    <row r="240" spans="2:4" x14ac:dyDescent="0.25">
      <c r="B240" s="28" t="str">
        <f t="shared" si="6"/>
        <v>107</v>
      </c>
      <c r="C240" s="28">
        <v>263</v>
      </c>
      <c r="D240" s="37" t="e">
        <f t="shared" si="7"/>
        <v>#VALUE!</v>
      </c>
    </row>
    <row r="241" spans="2:4" x14ac:dyDescent="0.25">
      <c r="B241" s="28" t="str">
        <f t="shared" si="6"/>
        <v>108</v>
      </c>
      <c r="C241" s="28">
        <v>264</v>
      </c>
      <c r="D241" s="37" t="e">
        <f t="shared" si="7"/>
        <v>#VALUE!</v>
      </c>
    </row>
    <row r="242" spans="2:4" x14ac:dyDescent="0.25">
      <c r="B242" s="28" t="str">
        <f t="shared" si="6"/>
        <v>109</v>
      </c>
      <c r="C242" s="28">
        <v>265</v>
      </c>
      <c r="D242" s="37" t="e">
        <f t="shared" si="7"/>
        <v>#VALUE!</v>
      </c>
    </row>
    <row r="243" spans="2:4" x14ac:dyDescent="0.25">
      <c r="B243" s="28" t="str">
        <f t="shared" si="6"/>
        <v>10A</v>
      </c>
      <c r="C243" s="28">
        <v>266</v>
      </c>
      <c r="D243" s="37" t="e">
        <f t="shared" si="7"/>
        <v>#VALUE!</v>
      </c>
    </row>
    <row r="244" spans="2:4" x14ac:dyDescent="0.25">
      <c r="B244" s="28" t="str">
        <f t="shared" si="6"/>
        <v>10B</v>
      </c>
      <c r="C244" s="28">
        <v>267</v>
      </c>
      <c r="D244" s="37" t="e">
        <f t="shared" si="7"/>
        <v>#VALUE!</v>
      </c>
    </row>
    <row r="245" spans="2:4" x14ac:dyDescent="0.25">
      <c r="B245" s="28" t="str">
        <f t="shared" si="6"/>
        <v>10C</v>
      </c>
      <c r="C245" s="28">
        <v>268</v>
      </c>
      <c r="D245" s="37" t="e">
        <f t="shared" si="7"/>
        <v>#VALUE!</v>
      </c>
    </row>
    <row r="246" spans="2:4" x14ac:dyDescent="0.25">
      <c r="B246" s="28" t="str">
        <f t="shared" si="6"/>
        <v>10D</v>
      </c>
      <c r="C246" s="28">
        <v>269</v>
      </c>
      <c r="D246" s="37" t="e">
        <f t="shared" si="7"/>
        <v>#VALUE!</v>
      </c>
    </row>
    <row r="247" spans="2:4" x14ac:dyDescent="0.25">
      <c r="B247" s="28" t="str">
        <f t="shared" si="6"/>
        <v>10E</v>
      </c>
      <c r="C247" s="28">
        <v>270</v>
      </c>
      <c r="D247" s="37" t="e">
        <f t="shared" si="7"/>
        <v>#VALUE!</v>
      </c>
    </row>
    <row r="248" spans="2:4" x14ac:dyDescent="0.25">
      <c r="B248" s="28" t="str">
        <f t="shared" si="6"/>
        <v>10F</v>
      </c>
      <c r="C248" s="28">
        <v>271</v>
      </c>
      <c r="D248" s="37" t="e">
        <f t="shared" si="7"/>
        <v>#VALUE!</v>
      </c>
    </row>
    <row r="249" spans="2:4" x14ac:dyDescent="0.25">
      <c r="B249" s="28" t="str">
        <f t="shared" si="6"/>
        <v>110</v>
      </c>
      <c r="C249" s="28">
        <v>272</v>
      </c>
      <c r="D249" s="37" t="e">
        <f t="shared" si="7"/>
        <v>#VALUE!</v>
      </c>
    </row>
    <row r="250" spans="2:4" x14ac:dyDescent="0.25">
      <c r="B250" s="28" t="str">
        <f t="shared" si="6"/>
        <v>111</v>
      </c>
      <c r="C250" s="28">
        <v>273</v>
      </c>
      <c r="D250" s="37" t="e">
        <f t="shared" si="7"/>
        <v>#VALUE!</v>
      </c>
    </row>
    <row r="251" spans="2:4" x14ac:dyDescent="0.25">
      <c r="B251" s="28" t="str">
        <f t="shared" si="6"/>
        <v>112</v>
      </c>
      <c r="C251" s="28">
        <v>274</v>
      </c>
      <c r="D251" s="37" t="e">
        <f t="shared" si="7"/>
        <v>#VALUE!</v>
      </c>
    </row>
    <row r="252" spans="2:4" x14ac:dyDescent="0.25">
      <c r="B252" s="28" t="str">
        <f t="shared" si="6"/>
        <v>113</v>
      </c>
      <c r="C252" s="28">
        <v>275</v>
      </c>
      <c r="D252" s="37" t="e">
        <f t="shared" si="7"/>
        <v>#VALUE!</v>
      </c>
    </row>
    <row r="253" spans="2:4" x14ac:dyDescent="0.25">
      <c r="B253" s="28" t="str">
        <f t="shared" si="6"/>
        <v>114</v>
      </c>
      <c r="C253" s="28">
        <v>276</v>
      </c>
      <c r="D253" s="37" t="e">
        <f t="shared" si="7"/>
        <v>#VALUE!</v>
      </c>
    </row>
    <row r="254" spans="2:4" x14ac:dyDescent="0.25">
      <c r="B254" s="28" t="str">
        <f t="shared" si="6"/>
        <v>115</v>
      </c>
      <c r="C254" s="28">
        <v>277</v>
      </c>
      <c r="D254" s="37" t="e">
        <f t="shared" si="7"/>
        <v>#VALUE!</v>
      </c>
    </row>
    <row r="255" spans="2:4" x14ac:dyDescent="0.25">
      <c r="B255" s="28" t="str">
        <f t="shared" si="6"/>
        <v>116</v>
      </c>
      <c r="C255" s="28">
        <v>278</v>
      </c>
      <c r="D255" s="37" t="e">
        <f t="shared" si="7"/>
        <v>#VALUE!</v>
      </c>
    </row>
    <row r="256" spans="2:4" x14ac:dyDescent="0.25">
      <c r="B256" s="28" t="str">
        <f t="shared" si="6"/>
        <v>117</v>
      </c>
      <c r="C256" s="28">
        <v>279</v>
      </c>
      <c r="D256" s="37" t="e">
        <f t="shared" si="7"/>
        <v>#VALUE!</v>
      </c>
    </row>
    <row r="257" spans="2:4" x14ac:dyDescent="0.25">
      <c r="B257" s="28" t="str">
        <f t="shared" si="6"/>
        <v>118</v>
      </c>
      <c r="C257" s="28">
        <v>280</v>
      </c>
      <c r="D257" s="37" t="e">
        <f t="shared" si="7"/>
        <v>#VALUE!</v>
      </c>
    </row>
    <row r="258" spans="2:4" x14ac:dyDescent="0.25">
      <c r="B258" s="28" t="str">
        <f t="shared" si="6"/>
        <v>119</v>
      </c>
      <c r="C258" s="28">
        <v>281</v>
      </c>
      <c r="D258" s="37" t="e">
        <f t="shared" si="7"/>
        <v>#VALUE!</v>
      </c>
    </row>
    <row r="259" spans="2:4" x14ac:dyDescent="0.25">
      <c r="B259" s="28" t="str">
        <f t="shared" si="6"/>
        <v>11A</v>
      </c>
      <c r="C259" s="28">
        <v>282</v>
      </c>
      <c r="D259" s="37" t="e">
        <f t="shared" si="7"/>
        <v>#VALUE!</v>
      </c>
    </row>
    <row r="260" spans="2:4" x14ac:dyDescent="0.25">
      <c r="B260" s="28" t="str">
        <f t="shared" si="6"/>
        <v>11B</v>
      </c>
      <c r="C260" s="28">
        <v>283</v>
      </c>
      <c r="D260" s="37" t="e">
        <f t="shared" si="7"/>
        <v>#VALUE!</v>
      </c>
    </row>
    <row r="261" spans="2:4" x14ac:dyDescent="0.25">
      <c r="B261" s="28" t="str">
        <f t="shared" si="6"/>
        <v>11C</v>
      </c>
      <c r="C261" s="28">
        <v>284</v>
      </c>
      <c r="D261" s="37" t="e">
        <f t="shared" si="7"/>
        <v>#VALUE!</v>
      </c>
    </row>
    <row r="262" spans="2:4" x14ac:dyDescent="0.25">
      <c r="B262" s="28" t="str">
        <f t="shared" si="6"/>
        <v>11D</v>
      </c>
      <c r="C262" s="28">
        <v>285</v>
      </c>
      <c r="D262" s="37" t="e">
        <f t="shared" si="7"/>
        <v>#VALUE!</v>
      </c>
    </row>
    <row r="263" spans="2:4" x14ac:dyDescent="0.25">
      <c r="B263" s="28" t="str">
        <f t="shared" si="6"/>
        <v>11E</v>
      </c>
      <c r="C263" s="28">
        <v>286</v>
      </c>
      <c r="D263" s="37" t="e">
        <f t="shared" si="7"/>
        <v>#VALUE!</v>
      </c>
    </row>
    <row r="264" spans="2:4" x14ac:dyDescent="0.25">
      <c r="B264" s="28" t="str">
        <f t="shared" si="6"/>
        <v>11F</v>
      </c>
      <c r="C264" s="28">
        <v>287</v>
      </c>
      <c r="D264" s="37" t="e">
        <f t="shared" si="7"/>
        <v>#VALUE!</v>
      </c>
    </row>
    <row r="265" spans="2:4" x14ac:dyDescent="0.25">
      <c r="B265" s="28" t="str">
        <f t="shared" si="6"/>
        <v>120</v>
      </c>
      <c r="C265" s="28">
        <v>288</v>
      </c>
      <c r="D265" s="37" t="e">
        <f t="shared" si="7"/>
        <v>#VALUE!</v>
      </c>
    </row>
    <row r="266" spans="2:4" x14ac:dyDescent="0.25">
      <c r="B266" s="28" t="str">
        <f t="shared" si="6"/>
        <v>121</v>
      </c>
      <c r="C266" s="28">
        <v>289</v>
      </c>
      <c r="D266" s="37" t="e">
        <f t="shared" si="7"/>
        <v>#VALUE!</v>
      </c>
    </row>
    <row r="267" spans="2:4" x14ac:dyDescent="0.25">
      <c r="B267" s="28" t="str">
        <f t="shared" si="6"/>
        <v>122</v>
      </c>
      <c r="C267" s="28">
        <v>290</v>
      </c>
      <c r="D267" s="37" t="e">
        <f t="shared" si="7"/>
        <v>#VALUE!</v>
      </c>
    </row>
    <row r="268" spans="2:4" x14ac:dyDescent="0.25">
      <c r="B268" s="28" t="str">
        <f t="shared" si="6"/>
        <v>123</v>
      </c>
      <c r="C268" s="28">
        <v>291</v>
      </c>
      <c r="D268" s="37" t="e">
        <f t="shared" si="7"/>
        <v>#VALUE!</v>
      </c>
    </row>
    <row r="269" spans="2:4" x14ac:dyDescent="0.25">
      <c r="B269" s="28" t="str">
        <f t="shared" ref="B269:B283" si="8">DEC2HEX(C269)</f>
        <v>124</v>
      </c>
      <c r="C269" s="28">
        <v>292</v>
      </c>
      <c r="D269" s="37" t="e">
        <f t="shared" ref="D269:D283" si="9">CHAR(C269)</f>
        <v>#VALUE!</v>
      </c>
    </row>
    <row r="270" spans="2:4" x14ac:dyDescent="0.25">
      <c r="B270" s="28" t="str">
        <f t="shared" si="8"/>
        <v>125</v>
      </c>
      <c r="C270" s="28">
        <v>293</v>
      </c>
      <c r="D270" s="37" t="e">
        <f t="shared" si="9"/>
        <v>#VALUE!</v>
      </c>
    </row>
    <row r="271" spans="2:4" x14ac:dyDescent="0.25">
      <c r="B271" s="28" t="str">
        <f t="shared" si="8"/>
        <v>126</v>
      </c>
      <c r="C271" s="28">
        <v>294</v>
      </c>
      <c r="D271" s="37" t="e">
        <f t="shared" si="9"/>
        <v>#VALUE!</v>
      </c>
    </row>
    <row r="272" spans="2:4" x14ac:dyDescent="0.25">
      <c r="B272" s="28" t="str">
        <f t="shared" si="8"/>
        <v>127</v>
      </c>
      <c r="C272" s="28">
        <v>295</v>
      </c>
      <c r="D272" s="37" t="e">
        <f t="shared" si="9"/>
        <v>#VALUE!</v>
      </c>
    </row>
    <row r="273" spans="2:4" x14ac:dyDescent="0.25">
      <c r="B273" s="28" t="str">
        <f t="shared" si="8"/>
        <v>128</v>
      </c>
      <c r="C273" s="28">
        <v>296</v>
      </c>
      <c r="D273" s="37" t="e">
        <f t="shared" si="9"/>
        <v>#VALUE!</v>
      </c>
    </row>
    <row r="274" spans="2:4" x14ac:dyDescent="0.25">
      <c r="B274" s="28" t="str">
        <f t="shared" si="8"/>
        <v>129</v>
      </c>
      <c r="C274" s="28">
        <v>297</v>
      </c>
      <c r="D274" s="37" t="e">
        <f t="shared" si="9"/>
        <v>#VALUE!</v>
      </c>
    </row>
    <row r="275" spans="2:4" x14ac:dyDescent="0.25">
      <c r="B275" s="28" t="str">
        <f t="shared" si="8"/>
        <v>12A</v>
      </c>
      <c r="C275" s="28">
        <v>298</v>
      </c>
      <c r="D275" s="37" t="e">
        <f t="shared" si="9"/>
        <v>#VALUE!</v>
      </c>
    </row>
    <row r="276" spans="2:4" x14ac:dyDescent="0.25">
      <c r="B276" s="28" t="str">
        <f t="shared" si="8"/>
        <v>12B</v>
      </c>
      <c r="C276" s="28">
        <v>299</v>
      </c>
      <c r="D276" s="37" t="e">
        <f t="shared" si="9"/>
        <v>#VALUE!</v>
      </c>
    </row>
    <row r="277" spans="2:4" x14ac:dyDescent="0.25">
      <c r="B277" s="28" t="str">
        <f t="shared" si="8"/>
        <v>12C</v>
      </c>
      <c r="C277" s="28">
        <v>300</v>
      </c>
      <c r="D277" s="37" t="e">
        <f t="shared" si="9"/>
        <v>#VALUE!</v>
      </c>
    </row>
    <row r="278" spans="2:4" x14ac:dyDescent="0.25">
      <c r="B278" s="28" t="str">
        <f t="shared" si="8"/>
        <v>12D</v>
      </c>
      <c r="C278" s="28">
        <v>301</v>
      </c>
      <c r="D278" s="37" t="e">
        <f t="shared" si="9"/>
        <v>#VALUE!</v>
      </c>
    </row>
    <row r="279" spans="2:4" x14ac:dyDescent="0.25">
      <c r="B279" s="28" t="str">
        <f t="shared" si="8"/>
        <v>12E</v>
      </c>
      <c r="C279" s="28">
        <v>302</v>
      </c>
      <c r="D279" s="37" t="e">
        <f t="shared" si="9"/>
        <v>#VALUE!</v>
      </c>
    </row>
    <row r="280" spans="2:4" x14ac:dyDescent="0.25">
      <c r="B280" s="28" t="str">
        <f t="shared" si="8"/>
        <v>12F</v>
      </c>
      <c r="C280" s="28">
        <v>303</v>
      </c>
      <c r="D280" s="37" t="e">
        <f t="shared" si="9"/>
        <v>#VALUE!</v>
      </c>
    </row>
    <row r="281" spans="2:4" x14ac:dyDescent="0.25">
      <c r="B281" s="28" t="str">
        <f t="shared" si="8"/>
        <v>130</v>
      </c>
      <c r="C281" s="28">
        <v>304</v>
      </c>
      <c r="D281" s="37" t="e">
        <f t="shared" si="9"/>
        <v>#VALUE!</v>
      </c>
    </row>
    <row r="282" spans="2:4" x14ac:dyDescent="0.25">
      <c r="B282" s="28" t="str">
        <f t="shared" si="8"/>
        <v>131</v>
      </c>
      <c r="C282" s="28">
        <v>305</v>
      </c>
      <c r="D282" s="37" t="e">
        <f t="shared" si="9"/>
        <v>#VALUE!</v>
      </c>
    </row>
    <row r="283" spans="2:4" x14ac:dyDescent="0.25">
      <c r="B283" s="28" t="str">
        <f t="shared" si="8"/>
        <v>132</v>
      </c>
      <c r="C283" s="28">
        <v>306</v>
      </c>
      <c r="D283" s="37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Edward French</cp:lastModifiedBy>
  <dcterms:created xsi:type="dcterms:W3CDTF">2017-07-28T07:37:15Z</dcterms:created>
  <dcterms:modified xsi:type="dcterms:W3CDTF">2023-11-22T18:15:44Z</dcterms:modified>
</cp:coreProperties>
</file>