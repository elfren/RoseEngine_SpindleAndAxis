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add\RoseEngine\Nextion\v410\"/>
    </mc:Choice>
  </mc:AlternateContent>
  <xr:revisionPtr revIDLastSave="0" documentId="8_{C4D8BFBC-48CC-477E-9EFB-7F1B71388E6A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i File" sheetId="13" r:id="rId1"/>
    <sheet name="PinOuts" sheetId="7" r:id="rId2"/>
    <sheet name="Struct Size" sheetId="8" r:id="rId3"/>
    <sheet name="ProgramKeys" sheetId="11" r:id="rId4"/>
    <sheet name="ControlLocation" sheetId="10" r:id="rId5"/>
  </sheets>
  <definedNames>
    <definedName name="_xlnm._FilterDatabase" localSheetId="0" hidden="1">'Ini File'!$A$1:$Q$543</definedName>
    <definedName name="Amp">#REF!</definedName>
    <definedName name="AxisMaxSpd">#REF!</definedName>
    <definedName name="axisStepsX">#REF!</definedName>
    <definedName name="distance_rev">#REF!</definedName>
    <definedName name="distancePerRev_AxisX">#REF!</definedName>
    <definedName name="distanceSyncX">#REF!</definedName>
    <definedName name="FullSteps">#REF!</definedName>
    <definedName name="GearRatio">#REF!</definedName>
    <definedName name="Microsteps">#REF!</definedName>
    <definedName name="microsteps_Axis_X">#REF!</definedName>
    <definedName name="mStepsPerRev">#REF!</definedName>
    <definedName name="Revolutions">#REF!</definedName>
    <definedName name="RPM">#REF!</definedName>
    <definedName name="Seconds">#REF!</definedName>
    <definedName name="speedPercentAxis_SyncX">#REF!</definedName>
    <definedName name="steps360_Axis_X">#REF!</definedName>
    <definedName name="TotalStep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91" i="13" l="1"/>
  <c r="T91" i="13"/>
  <c r="H15" i="13"/>
  <c r="J15" i="13"/>
  <c r="L15" i="13"/>
  <c r="M15" i="13"/>
  <c r="Q15" i="13"/>
  <c r="T15" i="13"/>
  <c r="V15" i="13"/>
  <c r="L53" i="13"/>
  <c r="M53" i="13"/>
  <c r="J46" i="13"/>
  <c r="H46" i="13"/>
  <c r="J55" i="13"/>
  <c r="H55" i="13"/>
  <c r="J31" i="13"/>
  <c r="H31" i="13"/>
  <c r="J24" i="13"/>
  <c r="H24" i="13"/>
  <c r="J233" i="13"/>
  <c r="H233" i="13"/>
  <c r="J37" i="13"/>
  <c r="H37" i="13"/>
  <c r="T360" i="13"/>
  <c r="Q360" i="13"/>
  <c r="V94" i="13"/>
  <c r="T94" i="13"/>
  <c r="Q94" i="13"/>
  <c r="M94" i="13"/>
  <c r="L94" i="13"/>
  <c r="J94" i="13"/>
  <c r="H94" i="13"/>
  <c r="V93" i="13"/>
  <c r="T93" i="13"/>
  <c r="Q93" i="13"/>
  <c r="M93" i="13"/>
  <c r="L93" i="13"/>
  <c r="J93" i="13"/>
  <c r="H93" i="13"/>
  <c r="T92" i="13"/>
  <c r="Q92" i="13"/>
  <c r="T90" i="13"/>
  <c r="Q90" i="13"/>
  <c r="Q132" i="13"/>
  <c r="Q559" i="13"/>
  <c r="Q10" i="13"/>
  <c r="V258" i="13"/>
  <c r="T258" i="13"/>
  <c r="Q258" i="13"/>
  <c r="J258" i="13"/>
  <c r="H258" i="13"/>
  <c r="V254" i="13"/>
  <c r="T254" i="13"/>
  <c r="Q254" i="13"/>
  <c r="J254" i="13"/>
  <c r="H254" i="13"/>
  <c r="V250" i="13"/>
  <c r="T250" i="13"/>
  <c r="Q250" i="13"/>
  <c r="J250" i="13"/>
  <c r="H250" i="13"/>
  <c r="V246" i="13"/>
  <c r="T246" i="13"/>
  <c r="Q246" i="13"/>
  <c r="J246" i="13"/>
  <c r="H246" i="13"/>
  <c r="V303" i="13"/>
  <c r="T303" i="13"/>
  <c r="Q303" i="13"/>
  <c r="Q265" i="13"/>
  <c r="T265" i="13"/>
  <c r="V265" i="13"/>
  <c r="Q262" i="13"/>
  <c r="Q266" i="13"/>
  <c r="T279" i="13"/>
  <c r="Q279" i="13"/>
  <c r="V283" i="13"/>
  <c r="T283" i="13"/>
  <c r="Q283" i="13"/>
  <c r="V287" i="13"/>
  <c r="T287" i="13"/>
  <c r="Q287" i="13"/>
  <c r="V291" i="13"/>
  <c r="T291" i="13"/>
  <c r="Q291" i="13"/>
  <c r="V295" i="13"/>
  <c r="T295" i="13"/>
  <c r="Q295" i="13"/>
  <c r="V347" i="13"/>
  <c r="T347" i="13"/>
  <c r="Q347" i="13"/>
  <c r="J347" i="13"/>
  <c r="H347" i="13"/>
  <c r="V351" i="13"/>
  <c r="T351" i="13"/>
  <c r="Q351" i="13"/>
  <c r="J351" i="13"/>
  <c r="H351" i="13"/>
  <c r="V355" i="13"/>
  <c r="T355" i="13"/>
  <c r="Q355" i="13"/>
  <c r="J355" i="13"/>
  <c r="H355" i="13"/>
  <c r="V359" i="13"/>
  <c r="T359" i="13"/>
  <c r="Q359" i="13"/>
  <c r="J359" i="13"/>
  <c r="H359" i="13"/>
  <c r="V358" i="13"/>
  <c r="T358" i="13"/>
  <c r="Q358" i="13"/>
  <c r="J358" i="13"/>
  <c r="H358" i="13"/>
  <c r="V357" i="13"/>
  <c r="T357" i="13"/>
  <c r="Q357" i="13"/>
  <c r="J357" i="13"/>
  <c r="H357" i="13"/>
  <c r="V356" i="13"/>
  <c r="T356" i="13"/>
  <c r="Q356" i="13"/>
  <c r="T354" i="13"/>
  <c r="Q354" i="13"/>
  <c r="J354" i="13"/>
  <c r="H354" i="13"/>
  <c r="V353" i="13"/>
  <c r="T353" i="13"/>
  <c r="Q353" i="13"/>
  <c r="J353" i="13"/>
  <c r="H353" i="13"/>
  <c r="V352" i="13"/>
  <c r="T352" i="13"/>
  <c r="Q352" i="13"/>
  <c r="V350" i="13"/>
  <c r="T350" i="13"/>
  <c r="Q350" i="13"/>
  <c r="J350" i="13"/>
  <c r="H350" i="13"/>
  <c r="V349" i="13"/>
  <c r="T349" i="13"/>
  <c r="Q349" i="13"/>
  <c r="J349" i="13"/>
  <c r="H349" i="13"/>
  <c r="V348" i="13"/>
  <c r="T348" i="13"/>
  <c r="Q348" i="13"/>
  <c r="V346" i="13"/>
  <c r="T346" i="13"/>
  <c r="Q346" i="13"/>
  <c r="J346" i="13"/>
  <c r="H346" i="13"/>
  <c r="V345" i="13"/>
  <c r="T345" i="13"/>
  <c r="Q345" i="13"/>
  <c r="J345" i="13"/>
  <c r="H345" i="13"/>
  <c r="V344" i="13"/>
  <c r="T344" i="13"/>
  <c r="Q344" i="13"/>
  <c r="V343" i="13"/>
  <c r="T343" i="13"/>
  <c r="Q343" i="13"/>
  <c r="J343" i="13"/>
  <c r="H343" i="13"/>
  <c r="V342" i="13"/>
  <c r="T342" i="13"/>
  <c r="Q342" i="13"/>
  <c r="J342" i="13"/>
  <c r="H342" i="13"/>
  <c r="T341" i="13"/>
  <c r="Q341" i="13"/>
  <c r="J341" i="13"/>
  <c r="H341" i="13"/>
  <c r="T340" i="13"/>
  <c r="Q340" i="13"/>
  <c r="L539" i="13"/>
  <c r="M539" i="13"/>
  <c r="H400" i="13"/>
  <c r="J400" i="13"/>
  <c r="V400" i="13"/>
  <c r="H401" i="13"/>
  <c r="J401" i="13"/>
  <c r="H402" i="13"/>
  <c r="J402" i="13"/>
  <c r="H403" i="13"/>
  <c r="J403" i="13"/>
  <c r="T386" i="13"/>
  <c r="Q386" i="13"/>
  <c r="V381" i="13"/>
  <c r="T381" i="13"/>
  <c r="Q381" i="13"/>
  <c r="T376" i="13"/>
  <c r="Q376" i="13"/>
  <c r="V371" i="13"/>
  <c r="T371" i="13"/>
  <c r="Q371" i="13"/>
  <c r="V366" i="13"/>
  <c r="T366" i="13"/>
  <c r="Q366" i="13"/>
  <c r="V151" i="13"/>
  <c r="T151" i="13"/>
  <c r="Q151" i="13"/>
  <c r="T572" i="13"/>
  <c r="Q572" i="13"/>
  <c r="J572" i="13"/>
  <c r="H572" i="13"/>
  <c r="T571" i="13"/>
  <c r="Q571" i="13"/>
  <c r="J571" i="13"/>
  <c r="H571" i="13"/>
  <c r="T570" i="13"/>
  <c r="Q570" i="13"/>
  <c r="J570" i="13"/>
  <c r="H570" i="13"/>
  <c r="V568" i="13"/>
  <c r="T568" i="13"/>
  <c r="Q568" i="13"/>
  <c r="J568" i="13"/>
  <c r="H568" i="13"/>
  <c r="V567" i="13"/>
  <c r="T567" i="13"/>
  <c r="Q567" i="13"/>
  <c r="J567" i="13"/>
  <c r="H567" i="13"/>
  <c r="V566" i="13"/>
  <c r="T566" i="13"/>
  <c r="Q566" i="13"/>
  <c r="J566" i="13"/>
  <c r="H566" i="13"/>
  <c r="V144" i="13"/>
  <c r="T144" i="13"/>
  <c r="Q144" i="13"/>
  <c r="V564" i="13"/>
  <c r="T564" i="13"/>
  <c r="Q564" i="13"/>
  <c r="J564" i="13"/>
  <c r="H564" i="13"/>
  <c r="V563" i="13"/>
  <c r="T563" i="13"/>
  <c r="Q563" i="13"/>
  <c r="J563" i="13"/>
  <c r="H563" i="13"/>
  <c r="V562" i="13"/>
  <c r="T562" i="13"/>
  <c r="Q562" i="13"/>
  <c r="J562" i="13"/>
  <c r="H562" i="13"/>
  <c r="V137" i="13"/>
  <c r="T137" i="13"/>
  <c r="Q137" i="13"/>
  <c r="V560" i="13"/>
  <c r="T560" i="13"/>
  <c r="Q560" i="13"/>
  <c r="J560" i="13"/>
  <c r="H560" i="13"/>
  <c r="V559" i="13"/>
  <c r="J559" i="13"/>
  <c r="H559" i="13"/>
  <c r="V558" i="13"/>
  <c r="T558" i="13"/>
  <c r="Q558" i="13"/>
  <c r="J558" i="13"/>
  <c r="H558" i="13"/>
  <c r="V130" i="13"/>
  <c r="T130" i="13"/>
  <c r="Q130" i="13"/>
  <c r="T556" i="13"/>
  <c r="Q556" i="13"/>
  <c r="J556" i="13"/>
  <c r="H556" i="13"/>
  <c r="T555" i="13"/>
  <c r="Q555" i="13"/>
  <c r="J555" i="13"/>
  <c r="H555" i="13"/>
  <c r="T554" i="13"/>
  <c r="Q554" i="13"/>
  <c r="J554" i="13"/>
  <c r="H554" i="13"/>
  <c r="T553" i="13"/>
  <c r="Q553" i="13"/>
  <c r="Q552" i="13"/>
  <c r="M552" i="13"/>
  <c r="L552" i="13"/>
  <c r="J552" i="13"/>
  <c r="H552" i="13"/>
  <c r="T551" i="13"/>
  <c r="Q551" i="13"/>
  <c r="T119" i="13"/>
  <c r="Q119" i="13"/>
  <c r="T550" i="13"/>
  <c r="Q550" i="13"/>
  <c r="L395" i="13"/>
  <c r="M395" i="13"/>
  <c r="H302" i="13"/>
  <c r="J302" i="13"/>
  <c r="L302" i="13"/>
  <c r="M302" i="13"/>
  <c r="Q302" i="13"/>
  <c r="H304" i="13"/>
  <c r="J304" i="13"/>
  <c r="Q304" i="13"/>
  <c r="T304" i="13"/>
  <c r="V304" i="13"/>
  <c r="H306" i="13"/>
  <c r="J306" i="13"/>
  <c r="Q306" i="13"/>
  <c r="T306" i="13"/>
  <c r="V306" i="13"/>
  <c r="T361" i="13"/>
  <c r="Q361" i="13"/>
  <c r="V261" i="13"/>
  <c r="T261" i="13"/>
  <c r="Q261" i="13"/>
  <c r="T362" i="13"/>
  <c r="Q362" i="13"/>
  <c r="T331" i="13"/>
  <c r="Q331" i="13"/>
  <c r="V259" i="13"/>
  <c r="T259" i="13"/>
  <c r="Q259" i="13"/>
  <c r="T339" i="13"/>
  <c r="Q339" i="13"/>
  <c r="T332" i="13"/>
  <c r="Q332" i="13"/>
  <c r="T230" i="13"/>
  <c r="Q230" i="13"/>
  <c r="T330" i="13"/>
  <c r="Q330" i="13"/>
  <c r="T260" i="13"/>
  <c r="Q260" i="13"/>
  <c r="V231" i="13"/>
  <c r="T231" i="13"/>
  <c r="Q231" i="13"/>
  <c r="M537" i="13"/>
  <c r="L537" i="13"/>
  <c r="M529" i="13"/>
  <c r="L529" i="13"/>
  <c r="L530" i="13"/>
  <c r="M530" i="13"/>
  <c r="L526" i="13"/>
  <c r="M526" i="13"/>
  <c r="L536" i="13"/>
  <c r="M536" i="13"/>
  <c r="L528" i="13"/>
  <c r="M528" i="13"/>
  <c r="L120" i="13"/>
  <c r="M120" i="13"/>
  <c r="L22" i="13"/>
  <c r="M22" i="13"/>
  <c r="L363" i="13"/>
  <c r="M363" i="13"/>
  <c r="Q161" i="13"/>
  <c r="L527" i="13"/>
  <c r="M527" i="13"/>
  <c r="L531" i="13"/>
  <c r="M531" i="13"/>
  <c r="L534" i="13"/>
  <c r="M534" i="13"/>
  <c r="L542" i="13"/>
  <c r="M542" i="13"/>
  <c r="L544" i="13"/>
  <c r="M544" i="13"/>
  <c r="L523" i="13"/>
  <c r="M523" i="13"/>
  <c r="L522" i="13"/>
  <c r="M522" i="13"/>
  <c r="M545" i="13"/>
  <c r="L545" i="13"/>
  <c r="L524" i="13"/>
  <c r="M524" i="13"/>
  <c r="L525" i="13"/>
  <c r="M525" i="13"/>
  <c r="J120" i="13"/>
  <c r="H120" i="13"/>
  <c r="Q120" i="13"/>
  <c r="L18" i="8"/>
  <c r="K18" i="8"/>
  <c r="J232" i="13"/>
  <c r="H232" i="13"/>
  <c r="L533" i="13"/>
  <c r="M533" i="13"/>
  <c r="V316" i="13"/>
  <c r="T316" i="13"/>
  <c r="Q316" i="13"/>
  <c r="J316" i="13"/>
  <c r="H316" i="13"/>
  <c r="V315" i="13"/>
  <c r="T315" i="13"/>
  <c r="Q315" i="13"/>
  <c r="J315" i="13"/>
  <c r="H315" i="13"/>
  <c r="V320" i="13"/>
  <c r="T320" i="13"/>
  <c r="Q320" i="13"/>
  <c r="J320" i="13"/>
  <c r="H320" i="13"/>
  <c r="V328" i="13"/>
  <c r="T328" i="13"/>
  <c r="Q328" i="13"/>
  <c r="J328" i="13"/>
  <c r="H328" i="13"/>
  <c r="V327" i="13"/>
  <c r="T327" i="13"/>
  <c r="Q327" i="13"/>
  <c r="J327" i="13"/>
  <c r="H327" i="13"/>
  <c r="V319" i="13"/>
  <c r="T319" i="13"/>
  <c r="Q319" i="13"/>
  <c r="J319" i="13"/>
  <c r="H319" i="13"/>
  <c r="V312" i="13"/>
  <c r="T312" i="13"/>
  <c r="Q312" i="13"/>
  <c r="J312" i="13"/>
  <c r="H312" i="13"/>
  <c r="T311" i="13"/>
  <c r="Q311" i="13"/>
  <c r="J311" i="13"/>
  <c r="H311" i="13"/>
  <c r="T324" i="13"/>
  <c r="Q324" i="13"/>
  <c r="J324" i="13"/>
  <c r="H324" i="13"/>
  <c r="V323" i="13"/>
  <c r="T323" i="13"/>
  <c r="Q323" i="13"/>
  <c r="J323" i="13"/>
  <c r="H323" i="13"/>
  <c r="V329" i="13"/>
  <c r="T329" i="13"/>
  <c r="Q329" i="13"/>
  <c r="J329" i="13"/>
  <c r="H329" i="13"/>
  <c r="V325" i="13"/>
  <c r="T325" i="13"/>
  <c r="Q325" i="13"/>
  <c r="J325" i="13"/>
  <c r="H325" i="13"/>
  <c r="V321" i="13"/>
  <c r="T321" i="13"/>
  <c r="Q321" i="13"/>
  <c r="J321" i="13"/>
  <c r="H321" i="13"/>
  <c r="V317" i="13"/>
  <c r="T317" i="13"/>
  <c r="Q317" i="13"/>
  <c r="J317" i="13"/>
  <c r="H317" i="13"/>
  <c r="V313" i="13"/>
  <c r="T313" i="13"/>
  <c r="Q313" i="13"/>
  <c r="J313" i="13"/>
  <c r="H313" i="13"/>
  <c r="V285" i="13"/>
  <c r="T285" i="13"/>
  <c r="Q285" i="13"/>
  <c r="J285" i="13"/>
  <c r="H285" i="13"/>
  <c r="V284" i="13"/>
  <c r="T284" i="13"/>
  <c r="Q284" i="13"/>
  <c r="J284" i="13"/>
  <c r="H284" i="13"/>
  <c r="V289" i="13"/>
  <c r="T289" i="13"/>
  <c r="Q289" i="13"/>
  <c r="J289" i="13"/>
  <c r="H289" i="13"/>
  <c r="V297" i="13"/>
  <c r="T297" i="13"/>
  <c r="Q297" i="13"/>
  <c r="J297" i="13"/>
  <c r="H297" i="13"/>
  <c r="V296" i="13"/>
  <c r="T296" i="13"/>
  <c r="Q296" i="13"/>
  <c r="J296" i="13"/>
  <c r="H296" i="13"/>
  <c r="V288" i="13"/>
  <c r="T288" i="13"/>
  <c r="Q288" i="13"/>
  <c r="J288" i="13"/>
  <c r="H288" i="13"/>
  <c r="V281" i="13"/>
  <c r="T281" i="13"/>
  <c r="Q281" i="13"/>
  <c r="J281" i="13"/>
  <c r="H281" i="13"/>
  <c r="T280" i="13"/>
  <c r="Q280" i="13"/>
  <c r="J280" i="13"/>
  <c r="H280" i="13"/>
  <c r="T293" i="13"/>
  <c r="Q293" i="13"/>
  <c r="J293" i="13"/>
  <c r="H293" i="13"/>
  <c r="V292" i="13"/>
  <c r="T292" i="13"/>
  <c r="Q292" i="13"/>
  <c r="J292" i="13"/>
  <c r="H292" i="13"/>
  <c r="V298" i="13"/>
  <c r="T298" i="13"/>
  <c r="Q298" i="13"/>
  <c r="J298" i="13"/>
  <c r="H298" i="13"/>
  <c r="V294" i="13"/>
  <c r="T294" i="13"/>
  <c r="Q294" i="13"/>
  <c r="J294" i="13"/>
  <c r="H294" i="13"/>
  <c r="V290" i="13"/>
  <c r="T290" i="13"/>
  <c r="Q290" i="13"/>
  <c r="J290" i="13"/>
  <c r="H290" i="13"/>
  <c r="V286" i="13"/>
  <c r="T286" i="13"/>
  <c r="Q286" i="13"/>
  <c r="J286" i="13"/>
  <c r="H286" i="13"/>
  <c r="V282" i="13"/>
  <c r="T282" i="13"/>
  <c r="Q282" i="13"/>
  <c r="J282" i="13"/>
  <c r="H282" i="13"/>
  <c r="L204" i="13"/>
  <c r="M204" i="13"/>
  <c r="L535" i="13"/>
  <c r="M535" i="13"/>
  <c r="J333" i="13"/>
  <c r="H333" i="13"/>
  <c r="Q540" i="13"/>
  <c r="M540" i="13"/>
  <c r="L540" i="13"/>
  <c r="Q232" i="13"/>
  <c r="M232" i="13"/>
  <c r="L232" i="13"/>
  <c r="Q333" i="13"/>
  <c r="J262" i="13"/>
  <c r="H262" i="13"/>
  <c r="J266" i="13"/>
  <c r="H266" i="13"/>
  <c r="Q538" i="13"/>
  <c r="M538" i="13"/>
  <c r="L538" i="13"/>
  <c r="L262" i="13"/>
  <c r="M262" i="13"/>
  <c r="L266" i="13"/>
  <c r="M266" i="13"/>
  <c r="Q236" i="13"/>
  <c r="Q234" i="13"/>
  <c r="T234" i="13"/>
  <c r="V234" i="13"/>
  <c r="Q233" i="13"/>
  <c r="L198" i="13"/>
  <c r="M198" i="13"/>
  <c r="L199" i="13"/>
  <c r="M199" i="13"/>
  <c r="M195" i="13"/>
  <c r="L195" i="13"/>
  <c r="M194" i="13"/>
  <c r="L194" i="13"/>
  <c r="M191" i="13"/>
  <c r="L191" i="13"/>
  <c r="M190" i="13"/>
  <c r="L190" i="13"/>
  <c r="M187" i="13"/>
  <c r="L187" i="13"/>
  <c r="M186" i="13"/>
  <c r="L186" i="13"/>
  <c r="M183" i="13"/>
  <c r="L183" i="13"/>
  <c r="M181" i="13"/>
  <c r="L181" i="13"/>
  <c r="L49" i="13"/>
  <c r="M49" i="13"/>
  <c r="L43" i="13"/>
  <c r="M43" i="13"/>
  <c r="L42" i="13"/>
  <c r="M42" i="13"/>
  <c r="L44" i="13"/>
  <c r="M44" i="13"/>
  <c r="L233" i="13"/>
  <c r="M233" i="13"/>
  <c r="J132" i="13"/>
  <c r="H132" i="13"/>
  <c r="L520" i="13"/>
  <c r="M520" i="13"/>
  <c r="L521" i="13"/>
  <c r="M521" i="13"/>
  <c r="L546" i="13"/>
  <c r="M546" i="13"/>
  <c r="L548" i="13"/>
  <c r="M548" i="13"/>
  <c r="L549" i="13"/>
  <c r="M549" i="13"/>
  <c r="L96" i="13"/>
  <c r="M96" i="13"/>
  <c r="L547" i="13"/>
  <c r="M547" i="13"/>
  <c r="L248" i="13"/>
  <c r="M248" i="13"/>
  <c r="L252" i="13"/>
  <c r="M252" i="13"/>
  <c r="L253" i="13"/>
  <c r="M253" i="13"/>
  <c r="L543" i="13"/>
  <c r="M543" i="13"/>
  <c r="L541" i="13"/>
  <c r="M541" i="13"/>
  <c r="L45" i="13"/>
  <c r="M45" i="13"/>
  <c r="L40" i="13"/>
  <c r="M40" i="13"/>
  <c r="L41" i="13"/>
  <c r="M41" i="13"/>
  <c r="L27" i="13"/>
  <c r="M27" i="13"/>
  <c r="L52" i="13"/>
  <c r="M52" i="13"/>
  <c r="L264" i="13"/>
  <c r="M264" i="13"/>
  <c r="L338" i="13"/>
  <c r="M338" i="13"/>
  <c r="L164" i="13"/>
  <c r="M164" i="13"/>
  <c r="L30" i="13"/>
  <c r="M30" i="13"/>
  <c r="L36" i="13"/>
  <c r="M36" i="13"/>
  <c r="L276" i="13"/>
  <c r="M276" i="13"/>
  <c r="L165" i="13"/>
  <c r="M165" i="13"/>
  <c r="L26" i="13"/>
  <c r="M26" i="13"/>
  <c r="L19" i="13"/>
  <c r="M19" i="13"/>
  <c r="J161" i="13"/>
  <c r="H161" i="13"/>
  <c r="J276" i="13"/>
  <c r="H278" i="13"/>
  <c r="J278" i="13"/>
  <c r="Q278" i="13"/>
  <c r="H277" i="13"/>
  <c r="J277" i="13"/>
  <c r="H237" i="13"/>
  <c r="Q277" i="13"/>
  <c r="Q276" i="13"/>
  <c r="J7" i="13"/>
  <c r="H7" i="13"/>
  <c r="O69" i="10"/>
  <c r="Q69" i="10"/>
  <c r="R72" i="10"/>
  <c r="V520" i="13"/>
  <c r="V410" i="13"/>
  <c r="V482" i="13"/>
  <c r="V132" i="13"/>
  <c r="V367" i="13"/>
  <c r="V370" i="13"/>
  <c r="V368" i="13"/>
  <c r="V314" i="13"/>
  <c r="V369" i="13"/>
  <c r="V497" i="13"/>
  <c r="V382" i="13"/>
  <c r="V398" i="13"/>
  <c r="V385" i="13"/>
  <c r="V384" i="13"/>
  <c r="V443" i="13"/>
  <c r="V383" i="13"/>
  <c r="V490" i="13"/>
  <c r="V378" i="13"/>
  <c r="V322" i="13"/>
  <c r="V397" i="13"/>
  <c r="V380" i="13"/>
  <c r="V377" i="13"/>
  <c r="V379" i="13"/>
  <c r="V11" i="13"/>
  <c r="V8" i="13"/>
  <c r="V9" i="13"/>
  <c r="V466" i="13"/>
  <c r="V98" i="13"/>
  <c r="V103" i="13"/>
  <c r="V104" i="13"/>
  <c r="V101" i="13"/>
  <c r="V100" i="13"/>
  <c r="V102" i="13"/>
  <c r="V127" i="13"/>
  <c r="V99" i="13"/>
  <c r="V474" i="13"/>
  <c r="V128" i="13"/>
  <c r="V131" i="13"/>
  <c r="V557" i="13"/>
  <c r="V134" i="13"/>
  <c r="V133" i="13"/>
  <c r="V135" i="13"/>
  <c r="V129" i="13"/>
  <c r="V411" i="13"/>
  <c r="V506" i="13"/>
  <c r="V412" i="13"/>
  <c r="V464" i="13"/>
  <c r="V465" i="13"/>
  <c r="V74" i="13"/>
  <c r="V73" i="13"/>
  <c r="V487" i="13"/>
  <c r="V96" i="13"/>
  <c r="V447" i="13"/>
  <c r="V95" i="13"/>
  <c r="V413" i="13"/>
  <c r="V414" i="13"/>
  <c r="V248" i="13"/>
  <c r="V249" i="13"/>
  <c r="V243" i="13"/>
  <c r="V247" i="13"/>
  <c r="V244" i="13"/>
  <c r="V245" i="13"/>
  <c r="V251" i="13"/>
  <c r="V252" i="13"/>
  <c r="V415" i="13"/>
  <c r="V507" i="13"/>
  <c r="V416" i="13"/>
  <c r="V435" i="13"/>
  <c r="V503" i="13"/>
  <c r="V496" i="13"/>
  <c r="V472" i="13"/>
  <c r="V480" i="13"/>
  <c r="V485" i="13"/>
  <c r="V436" i="13"/>
  <c r="V136" i="13"/>
  <c r="V483" i="13"/>
  <c r="V142" i="13"/>
  <c r="V143" i="13"/>
  <c r="V561" i="13"/>
  <c r="V498" i="13"/>
  <c r="V146" i="13"/>
  <c r="V147" i="13"/>
  <c r="V141" i="13"/>
  <c r="V491" i="13"/>
  <c r="V148" i="13"/>
  <c r="V149" i="13"/>
  <c r="V140" i="13"/>
  <c r="V467" i="13"/>
  <c r="V150" i="13"/>
  <c r="V569" i="13"/>
  <c r="V138" i="13"/>
  <c r="V475" i="13"/>
  <c r="V565" i="13"/>
  <c r="V145" i="13"/>
  <c r="V139" i="13"/>
  <c r="V417" i="13"/>
  <c r="V509" i="13"/>
  <c r="V418" i="13"/>
  <c r="V193" i="13"/>
  <c r="V532" i="13"/>
  <c r="V194" i="13"/>
  <c r="V210" i="13"/>
  <c r="V212" i="13"/>
  <c r="V195" i="13"/>
  <c r="V199" i="13"/>
  <c r="V442" i="13"/>
  <c r="V163" i="13"/>
  <c r="V499" i="13"/>
  <c r="V206" i="13"/>
  <c r="V213" i="13"/>
  <c r="V192" i="13"/>
  <c r="V200" i="13"/>
  <c r="V164" i="13"/>
  <c r="V492" i="13"/>
  <c r="V205" i="13"/>
  <c r="V208" i="13"/>
  <c r="V191" i="13"/>
  <c r="V196" i="13"/>
  <c r="V165" i="13"/>
  <c r="V468" i="13"/>
  <c r="V207" i="13"/>
  <c r="V211" i="13"/>
  <c r="V189" i="13"/>
  <c r="V197" i="13"/>
  <c r="V533" i="13"/>
  <c r="V201" i="13"/>
  <c r="V476" i="13"/>
  <c r="V204" i="13"/>
  <c r="V209" i="13"/>
  <c r="V190" i="13"/>
  <c r="V198" i="13"/>
  <c r="V202" i="13"/>
  <c r="V419" i="13"/>
  <c r="V505" i="13"/>
  <c r="V420" i="13"/>
  <c r="V437" i="13"/>
  <c r="V473" i="13"/>
  <c r="V481" i="13"/>
  <c r="V486" i="13"/>
  <c r="V438" i="13"/>
  <c r="V18" i="13"/>
  <c r="V19" i="13"/>
  <c r="V63" i="13"/>
  <c r="V64" i="13"/>
  <c r="V20" i="13"/>
  <c r="V444" i="13"/>
  <c r="V62" i="13"/>
  <c r="V65" i="13"/>
  <c r="V34" i="13"/>
  <c r="V61" i="13"/>
  <c r="V70" i="13"/>
  <c r="V45" i="13"/>
  <c r="V439" i="13"/>
  <c r="V547" i="13"/>
  <c r="V440" i="13"/>
  <c r="V459" i="13"/>
  <c r="V31" i="13"/>
  <c r="V49" i="13"/>
  <c r="V32" i="13"/>
  <c r="V460" i="13"/>
  <c r="V29" i="13"/>
  <c r="V60" i="13"/>
  <c r="V33" i="13"/>
  <c r="V461" i="13"/>
  <c r="V27" i="13"/>
  <c r="V58" i="13"/>
  <c r="V50" i="13"/>
  <c r="V462" i="13"/>
  <c r="V46" i="13"/>
  <c r="V51" i="13"/>
  <c r="V463" i="13"/>
  <c r="V47" i="13"/>
  <c r="V48" i="13"/>
  <c r="V59" i="13"/>
  <c r="V488" i="13"/>
  <c r="V28" i="13"/>
  <c r="V30" i="13"/>
  <c r="V421" i="13"/>
  <c r="V508" i="13"/>
  <c r="V422" i="13"/>
  <c r="V177" i="13"/>
  <c r="V500" i="13"/>
  <c r="V183" i="13"/>
  <c r="V184" i="13"/>
  <c r="V175" i="13"/>
  <c r="V168" i="13"/>
  <c r="V176" i="13"/>
  <c r="V493" i="13"/>
  <c r="V185" i="13"/>
  <c r="V186" i="13"/>
  <c r="V174" i="13"/>
  <c r="V171" i="13"/>
  <c r="V169" i="13"/>
  <c r="V469" i="13"/>
  <c r="V179" i="13"/>
  <c r="V181" i="13"/>
  <c r="V172" i="13"/>
  <c r="V170" i="13"/>
  <c r="V180" i="13"/>
  <c r="V477" i="13"/>
  <c r="V182" i="13"/>
  <c r="V173" i="13"/>
  <c r="V166" i="13"/>
  <c r="V167" i="13"/>
  <c r="V423" i="13"/>
  <c r="V424" i="13"/>
  <c r="V489" i="13"/>
  <c r="V307" i="13"/>
  <c r="V308" i="13"/>
  <c r="V484" i="13"/>
  <c r="V309" i="13"/>
  <c r="V501" i="13"/>
  <c r="V365" i="13"/>
  <c r="V310" i="13"/>
  <c r="V335" i="13"/>
  <c r="V494" i="13"/>
  <c r="V364" i="13"/>
  <c r="V334" i="13"/>
  <c r="V470" i="13"/>
  <c r="V337" i="13"/>
  <c r="V338" i="13"/>
  <c r="V478" i="13"/>
  <c r="V363" i="13"/>
  <c r="V395" i="13"/>
  <c r="V425" i="13"/>
  <c r="V426" i="13"/>
  <c r="V373" i="13"/>
  <c r="V374" i="13"/>
  <c r="V396" i="13"/>
  <c r="V427" i="13"/>
  <c r="V428" i="13"/>
  <c r="V441" i="13"/>
  <c r="V241" i="13"/>
  <c r="V242" i="13"/>
  <c r="V429" i="13"/>
  <c r="V504" i="13"/>
  <c r="V430" i="13"/>
  <c r="V13" i="13"/>
  <c r="V12" i="13"/>
  <c r="V14" i="13"/>
  <c r="V431" i="13"/>
  <c r="V521" i="13"/>
  <c r="V432" i="13"/>
  <c r="V229" i="13"/>
  <c r="V225" i="13"/>
  <c r="V227" i="13"/>
  <c r="V445" i="13"/>
  <c r="V228" i="13"/>
  <c r="V433" i="13"/>
  <c r="V434" i="13"/>
  <c r="V237" i="13"/>
  <c r="V267" i="13"/>
  <c r="V268" i="13"/>
  <c r="V271" i="13"/>
  <c r="V272" i="13"/>
  <c r="V275" i="13"/>
  <c r="V502" i="13"/>
  <c r="V277" i="13"/>
  <c r="V299" i="13"/>
  <c r="V257" i="13"/>
  <c r="V238" i="13"/>
  <c r="V495" i="13"/>
  <c r="V274" i="13"/>
  <c r="V276" i="13"/>
  <c r="V256" i="13"/>
  <c r="V235" i="13"/>
  <c r="V471" i="13"/>
  <c r="V270" i="13"/>
  <c r="V269" i="13"/>
  <c r="V263" i="13"/>
  <c r="V264" i="13"/>
  <c r="V479" i="13"/>
  <c r="V278" i="13"/>
  <c r="V273" i="13"/>
  <c r="V255" i="13"/>
  <c r="V161" i="13"/>
  <c r="M392" i="13"/>
  <c r="Q377" i="13"/>
  <c r="Q301" i="13"/>
  <c r="Q269" i="13"/>
  <c r="Q263" i="13"/>
  <c r="L238" i="13"/>
  <c r="L256" i="13"/>
  <c r="Q251" i="13"/>
  <c r="Q243" i="13"/>
  <c r="L241" i="13"/>
  <c r="L240" i="13"/>
  <c r="Q225" i="13"/>
  <c r="Q217" i="13"/>
  <c r="Q209" i="13"/>
  <c r="Q201" i="13"/>
  <c r="Q181" i="13"/>
  <c r="Q182" i="13"/>
  <c r="L162" i="13"/>
  <c r="Q159" i="13"/>
  <c r="Q569" i="13"/>
  <c r="Q138" i="13"/>
  <c r="Q135" i="13"/>
  <c r="Q128" i="13"/>
  <c r="Q122" i="13"/>
  <c r="Q95" i="13"/>
  <c r="Q75" i="13"/>
  <c r="Q59" i="13"/>
  <c r="Q55" i="13"/>
  <c r="Q47" i="13"/>
  <c r="Q44" i="13"/>
  <c r="Q39" i="13"/>
  <c r="L37" i="13"/>
  <c r="M31" i="13"/>
  <c r="L29" i="13"/>
  <c r="Q28" i="13"/>
  <c r="Q23" i="13"/>
  <c r="L21" i="13"/>
  <c r="T156" i="13"/>
  <c r="Q156" i="13"/>
  <c r="T149" i="13"/>
  <c r="Q149" i="13"/>
  <c r="T142" i="13"/>
  <c r="Q142" i="13"/>
  <c r="T135" i="13"/>
  <c r="T128" i="13"/>
  <c r="R71" i="10"/>
  <c r="Q70" i="10"/>
  <c r="O70" i="10"/>
  <c r="T4" i="13"/>
  <c r="T5" i="13"/>
  <c r="T6" i="13"/>
  <c r="T7" i="13"/>
  <c r="T8" i="13"/>
  <c r="T9" i="13"/>
  <c r="T11" i="13"/>
  <c r="T12" i="13"/>
  <c r="T13" i="13"/>
  <c r="T14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T65" i="13"/>
  <c r="T66" i="13"/>
  <c r="T67" i="13"/>
  <c r="T68" i="13"/>
  <c r="T69" i="13"/>
  <c r="T70" i="13"/>
  <c r="T71" i="13"/>
  <c r="T72" i="13"/>
  <c r="T73" i="13"/>
  <c r="T74" i="13"/>
  <c r="T75" i="13"/>
  <c r="T76" i="13"/>
  <c r="T77" i="13"/>
  <c r="T78" i="13"/>
  <c r="T79" i="13"/>
  <c r="T80" i="13"/>
  <c r="T81" i="13"/>
  <c r="T82" i="13"/>
  <c r="T83" i="13"/>
  <c r="T84" i="13"/>
  <c r="T85" i="13"/>
  <c r="T86" i="13"/>
  <c r="T87" i="13"/>
  <c r="T88" i="13"/>
  <c r="T89" i="13"/>
  <c r="T95" i="13"/>
  <c r="T96" i="13"/>
  <c r="T97" i="13"/>
  <c r="T98" i="13"/>
  <c r="T99" i="13"/>
  <c r="T100" i="13"/>
  <c r="T101" i="13"/>
  <c r="T102" i="13"/>
  <c r="T103" i="13"/>
  <c r="T104" i="13"/>
  <c r="T105" i="13"/>
  <c r="T106" i="13"/>
  <c r="T107" i="13"/>
  <c r="T108" i="13"/>
  <c r="T109" i="13"/>
  <c r="T110" i="13"/>
  <c r="T111" i="13"/>
  <c r="T112" i="13"/>
  <c r="T113" i="13"/>
  <c r="T114" i="13"/>
  <c r="T115" i="13"/>
  <c r="T116" i="13"/>
  <c r="T117" i="13"/>
  <c r="T118" i="13"/>
  <c r="T573" i="13"/>
  <c r="T121" i="13"/>
  <c r="T122" i="13"/>
  <c r="T123" i="13"/>
  <c r="T124" i="13"/>
  <c r="T125" i="13"/>
  <c r="T126" i="13"/>
  <c r="T127" i="13"/>
  <c r="T129" i="13"/>
  <c r="T557" i="13"/>
  <c r="T131" i="13"/>
  <c r="T133" i="13"/>
  <c r="T134" i="13"/>
  <c r="T136" i="13"/>
  <c r="T561" i="13"/>
  <c r="T138" i="13"/>
  <c r="T139" i="13"/>
  <c r="T140" i="13"/>
  <c r="T141" i="13"/>
  <c r="T143" i="13"/>
  <c r="T565" i="13"/>
  <c r="T145" i="13"/>
  <c r="T146" i="13"/>
  <c r="T147" i="13"/>
  <c r="T148" i="13"/>
  <c r="T150" i="13"/>
  <c r="T569" i="13"/>
  <c r="T152" i="13"/>
  <c r="T153" i="13"/>
  <c r="T154" i="13"/>
  <c r="T155" i="13"/>
  <c r="T157" i="13"/>
  <c r="T158" i="13"/>
  <c r="T159" i="13"/>
  <c r="T160" i="13"/>
  <c r="T162" i="13"/>
  <c r="T166" i="13"/>
  <c r="T167" i="13"/>
  <c r="T168" i="13"/>
  <c r="T169" i="13"/>
  <c r="T170" i="13"/>
  <c r="T171" i="13"/>
  <c r="T172" i="13"/>
  <c r="T173" i="13"/>
  <c r="T174" i="13"/>
  <c r="T175" i="13"/>
  <c r="T176" i="13"/>
  <c r="T177" i="13"/>
  <c r="T178" i="13"/>
  <c r="T180" i="13"/>
  <c r="T182" i="13"/>
  <c r="T179" i="13"/>
  <c r="T181" i="13"/>
  <c r="T183" i="13"/>
  <c r="T184" i="13"/>
  <c r="T185" i="13"/>
  <c r="T186" i="13"/>
  <c r="T187" i="13"/>
  <c r="T188" i="13"/>
  <c r="T189" i="13"/>
  <c r="T190" i="13"/>
  <c r="T191" i="13"/>
  <c r="T192" i="13"/>
  <c r="T193" i="13"/>
  <c r="T194" i="13"/>
  <c r="T195" i="13"/>
  <c r="T196" i="13"/>
  <c r="T197" i="13"/>
  <c r="T198" i="13"/>
  <c r="T199" i="13"/>
  <c r="T200" i="13"/>
  <c r="T163" i="13"/>
  <c r="T164" i="13"/>
  <c r="T165" i="13"/>
  <c r="T201" i="13"/>
  <c r="T202" i="13"/>
  <c r="T203" i="13"/>
  <c r="T204" i="13"/>
  <c r="T205" i="13"/>
  <c r="T206" i="13"/>
  <c r="T207" i="13"/>
  <c r="T208" i="13"/>
  <c r="T209" i="13"/>
  <c r="T210" i="13"/>
  <c r="T211" i="13"/>
  <c r="T212" i="13"/>
  <c r="T213" i="13"/>
  <c r="T214" i="13"/>
  <c r="T215" i="13"/>
  <c r="T216" i="13"/>
  <c r="T217" i="13"/>
  <c r="T218" i="13"/>
  <c r="T219" i="13"/>
  <c r="T220" i="13"/>
  <c r="T221" i="13"/>
  <c r="T222" i="13"/>
  <c r="T223" i="13"/>
  <c r="T224" i="13"/>
  <c r="T225" i="13"/>
  <c r="T226" i="13"/>
  <c r="T227" i="13"/>
  <c r="T228" i="13"/>
  <c r="T229" i="13"/>
  <c r="T239" i="13"/>
  <c r="T240" i="13"/>
  <c r="T241" i="13"/>
  <c r="T242" i="13"/>
  <c r="T243" i="13"/>
  <c r="T244" i="13"/>
  <c r="T245" i="13"/>
  <c r="T247" i="13"/>
  <c r="T248" i="13"/>
  <c r="T249" i="13"/>
  <c r="T251" i="13"/>
  <c r="T252" i="13"/>
  <c r="T253" i="13"/>
  <c r="T255" i="13"/>
  <c r="T256" i="13"/>
  <c r="T257" i="13"/>
  <c r="T275" i="13"/>
  <c r="T235" i="13"/>
  <c r="T237" i="13"/>
  <c r="T238" i="13"/>
  <c r="T263" i="13"/>
  <c r="T264" i="13"/>
  <c r="T267" i="13"/>
  <c r="T268" i="13"/>
  <c r="T269" i="13"/>
  <c r="T270" i="13"/>
  <c r="T271" i="13"/>
  <c r="T272" i="13"/>
  <c r="T273" i="13"/>
  <c r="T274" i="13"/>
  <c r="T299" i="13"/>
  <c r="T300" i="13"/>
  <c r="T301" i="13"/>
  <c r="T305" i="13"/>
  <c r="T307" i="13"/>
  <c r="T308" i="13"/>
  <c r="T309" i="13"/>
  <c r="T334" i="13"/>
  <c r="T335" i="13"/>
  <c r="T336" i="13"/>
  <c r="T337" i="13"/>
  <c r="T338" i="13"/>
  <c r="T363" i="13"/>
  <c r="T395" i="13"/>
  <c r="T364" i="13"/>
  <c r="T365" i="13"/>
  <c r="T310" i="13"/>
  <c r="T370" i="13"/>
  <c r="T367" i="13"/>
  <c r="T368" i="13"/>
  <c r="T369" i="13"/>
  <c r="T314" i="13"/>
  <c r="T372" i="13"/>
  <c r="T373" i="13"/>
  <c r="T374" i="13"/>
  <c r="T396" i="13"/>
  <c r="T375" i="13"/>
  <c r="T318" i="13"/>
  <c r="T377" i="13"/>
  <c r="T378" i="13"/>
  <c r="T379" i="13"/>
  <c r="T397" i="13"/>
  <c r="T380" i="13"/>
  <c r="T322" i="13"/>
  <c r="T382" i="13"/>
  <c r="T383" i="13"/>
  <c r="T384" i="13"/>
  <c r="T398" i="13"/>
  <c r="T385" i="13"/>
  <c r="T326" i="13"/>
  <c r="T387" i="13"/>
  <c r="T388" i="13"/>
  <c r="T389" i="13"/>
  <c r="T399" i="13"/>
  <c r="T390" i="13"/>
  <c r="T391" i="13"/>
  <c r="T2" i="13"/>
  <c r="K7" i="8"/>
  <c r="L8" i="8" s="1"/>
  <c r="K8" i="8"/>
  <c r="L9" i="8" s="1"/>
  <c r="K9" i="8"/>
  <c r="K10" i="8"/>
  <c r="L11" i="8" s="1"/>
  <c r="L10" i="8"/>
  <c r="K11" i="8"/>
  <c r="L12" i="8" s="1"/>
  <c r="K12" i="8"/>
  <c r="L13" i="8" s="1"/>
  <c r="K13" i="8"/>
  <c r="L14" i="8" s="1"/>
  <c r="K14" i="8"/>
  <c r="L15" i="8" s="1"/>
  <c r="K15" i="8"/>
  <c r="L16" i="8" s="1"/>
  <c r="K16" i="8"/>
  <c r="L17" i="8" s="1"/>
  <c r="K17" i="8"/>
  <c r="J157" i="13"/>
  <c r="H157" i="13"/>
  <c r="J150" i="13"/>
  <c r="H150" i="13"/>
  <c r="J143" i="13"/>
  <c r="H143" i="13"/>
  <c r="J136" i="13"/>
  <c r="H136" i="13"/>
  <c r="J129" i="13"/>
  <c r="H129" i="13"/>
  <c r="Q136" i="13"/>
  <c r="Q150" i="13"/>
  <c r="Q157" i="13"/>
  <c r="Q129" i="13"/>
  <c r="Q24" i="13"/>
  <c r="Q25" i="13"/>
  <c r="Q31" i="13"/>
  <c r="M37" i="13"/>
  <c r="Q37" i="13"/>
  <c r="L46" i="13"/>
  <c r="M46" i="13"/>
  <c r="Q46" i="13"/>
  <c r="J430" i="13"/>
  <c r="H430" i="13"/>
  <c r="J429" i="13"/>
  <c r="H429" i="13"/>
  <c r="Q16" i="13"/>
  <c r="J428" i="13"/>
  <c r="H428" i="13"/>
  <c r="J427" i="13"/>
  <c r="H427" i="13"/>
  <c r="L532" i="13"/>
  <c r="M532" i="13"/>
  <c r="L235" i="13"/>
  <c r="M235" i="13"/>
  <c r="L14" i="13"/>
  <c r="M14" i="13"/>
  <c r="L48" i="13"/>
  <c r="M48" i="13"/>
  <c r="L9" i="13"/>
  <c r="M9" i="13"/>
  <c r="M162" i="13"/>
  <c r="L392" i="13"/>
  <c r="L393" i="13"/>
  <c r="M393" i="13"/>
  <c r="L13" i="13"/>
  <c r="M13" i="13"/>
  <c r="L24" i="13"/>
  <c r="M24" i="13"/>
  <c r="M55" i="13"/>
  <c r="L51" i="13"/>
  <c r="M51" i="13"/>
  <c r="L394" i="13"/>
  <c r="M394" i="13"/>
  <c r="L17" i="13"/>
  <c r="M17" i="13"/>
  <c r="L20" i="13"/>
  <c r="M20" i="13"/>
  <c r="L28" i="13"/>
  <c r="M29" i="13"/>
  <c r="M21" i="13"/>
  <c r="L237" i="13"/>
  <c r="M237" i="13"/>
  <c r="M238" i="13"/>
  <c r="L54" i="13"/>
  <c r="M54" i="13"/>
  <c r="M240" i="13"/>
  <c r="M241" i="13"/>
  <c r="L161" i="13"/>
  <c r="M161" i="13"/>
  <c r="M256" i="13"/>
  <c r="L257" i="13"/>
  <c r="M257" i="13"/>
  <c r="L249" i="13"/>
  <c r="M249" i="13"/>
  <c r="L244" i="13"/>
  <c r="M244" i="13"/>
  <c r="L245" i="13"/>
  <c r="M245" i="13"/>
  <c r="Q163" i="13"/>
  <c r="Q164" i="13"/>
  <c r="Q186" i="13"/>
  <c r="Q165" i="13"/>
  <c r="K5" i="8"/>
  <c r="L6" i="8" s="1"/>
  <c r="K6" i="8"/>
  <c r="L7" i="8" s="1"/>
  <c r="K4" i="8"/>
  <c r="L5" i="8" s="1"/>
  <c r="Q133" i="13"/>
  <c r="Q134" i="13"/>
  <c r="Q561" i="13"/>
  <c r="Q139" i="13"/>
  <c r="J134" i="13"/>
  <c r="H134" i="13"/>
  <c r="Q3" i="13"/>
  <c r="Q4" i="13"/>
  <c r="Q5" i="13"/>
  <c r="Q6" i="13"/>
  <c r="Q7" i="13"/>
  <c r="Q8" i="13"/>
  <c r="Q9" i="13"/>
  <c r="Q11" i="13"/>
  <c r="Q12" i="13"/>
  <c r="Q13" i="13"/>
  <c r="Q14" i="13"/>
  <c r="Q17" i="13"/>
  <c r="Q18" i="13"/>
  <c r="Q19" i="13"/>
  <c r="Q20" i="13"/>
  <c r="Q21" i="13"/>
  <c r="Q22" i="13"/>
  <c r="Q26" i="13"/>
  <c r="Q27" i="13"/>
  <c r="Q29" i="13"/>
  <c r="Q30" i="13"/>
  <c r="Q32" i="13"/>
  <c r="Q33" i="13"/>
  <c r="Q34" i="13"/>
  <c r="Q35" i="13"/>
  <c r="Q36" i="13"/>
  <c r="Q38" i="13"/>
  <c r="Q40" i="13"/>
  <c r="Q41" i="13"/>
  <c r="Q42" i="13"/>
  <c r="Q43" i="13"/>
  <c r="Q45" i="13"/>
  <c r="Q48" i="13"/>
  <c r="Q49" i="13"/>
  <c r="Q50" i="13"/>
  <c r="Q51" i="13"/>
  <c r="Q52" i="13"/>
  <c r="Q53" i="13"/>
  <c r="Q54" i="13"/>
  <c r="Q56" i="13"/>
  <c r="Q57" i="13"/>
  <c r="Q58" i="13"/>
  <c r="Q60" i="13"/>
  <c r="Q61" i="13"/>
  <c r="Q62" i="13"/>
  <c r="Q63" i="13"/>
  <c r="Q64" i="13"/>
  <c r="Q65" i="13"/>
  <c r="Q66" i="13"/>
  <c r="Q68" i="13"/>
  <c r="Q69" i="13"/>
  <c r="Q70" i="13"/>
  <c r="Q71" i="13"/>
  <c r="Q72" i="13"/>
  <c r="Q73" i="13"/>
  <c r="Q74" i="13"/>
  <c r="Q76" i="13"/>
  <c r="Q77" i="13"/>
  <c r="Q78" i="13"/>
  <c r="Q79" i="13"/>
  <c r="Q80" i="13"/>
  <c r="Q81" i="13"/>
  <c r="Q83" i="13"/>
  <c r="Q84" i="13"/>
  <c r="Q85" i="13"/>
  <c r="Q86" i="13"/>
  <c r="Q87" i="13"/>
  <c r="Q88" i="13"/>
  <c r="Q89" i="13"/>
  <c r="Q97" i="13"/>
  <c r="Q98" i="13"/>
  <c r="Q99" i="13"/>
  <c r="Q100" i="13"/>
  <c r="Q101" i="13"/>
  <c r="Q102" i="13"/>
  <c r="Q103" i="13"/>
  <c r="Q105" i="13"/>
  <c r="Q106" i="13"/>
  <c r="Q107" i="13"/>
  <c r="Q108" i="13"/>
  <c r="Q109" i="13"/>
  <c r="Q110" i="13"/>
  <c r="Q111" i="13"/>
  <c r="Q113" i="13"/>
  <c r="Q114" i="13"/>
  <c r="Q115" i="13"/>
  <c r="Q116" i="13"/>
  <c r="Q117" i="13"/>
  <c r="Q118" i="13"/>
  <c r="Q573" i="13"/>
  <c r="Q121" i="13"/>
  <c r="Q123" i="13"/>
  <c r="Q124" i="13"/>
  <c r="Q125" i="13"/>
  <c r="Q126" i="13"/>
  <c r="Q557" i="13"/>
  <c r="Q131" i="13"/>
  <c r="Q140" i="13"/>
  <c r="Q141" i="13"/>
  <c r="Q565" i="13"/>
  <c r="Q145" i="13"/>
  <c r="Q147" i="13"/>
  <c r="Q148" i="13"/>
  <c r="Q152" i="13"/>
  <c r="Q153" i="13"/>
  <c r="Q154" i="13"/>
  <c r="Q155" i="13"/>
  <c r="Q158" i="13"/>
  <c r="Q160" i="13"/>
  <c r="Q162" i="13"/>
  <c r="Q166" i="13"/>
  <c r="Q167" i="13"/>
  <c r="Q168" i="13"/>
  <c r="Q169" i="13"/>
  <c r="Q170" i="13"/>
  <c r="Q171" i="13"/>
  <c r="Q173" i="13"/>
  <c r="Q174" i="13"/>
  <c r="Q175" i="13"/>
  <c r="Q176" i="13"/>
  <c r="Q177" i="13"/>
  <c r="Q178" i="13"/>
  <c r="Q180" i="13"/>
  <c r="Q179" i="13"/>
  <c r="Q183" i="13"/>
  <c r="Q184" i="13"/>
  <c r="Q185" i="13"/>
  <c r="Q187" i="13"/>
  <c r="Q189" i="13"/>
  <c r="Q190" i="13"/>
  <c r="Q191" i="13"/>
  <c r="Q192" i="13"/>
  <c r="Q193" i="13"/>
  <c r="Q194" i="13"/>
  <c r="Q195" i="13"/>
  <c r="Q197" i="13"/>
  <c r="Q198" i="13"/>
  <c r="Q199" i="13"/>
  <c r="Q200" i="13"/>
  <c r="Q202" i="13"/>
  <c r="Q203" i="13"/>
  <c r="Q204" i="13"/>
  <c r="Q205" i="13"/>
  <c r="Q206" i="13"/>
  <c r="Q207" i="13"/>
  <c r="Q208" i="13"/>
  <c r="Q210" i="13"/>
  <c r="Q211" i="13"/>
  <c r="Q212" i="13"/>
  <c r="Q213" i="13"/>
  <c r="Q214" i="13"/>
  <c r="Q215" i="13"/>
  <c r="Q216" i="13"/>
  <c r="Q218" i="13"/>
  <c r="Q219" i="13"/>
  <c r="Q220" i="13"/>
  <c r="Q221" i="13"/>
  <c r="Q222" i="13"/>
  <c r="Q223" i="13"/>
  <c r="Q224" i="13"/>
  <c r="Q226" i="13"/>
  <c r="Q227" i="13"/>
  <c r="Q228" i="13"/>
  <c r="Q229" i="13"/>
  <c r="Q239" i="13"/>
  <c r="Q240" i="13"/>
  <c r="Q241" i="13"/>
  <c r="Q242" i="13"/>
  <c r="Q244" i="13"/>
  <c r="Q245" i="13"/>
  <c r="Q247" i="13"/>
  <c r="Q248" i="13"/>
  <c r="Q249" i="13"/>
  <c r="Q252" i="13"/>
  <c r="Q253" i="13"/>
  <c r="Q255" i="13"/>
  <c r="Q256" i="13"/>
  <c r="Q257" i="13"/>
  <c r="Q275" i="13"/>
  <c r="Q235" i="13"/>
  <c r="Q237" i="13"/>
  <c r="Q238" i="13"/>
  <c r="Q264" i="13"/>
  <c r="Q267" i="13"/>
  <c r="Q268" i="13"/>
  <c r="Q270" i="13"/>
  <c r="Q271" i="13"/>
  <c r="Q273" i="13"/>
  <c r="Q274" i="13"/>
  <c r="Q299" i="13"/>
  <c r="Q300" i="13"/>
  <c r="Q305" i="13"/>
  <c r="Q308" i="13"/>
  <c r="Q309" i="13"/>
  <c r="Q335" i="13"/>
  <c r="Q336" i="13"/>
  <c r="Q337" i="13"/>
  <c r="Q338" i="13"/>
  <c r="Q395" i="13"/>
  <c r="Q364" i="13"/>
  <c r="Q365" i="13"/>
  <c r="Q310" i="13"/>
  <c r="Q370" i="13"/>
  <c r="Q367" i="13"/>
  <c r="Q368" i="13"/>
  <c r="Q314" i="13"/>
  <c r="Q372" i="13"/>
  <c r="Q373" i="13"/>
  <c r="Q374" i="13"/>
  <c r="Q396" i="13"/>
  <c r="Q375" i="13"/>
  <c r="Q318" i="13"/>
  <c r="Q378" i="13"/>
  <c r="Q379" i="13"/>
  <c r="Q397" i="13"/>
  <c r="Q380" i="13"/>
  <c r="Q322" i="13"/>
  <c r="Q382" i="13"/>
  <c r="Q383" i="13"/>
  <c r="Q398" i="13"/>
  <c r="Q385" i="13"/>
  <c r="Q326" i="13"/>
  <c r="Q387" i="13"/>
  <c r="Q388" i="13"/>
  <c r="Q389" i="13"/>
  <c r="Q399" i="13"/>
  <c r="J141" i="13"/>
  <c r="H141" i="13"/>
  <c r="J14" i="13"/>
  <c r="H14" i="13"/>
  <c r="Q391" i="13"/>
  <c r="J433" i="13"/>
  <c r="H433" i="13"/>
  <c r="J441" i="13"/>
  <c r="H441" i="13"/>
  <c r="J440" i="13"/>
  <c r="H440" i="13"/>
  <c r="J439" i="13"/>
  <c r="H439" i="13"/>
  <c r="J438" i="13"/>
  <c r="H438" i="13"/>
  <c r="J435" i="13"/>
  <c r="H435" i="13"/>
  <c r="J434" i="13"/>
  <c r="H434" i="13"/>
  <c r="J432" i="13"/>
  <c r="H432" i="13"/>
  <c r="J431" i="13"/>
  <c r="H431" i="13"/>
  <c r="J426" i="13"/>
  <c r="H426" i="13"/>
  <c r="J425" i="13"/>
  <c r="H425" i="13"/>
  <c r="J443" i="13"/>
  <c r="H443" i="13"/>
  <c r="J423" i="13"/>
  <c r="H423" i="13"/>
  <c r="J422" i="13"/>
  <c r="H422" i="13"/>
  <c r="J421" i="13"/>
  <c r="H421" i="13"/>
  <c r="J420" i="13"/>
  <c r="H420" i="13"/>
  <c r="J419" i="13"/>
  <c r="H419" i="13"/>
  <c r="J418" i="13"/>
  <c r="H418" i="13"/>
  <c r="J417" i="13"/>
  <c r="H417" i="13"/>
  <c r="J416" i="13"/>
  <c r="H416" i="13"/>
  <c r="J415" i="13"/>
  <c r="H415" i="13"/>
  <c r="J414" i="13"/>
  <c r="H414" i="13"/>
  <c r="J413" i="13"/>
  <c r="H413" i="13"/>
  <c r="J412" i="13"/>
  <c r="H412" i="13"/>
  <c r="J411" i="13"/>
  <c r="H411" i="13"/>
  <c r="J445" i="13"/>
  <c r="H445" i="13"/>
  <c r="J410" i="13"/>
  <c r="H410" i="13"/>
  <c r="J409" i="13"/>
  <c r="H409" i="13"/>
  <c r="J408" i="13"/>
  <c r="H408" i="13"/>
  <c r="J407" i="13"/>
  <c r="H407" i="13"/>
  <c r="J406" i="13"/>
  <c r="H406" i="13"/>
  <c r="J405" i="13"/>
  <c r="H405" i="13"/>
  <c r="J404" i="13"/>
  <c r="H404" i="13"/>
  <c r="J446" i="13"/>
  <c r="H446" i="13"/>
  <c r="J471" i="13"/>
  <c r="H471" i="13"/>
  <c r="J470" i="13"/>
  <c r="H470" i="13"/>
  <c r="J469" i="13"/>
  <c r="H469" i="13"/>
  <c r="M39" i="13" l="1"/>
  <c r="L31" i="13"/>
  <c r="Q172" i="13"/>
  <c r="Q127" i="13"/>
  <c r="Q112" i="13"/>
  <c r="Q104" i="13"/>
  <c r="Q96" i="13"/>
  <c r="Q82" i="13"/>
  <c r="Q67" i="13"/>
  <c r="L39" i="13"/>
  <c r="Q307" i="13"/>
  <c r="Q272" i="13"/>
  <c r="Q196" i="13"/>
  <c r="Q188" i="13"/>
  <c r="Q146" i="13"/>
  <c r="M28" i="13"/>
  <c r="Q390" i="13"/>
  <c r="Q384" i="13"/>
  <c r="Q369" i="13"/>
  <c r="Q363" i="13"/>
  <c r="Q334" i="13"/>
  <c r="L55" i="13"/>
  <c r="Q143" i="13"/>
  <c r="J114" i="13"/>
  <c r="H114" i="13"/>
  <c r="J115" i="13"/>
  <c r="H115" i="13"/>
  <c r="H28" i="13"/>
  <c r="J28" i="13"/>
  <c r="J458" i="13"/>
  <c r="H458" i="13"/>
  <c r="J457" i="13"/>
  <c r="H457" i="13"/>
  <c r="J456" i="13"/>
  <c r="H456" i="13"/>
  <c r="J455" i="13"/>
  <c r="H455" i="13"/>
  <c r="J454" i="13"/>
  <c r="H454" i="13"/>
  <c r="J453" i="13"/>
  <c r="H453" i="13"/>
  <c r="J452" i="13"/>
  <c r="H452" i="13"/>
  <c r="J451" i="13"/>
  <c r="H451" i="13"/>
  <c r="J450" i="13"/>
  <c r="H450" i="13"/>
  <c r="J437" i="13"/>
  <c r="H437" i="13"/>
  <c r="J436" i="13"/>
  <c r="H436" i="13"/>
  <c r="J165" i="13"/>
  <c r="H165" i="13"/>
  <c r="J155" i="13"/>
  <c r="H155" i="13"/>
  <c r="J449" i="13"/>
  <c r="H449" i="13"/>
  <c r="J448" i="13"/>
  <c r="H448" i="13"/>
  <c r="J519" i="13"/>
  <c r="H519" i="13"/>
  <c r="J518" i="13"/>
  <c r="H518" i="13"/>
  <c r="J517" i="13"/>
  <c r="H517" i="13"/>
  <c r="J516" i="13"/>
  <c r="H516" i="13"/>
  <c r="J515" i="13"/>
  <c r="H515" i="13"/>
  <c r="J514" i="13"/>
  <c r="H514" i="13"/>
  <c r="J513" i="13"/>
  <c r="H513" i="13"/>
  <c r="J512" i="13"/>
  <c r="H512" i="13"/>
  <c r="J511" i="13"/>
  <c r="H511" i="13"/>
  <c r="J510" i="13"/>
  <c r="H510" i="13"/>
  <c r="J509" i="13"/>
  <c r="H509" i="13"/>
  <c r="J508" i="13"/>
  <c r="H508" i="13"/>
  <c r="J507" i="13"/>
  <c r="H507" i="13"/>
  <c r="J506" i="13"/>
  <c r="H506" i="13"/>
  <c r="J505" i="13"/>
  <c r="H505" i="13"/>
  <c r="J504" i="13"/>
  <c r="H504" i="13"/>
  <c r="J503" i="13"/>
  <c r="H503" i="13"/>
  <c r="J502" i="13"/>
  <c r="H502" i="13"/>
  <c r="J501" i="13"/>
  <c r="H501" i="13"/>
  <c r="J500" i="13"/>
  <c r="H500" i="13"/>
  <c r="J499" i="13"/>
  <c r="H499" i="13"/>
  <c r="J498" i="13"/>
  <c r="H498" i="13"/>
  <c r="J497" i="13"/>
  <c r="H497" i="13"/>
  <c r="J496" i="13"/>
  <c r="H496" i="13"/>
  <c r="J495" i="13"/>
  <c r="H495" i="13"/>
  <c r="J494" i="13"/>
  <c r="H494" i="13"/>
  <c r="J493" i="13"/>
  <c r="H493" i="13"/>
  <c r="J492" i="13"/>
  <c r="H492" i="13"/>
  <c r="J491" i="13"/>
  <c r="H491" i="13"/>
  <c r="J490" i="13"/>
  <c r="H490" i="13"/>
  <c r="J489" i="13"/>
  <c r="H489" i="13"/>
  <c r="J488" i="13"/>
  <c r="H488" i="13"/>
  <c r="J487" i="13"/>
  <c r="H487" i="13"/>
  <c r="J486" i="13"/>
  <c r="H486" i="13"/>
  <c r="J485" i="13"/>
  <c r="H485" i="13"/>
  <c r="J444" i="13"/>
  <c r="H444" i="13"/>
  <c r="H424" i="13"/>
  <c r="H276" i="13"/>
  <c r="J484" i="13"/>
  <c r="H484" i="13"/>
  <c r="J483" i="13"/>
  <c r="H483" i="13"/>
  <c r="J442" i="13"/>
  <c r="H442" i="13"/>
  <c r="J447" i="13"/>
  <c r="H447" i="13"/>
  <c r="J482" i="13"/>
  <c r="H482" i="13"/>
  <c r="J481" i="13"/>
  <c r="H481" i="13"/>
  <c r="J480" i="13"/>
  <c r="H480" i="13"/>
  <c r="J479" i="13"/>
  <c r="H479" i="13"/>
  <c r="J478" i="13"/>
  <c r="H478" i="13"/>
  <c r="J477" i="13"/>
  <c r="H477" i="13"/>
  <c r="J476" i="13"/>
  <c r="H476" i="13"/>
  <c r="J475" i="13"/>
  <c r="H475" i="13"/>
  <c r="J474" i="13"/>
  <c r="H474" i="13"/>
  <c r="J473" i="13"/>
  <c r="H473" i="13"/>
  <c r="J472" i="13"/>
  <c r="H472" i="13"/>
  <c r="J468" i="13"/>
  <c r="H468" i="13"/>
  <c r="J467" i="13"/>
  <c r="H467" i="13"/>
  <c r="J466" i="13"/>
  <c r="H466" i="13"/>
  <c r="J465" i="13"/>
  <c r="H465" i="13"/>
  <c r="J464" i="13"/>
  <c r="H464" i="13"/>
  <c r="J463" i="13"/>
  <c r="H463" i="13"/>
  <c r="J462" i="13"/>
  <c r="H462" i="13"/>
  <c r="J461" i="13"/>
  <c r="H461" i="13"/>
  <c r="J460" i="13"/>
  <c r="H460" i="13"/>
  <c r="J459" i="13"/>
  <c r="H459" i="13"/>
  <c r="Q2" i="13"/>
  <c r="L7" i="13"/>
  <c r="M7" i="13"/>
  <c r="J96" i="13"/>
  <c r="H96" i="13"/>
  <c r="J204" i="13"/>
  <c r="H204" i="13"/>
  <c r="J363" i="13"/>
  <c r="H363" i="13"/>
  <c r="J393" i="13"/>
  <c r="H393" i="13"/>
  <c r="J392" i="13"/>
  <c r="H392" i="13"/>
  <c r="J148" i="13"/>
  <c r="H148" i="13"/>
  <c r="J127" i="13"/>
  <c r="H127" i="13"/>
  <c r="J369" i="13"/>
  <c r="H369" i="13"/>
  <c r="J388" i="13"/>
  <c r="H388" i="13"/>
  <c r="J387" i="13"/>
  <c r="H387" i="13"/>
  <c r="J389" i="13"/>
  <c r="H389" i="13"/>
  <c r="J384" i="13"/>
  <c r="H384" i="13"/>
  <c r="J379" i="13"/>
  <c r="H379" i="13"/>
  <c r="J374" i="13"/>
  <c r="H374" i="13"/>
  <c r="J382" i="13"/>
  <c r="H382" i="13"/>
  <c r="J383" i="13"/>
  <c r="H383" i="13"/>
  <c r="J373" i="13"/>
  <c r="H373" i="13"/>
  <c r="J372" i="13"/>
  <c r="H372" i="13"/>
  <c r="J377" i="13"/>
  <c r="H377" i="13"/>
  <c r="J378" i="13"/>
  <c r="H378" i="13"/>
  <c r="J368" i="13"/>
  <c r="H368" i="13"/>
  <c r="J367" i="13"/>
  <c r="H367" i="13"/>
  <c r="J390" i="13"/>
  <c r="H390" i="13"/>
  <c r="J399" i="13"/>
  <c r="H399" i="13"/>
  <c r="J385" i="13"/>
  <c r="H385" i="13"/>
  <c r="J398" i="13"/>
  <c r="H398" i="13"/>
  <c r="J380" i="13"/>
  <c r="H380" i="13"/>
  <c r="J397" i="13"/>
  <c r="H397" i="13"/>
  <c r="J375" i="13"/>
  <c r="H375" i="13"/>
  <c r="J396" i="13"/>
  <c r="H396" i="13"/>
  <c r="J370" i="13"/>
  <c r="H370" i="13"/>
  <c r="J365" i="13"/>
  <c r="H365" i="13"/>
  <c r="J364" i="13"/>
  <c r="H364" i="13"/>
  <c r="J395" i="13"/>
  <c r="H395" i="13"/>
  <c r="J335" i="13"/>
  <c r="H335" i="13"/>
  <c r="J334" i="13"/>
  <c r="H334" i="13"/>
  <c r="J338" i="13"/>
  <c r="H338" i="13"/>
  <c r="J336" i="13"/>
  <c r="H336" i="13"/>
  <c r="J309" i="13"/>
  <c r="H309" i="13"/>
  <c r="J308" i="13"/>
  <c r="H308" i="13"/>
  <c r="J307" i="13"/>
  <c r="H307" i="13"/>
  <c r="J274" i="13"/>
  <c r="H274" i="13"/>
  <c r="J270" i="13"/>
  <c r="H270" i="13"/>
  <c r="J273" i="13"/>
  <c r="H273" i="13"/>
  <c r="J272" i="13"/>
  <c r="H272" i="13"/>
  <c r="J269" i="13"/>
  <c r="H269" i="13"/>
  <c r="J268" i="13"/>
  <c r="H268" i="13"/>
  <c r="J264" i="13"/>
  <c r="H264" i="13"/>
  <c r="J257" i="13"/>
  <c r="H257" i="13"/>
  <c r="J256" i="13"/>
  <c r="H256" i="13"/>
  <c r="J253" i="13"/>
  <c r="H253" i="13"/>
  <c r="J252" i="13"/>
  <c r="H252" i="13"/>
  <c r="J249" i="13"/>
  <c r="H249" i="13"/>
  <c r="J248" i="13"/>
  <c r="H248" i="13"/>
  <c r="J245" i="13"/>
  <c r="H245" i="13"/>
  <c r="J244" i="13"/>
  <c r="H244" i="13"/>
  <c r="J242" i="13"/>
  <c r="H242" i="13"/>
  <c r="J241" i="13"/>
  <c r="H241" i="13"/>
  <c r="J240" i="13"/>
  <c r="H240" i="13"/>
  <c r="J238" i="13"/>
  <c r="H238" i="13"/>
  <c r="J237" i="13"/>
  <c r="J235" i="13"/>
  <c r="H235" i="13"/>
  <c r="J228" i="13"/>
  <c r="H228" i="13"/>
  <c r="J227" i="13"/>
  <c r="H227" i="13"/>
  <c r="J225" i="13"/>
  <c r="H225" i="13"/>
  <c r="J224" i="13"/>
  <c r="H224" i="13"/>
  <c r="J221" i="13"/>
  <c r="H221" i="13"/>
  <c r="J222" i="13"/>
  <c r="H222" i="13"/>
  <c r="J219" i="13"/>
  <c r="H219" i="13"/>
  <c r="J218" i="13"/>
  <c r="H218" i="13"/>
  <c r="J216" i="13"/>
  <c r="H216" i="13"/>
  <c r="J215" i="13"/>
  <c r="H215" i="13"/>
  <c r="J213" i="13"/>
  <c r="H213" i="13"/>
  <c r="J212" i="13"/>
  <c r="H212" i="13"/>
  <c r="J210" i="13"/>
  <c r="H210" i="13"/>
  <c r="J209" i="13"/>
  <c r="H209" i="13"/>
  <c r="J226" i="13"/>
  <c r="H226" i="13"/>
  <c r="J220" i="13"/>
  <c r="H220" i="13"/>
  <c r="J214" i="13"/>
  <c r="H214" i="13"/>
  <c r="J208" i="13"/>
  <c r="H208" i="13"/>
  <c r="J207" i="13"/>
  <c r="H207" i="13"/>
  <c r="J206" i="13"/>
  <c r="H206" i="13"/>
  <c r="J200" i="13"/>
  <c r="H200" i="13"/>
  <c r="J199" i="13"/>
  <c r="H199" i="13"/>
  <c r="J198" i="13"/>
  <c r="H198" i="13"/>
  <c r="J196" i="13"/>
  <c r="H196" i="13"/>
  <c r="J195" i="13"/>
  <c r="H195" i="13"/>
  <c r="J194" i="13"/>
  <c r="H194" i="13"/>
  <c r="J192" i="13"/>
  <c r="H192" i="13"/>
  <c r="J191" i="13"/>
  <c r="H191" i="13"/>
  <c r="J190" i="13"/>
  <c r="H190" i="13"/>
  <c r="J188" i="13"/>
  <c r="H188" i="13"/>
  <c r="J187" i="13"/>
  <c r="H187" i="13"/>
  <c r="J186" i="13"/>
  <c r="H186" i="13"/>
  <c r="J184" i="13"/>
  <c r="H184" i="13"/>
  <c r="J181" i="13"/>
  <c r="H181" i="13"/>
  <c r="J183" i="13"/>
  <c r="H183" i="13"/>
  <c r="J173" i="13"/>
  <c r="H173" i="13"/>
  <c r="J177" i="13"/>
  <c r="H177" i="13"/>
  <c r="J176" i="13"/>
  <c r="H176" i="13"/>
  <c r="J175" i="13"/>
  <c r="H175" i="13"/>
  <c r="J172" i="13"/>
  <c r="H172" i="13"/>
  <c r="J171" i="13"/>
  <c r="H171" i="13"/>
  <c r="J169" i="13"/>
  <c r="H169" i="13"/>
  <c r="J168" i="13"/>
  <c r="H168" i="13"/>
  <c r="J167" i="13"/>
  <c r="H167" i="13"/>
  <c r="J162" i="13"/>
  <c r="H162" i="13"/>
  <c r="J153" i="13"/>
  <c r="H153" i="13"/>
  <c r="J152" i="13"/>
  <c r="H152" i="13"/>
  <c r="J145" i="13"/>
  <c r="H145" i="13"/>
  <c r="J146" i="13"/>
  <c r="H146" i="13"/>
  <c r="J139" i="13"/>
  <c r="H139" i="13"/>
  <c r="J138" i="13"/>
  <c r="H138" i="13"/>
  <c r="J131" i="13"/>
  <c r="H131" i="13"/>
  <c r="J122" i="13"/>
  <c r="H122" i="13"/>
  <c r="J125" i="13"/>
  <c r="H125" i="13"/>
  <c r="J124" i="13"/>
  <c r="H124" i="13"/>
  <c r="J126" i="13"/>
  <c r="H126" i="13"/>
  <c r="J154" i="13"/>
  <c r="H154" i="13"/>
  <c r="J147" i="13"/>
  <c r="H147" i="13"/>
  <c r="J140" i="13"/>
  <c r="H140" i="13"/>
  <c r="J133" i="13"/>
  <c r="H133" i="13"/>
  <c r="J164" i="13"/>
  <c r="H164" i="13"/>
  <c r="J111" i="13"/>
  <c r="H111" i="13"/>
  <c r="J110" i="13"/>
  <c r="H110" i="13"/>
  <c r="J107" i="13"/>
  <c r="H107" i="13"/>
  <c r="J106" i="13"/>
  <c r="H106" i="13"/>
  <c r="J103" i="13"/>
  <c r="H103" i="13"/>
  <c r="J102" i="13"/>
  <c r="H102" i="13"/>
  <c r="J99" i="13"/>
  <c r="H99" i="13"/>
  <c r="J98" i="13"/>
  <c r="H98" i="13"/>
  <c r="J116" i="13"/>
  <c r="H116" i="13"/>
  <c r="J112" i="13"/>
  <c r="H112" i="13"/>
  <c r="J108" i="13"/>
  <c r="H108" i="13"/>
  <c r="J104" i="13"/>
  <c r="H104" i="13"/>
  <c r="J100" i="13"/>
  <c r="H100" i="13"/>
  <c r="J86" i="13"/>
  <c r="H86" i="13"/>
  <c r="J85" i="13"/>
  <c r="H85" i="13"/>
  <c r="J84" i="13"/>
  <c r="H84" i="13"/>
  <c r="J83" i="13"/>
  <c r="H83" i="13"/>
  <c r="J82" i="13"/>
  <c r="H82" i="13"/>
  <c r="J81" i="13"/>
  <c r="H81" i="13"/>
  <c r="J80" i="13"/>
  <c r="H80" i="13"/>
  <c r="J79" i="13"/>
  <c r="H79" i="13"/>
  <c r="J78" i="13"/>
  <c r="H78" i="13"/>
  <c r="J77" i="13"/>
  <c r="H77" i="13"/>
  <c r="J61" i="13"/>
  <c r="H61" i="13"/>
  <c r="J62" i="13"/>
  <c r="H62" i="13"/>
  <c r="J63" i="13"/>
  <c r="H63" i="13"/>
  <c r="J60" i="13"/>
  <c r="H60" i="13"/>
  <c r="J64" i="13"/>
  <c r="H64" i="13"/>
  <c r="J65" i="13"/>
  <c r="H65" i="13"/>
  <c r="J66" i="13"/>
  <c r="H66" i="13"/>
  <c r="J67" i="13"/>
  <c r="H67" i="13"/>
  <c r="J69" i="13"/>
  <c r="H69" i="13"/>
  <c r="J70" i="13"/>
  <c r="H70" i="13"/>
  <c r="J72" i="13"/>
  <c r="H72" i="13"/>
  <c r="J48" i="13"/>
  <c r="H48" i="13"/>
  <c r="J53" i="13"/>
  <c r="H53" i="13"/>
  <c r="J52" i="13"/>
  <c r="H52" i="13"/>
  <c r="J51" i="13"/>
  <c r="H51" i="13"/>
  <c r="J49" i="13"/>
  <c r="H49" i="13"/>
  <c r="J50" i="13"/>
  <c r="H50" i="13"/>
  <c r="J54" i="13"/>
  <c r="H54" i="13"/>
  <c r="H45" i="13"/>
  <c r="J45" i="13"/>
  <c r="J44" i="13"/>
  <c r="H44" i="13"/>
  <c r="J43" i="13"/>
  <c r="H43" i="13"/>
  <c r="J42" i="13"/>
  <c r="H42" i="13"/>
  <c r="J41" i="13"/>
  <c r="H41" i="13"/>
  <c r="J40" i="13"/>
  <c r="H40" i="13"/>
  <c r="J39" i="13"/>
  <c r="H39" i="13"/>
  <c r="J34" i="13"/>
  <c r="H34" i="13"/>
  <c r="J35" i="13"/>
  <c r="H35" i="13"/>
  <c r="J36" i="13"/>
  <c r="H36" i="13"/>
  <c r="J33" i="13"/>
  <c r="H33" i="13"/>
  <c r="J30" i="13"/>
  <c r="H30" i="13"/>
  <c r="J29" i="13"/>
  <c r="H29" i="13"/>
  <c r="J27" i="13"/>
  <c r="H27" i="13"/>
  <c r="J26" i="13"/>
  <c r="H26" i="13"/>
  <c r="J17" i="13"/>
  <c r="H17" i="13"/>
  <c r="J13" i="13"/>
  <c r="H13" i="13"/>
  <c r="J21" i="13"/>
  <c r="H21" i="13"/>
  <c r="J20" i="13"/>
  <c r="H20" i="13"/>
  <c r="J19" i="13"/>
  <c r="H19" i="13"/>
  <c r="J22" i="13"/>
  <c r="H22" i="13"/>
  <c r="J11" i="13"/>
  <c r="H11" i="13"/>
  <c r="J9" i="13"/>
  <c r="H9" i="13"/>
  <c r="B13" i="10"/>
  <c r="D13" i="10"/>
  <c r="B15" i="10"/>
  <c r="D15" i="10"/>
  <c r="B16" i="10"/>
  <c r="D16" i="10"/>
  <c r="B17" i="10"/>
  <c r="D17" i="10"/>
  <c r="B18" i="10"/>
  <c r="D18" i="10"/>
  <c r="B19" i="10"/>
  <c r="D19" i="10"/>
  <c r="B20" i="10"/>
  <c r="D20" i="10"/>
  <c r="B21" i="10"/>
  <c r="D21" i="10"/>
  <c r="B22" i="10"/>
  <c r="D22" i="10"/>
  <c r="B23" i="10"/>
  <c r="D23" i="10"/>
  <c r="B24" i="10"/>
  <c r="D24" i="10"/>
  <c r="B25" i="10"/>
  <c r="D25" i="10"/>
  <c r="B26" i="10"/>
  <c r="D26" i="10"/>
  <c r="B27" i="10"/>
  <c r="D27" i="10"/>
  <c r="B28" i="10"/>
  <c r="D28" i="10"/>
  <c r="B29" i="10"/>
  <c r="D29" i="10"/>
  <c r="B30" i="10"/>
  <c r="D30" i="10"/>
  <c r="B31" i="10"/>
  <c r="D31" i="10"/>
  <c r="B32" i="10"/>
  <c r="D32" i="10"/>
  <c r="B33" i="10"/>
  <c r="D33" i="10"/>
  <c r="B34" i="10"/>
  <c r="D34" i="10"/>
  <c r="B35" i="10"/>
  <c r="D35" i="10"/>
  <c r="B36" i="10"/>
  <c r="D36" i="10"/>
  <c r="B37" i="10"/>
  <c r="D37" i="10"/>
  <c r="B38" i="10"/>
  <c r="D38" i="10"/>
  <c r="B39" i="10"/>
  <c r="D39" i="10"/>
  <c r="B40" i="10"/>
  <c r="D40" i="10"/>
  <c r="B41" i="10"/>
  <c r="D41" i="10"/>
  <c r="B42" i="10"/>
  <c r="D42" i="10"/>
  <c r="B43" i="10"/>
  <c r="D43" i="10"/>
  <c r="B44" i="10"/>
  <c r="D44" i="10"/>
  <c r="B45" i="10"/>
  <c r="D45" i="10"/>
  <c r="B46" i="10"/>
  <c r="D46" i="10"/>
  <c r="B47" i="10"/>
  <c r="D47" i="10"/>
  <c r="B48" i="10"/>
  <c r="D48" i="10"/>
  <c r="B49" i="10"/>
  <c r="D49" i="10"/>
  <c r="B50" i="10"/>
  <c r="D50" i="10"/>
  <c r="B51" i="10"/>
  <c r="D51" i="10"/>
  <c r="B52" i="10"/>
  <c r="D52" i="10"/>
  <c r="B53" i="10"/>
  <c r="D53" i="10"/>
  <c r="B54" i="10"/>
  <c r="D54" i="10"/>
  <c r="B55" i="10"/>
  <c r="D55" i="10"/>
  <c r="B56" i="10"/>
  <c r="D56" i="10"/>
  <c r="B57" i="10"/>
  <c r="D57" i="10"/>
  <c r="B58" i="10"/>
  <c r="D58" i="10"/>
  <c r="B59" i="10"/>
  <c r="D59" i="10"/>
  <c r="B60" i="10"/>
  <c r="D60" i="10"/>
  <c r="B61" i="10"/>
  <c r="D61" i="10"/>
  <c r="B62" i="10"/>
  <c r="D62" i="10"/>
  <c r="B63" i="10"/>
  <c r="D63" i="10"/>
  <c r="B64" i="10"/>
  <c r="D64" i="10"/>
  <c r="B65" i="10"/>
  <c r="D65" i="10"/>
  <c r="B66" i="10"/>
  <c r="D66" i="10"/>
  <c r="B67" i="10"/>
  <c r="D67" i="10"/>
  <c r="B68" i="10"/>
  <c r="D68" i="10"/>
  <c r="B69" i="10"/>
  <c r="D69" i="10"/>
  <c r="B70" i="10"/>
  <c r="D70" i="10"/>
  <c r="B71" i="10"/>
  <c r="D71" i="10"/>
  <c r="B72" i="10"/>
  <c r="D72" i="10"/>
  <c r="B73" i="10"/>
  <c r="D73" i="10"/>
  <c r="B74" i="10"/>
  <c r="D74" i="10"/>
  <c r="B75" i="10"/>
  <c r="D75" i="10"/>
  <c r="B76" i="10"/>
  <c r="D76" i="10"/>
  <c r="B77" i="10"/>
  <c r="D77" i="10"/>
  <c r="B78" i="10"/>
  <c r="D78" i="10"/>
  <c r="B79" i="10"/>
  <c r="D79" i="10"/>
  <c r="B80" i="10"/>
  <c r="D80" i="10"/>
  <c r="B81" i="10"/>
  <c r="D81" i="10"/>
  <c r="B82" i="10"/>
  <c r="D82" i="10"/>
  <c r="B83" i="10"/>
  <c r="D83" i="10"/>
  <c r="B84" i="10"/>
  <c r="D84" i="10"/>
  <c r="B85" i="10"/>
  <c r="D85" i="10"/>
  <c r="B86" i="10"/>
  <c r="D86" i="10"/>
  <c r="B87" i="10"/>
  <c r="D87" i="10"/>
  <c r="B88" i="10"/>
  <c r="D88" i="10"/>
  <c r="B89" i="10"/>
  <c r="D89" i="10"/>
  <c r="B90" i="10"/>
  <c r="D90" i="10"/>
  <c r="B91" i="10"/>
  <c r="D91" i="10"/>
  <c r="B92" i="10"/>
  <c r="D92" i="10"/>
  <c r="B93" i="10"/>
  <c r="D93" i="10"/>
  <c r="B94" i="10"/>
  <c r="D94" i="10"/>
  <c r="B95" i="10"/>
  <c r="D95" i="10"/>
  <c r="B96" i="10"/>
  <c r="D96" i="10"/>
  <c r="B97" i="10"/>
  <c r="D97" i="10"/>
  <c r="B98" i="10"/>
  <c r="D98" i="10"/>
  <c r="B99" i="10"/>
  <c r="D99" i="10"/>
  <c r="B100" i="10"/>
  <c r="D100" i="10"/>
  <c r="B101" i="10"/>
  <c r="D101" i="10"/>
  <c r="B102" i="10"/>
  <c r="D102" i="10"/>
  <c r="B104" i="10"/>
  <c r="D104" i="10"/>
  <c r="B105" i="10"/>
  <c r="D105" i="10"/>
  <c r="B106" i="10"/>
  <c r="D106" i="10"/>
  <c r="B107" i="10"/>
  <c r="D107" i="10"/>
  <c r="B108" i="10"/>
  <c r="D108" i="10"/>
  <c r="B109" i="10"/>
  <c r="D109" i="10"/>
  <c r="B110" i="10"/>
  <c r="D110" i="10"/>
  <c r="B111" i="10"/>
  <c r="D111" i="10"/>
  <c r="B112" i="10"/>
  <c r="D112" i="10"/>
  <c r="B113" i="10"/>
  <c r="D113" i="10"/>
  <c r="B114" i="10"/>
  <c r="D114" i="10"/>
  <c r="B115" i="10"/>
  <c r="D115" i="10"/>
  <c r="B116" i="10"/>
  <c r="D116" i="10"/>
  <c r="B117" i="10"/>
  <c r="D117" i="10"/>
  <c r="B118" i="10"/>
  <c r="D118" i="10"/>
  <c r="B119" i="10"/>
  <c r="D119" i="10"/>
  <c r="B120" i="10"/>
  <c r="D120" i="10"/>
  <c r="B121" i="10"/>
  <c r="D121" i="10"/>
  <c r="B122" i="10"/>
  <c r="D122" i="10"/>
  <c r="B123" i="10"/>
  <c r="D123" i="10"/>
  <c r="B124" i="10"/>
  <c r="D124" i="10"/>
  <c r="B125" i="10"/>
  <c r="D125" i="10"/>
  <c r="B126" i="10"/>
  <c r="D126" i="10"/>
  <c r="B127" i="10"/>
  <c r="D127" i="10"/>
  <c r="B128" i="10"/>
  <c r="D128" i="10"/>
  <c r="B129" i="10"/>
  <c r="D129" i="10"/>
  <c r="B130" i="10"/>
  <c r="D130" i="10"/>
  <c r="B131" i="10"/>
  <c r="D131" i="10"/>
  <c r="B132" i="10"/>
  <c r="D132" i="10"/>
  <c r="B133" i="10"/>
  <c r="D133" i="10"/>
  <c r="B134" i="10"/>
  <c r="D134" i="10"/>
  <c r="B135" i="10"/>
  <c r="D135" i="10"/>
  <c r="B136" i="10"/>
  <c r="D136" i="10"/>
  <c r="B137" i="10"/>
  <c r="D137" i="10"/>
  <c r="B138" i="10"/>
  <c r="D138" i="10"/>
  <c r="B139" i="10"/>
  <c r="D139" i="10"/>
  <c r="B140" i="10"/>
  <c r="D140" i="10"/>
  <c r="B141" i="10"/>
  <c r="D141" i="10"/>
  <c r="B142" i="10"/>
  <c r="D142" i="10"/>
  <c r="B143" i="10"/>
  <c r="D143" i="10"/>
  <c r="B144" i="10"/>
  <c r="D144" i="10"/>
  <c r="B145" i="10"/>
  <c r="D145" i="10"/>
  <c r="B146" i="10"/>
  <c r="D146" i="10"/>
  <c r="B147" i="10"/>
  <c r="D147" i="10"/>
  <c r="B148" i="10"/>
  <c r="D148" i="10"/>
  <c r="B149" i="10"/>
  <c r="D149" i="10"/>
  <c r="B150" i="10"/>
  <c r="D150" i="10"/>
  <c r="B151" i="10"/>
  <c r="D151" i="10"/>
  <c r="B152" i="10"/>
  <c r="D152" i="10"/>
  <c r="B153" i="10"/>
  <c r="D153" i="10"/>
  <c r="B154" i="10"/>
  <c r="D154" i="10"/>
  <c r="B155" i="10"/>
  <c r="D155" i="10"/>
  <c r="B156" i="10"/>
  <c r="D156" i="10"/>
  <c r="B157" i="10"/>
  <c r="D157" i="10"/>
  <c r="B158" i="10"/>
  <c r="D158" i="10"/>
  <c r="B159" i="10"/>
  <c r="D159" i="10"/>
  <c r="B160" i="10"/>
  <c r="D160" i="10"/>
  <c r="B161" i="10"/>
  <c r="D161" i="10"/>
  <c r="B162" i="10"/>
  <c r="D162" i="10"/>
  <c r="B163" i="10"/>
  <c r="D163" i="10"/>
  <c r="B164" i="10"/>
  <c r="D164" i="10"/>
  <c r="B165" i="10"/>
  <c r="D165" i="10"/>
  <c r="B166" i="10"/>
  <c r="D166" i="10"/>
  <c r="B167" i="10"/>
  <c r="D167" i="10"/>
  <c r="B168" i="10"/>
  <c r="D168" i="10"/>
  <c r="B169" i="10"/>
  <c r="D169" i="10"/>
  <c r="B170" i="10"/>
  <c r="D170" i="10"/>
  <c r="B171" i="10"/>
  <c r="D171" i="10"/>
  <c r="B172" i="10"/>
  <c r="D172" i="10"/>
  <c r="B173" i="10"/>
  <c r="D173" i="10"/>
  <c r="B174" i="10"/>
  <c r="D174" i="10"/>
  <c r="B175" i="10"/>
  <c r="D175" i="10"/>
  <c r="B176" i="10"/>
  <c r="D176" i="10"/>
  <c r="B177" i="10"/>
  <c r="D177" i="10"/>
  <c r="B178" i="10"/>
  <c r="D178" i="10"/>
  <c r="B179" i="10"/>
  <c r="D179" i="10"/>
  <c r="B180" i="10"/>
  <c r="D180" i="10"/>
  <c r="B181" i="10"/>
  <c r="D181" i="10"/>
  <c r="B182" i="10"/>
  <c r="D182" i="10"/>
  <c r="B183" i="10"/>
  <c r="D183" i="10"/>
  <c r="B184" i="10"/>
  <c r="D184" i="10"/>
  <c r="B185" i="10"/>
  <c r="D185" i="10"/>
  <c r="B186" i="10"/>
  <c r="D186" i="10"/>
  <c r="B187" i="10"/>
  <c r="D187" i="10"/>
  <c r="B188" i="10"/>
  <c r="D188" i="10"/>
  <c r="B189" i="10"/>
  <c r="D189" i="10"/>
  <c r="B190" i="10"/>
  <c r="D190" i="10"/>
  <c r="B191" i="10"/>
  <c r="D191" i="10"/>
  <c r="B192" i="10"/>
  <c r="D192" i="10"/>
  <c r="B193" i="10"/>
  <c r="D193" i="10"/>
  <c r="B194" i="10"/>
  <c r="D194" i="10"/>
  <c r="B195" i="10"/>
  <c r="D195" i="10"/>
  <c r="B196" i="10"/>
  <c r="D196" i="10"/>
  <c r="B197" i="10"/>
  <c r="D197" i="10"/>
  <c r="B198" i="10"/>
  <c r="D198" i="10"/>
  <c r="B199" i="10"/>
  <c r="D199" i="10"/>
  <c r="B200" i="10"/>
  <c r="D200" i="10"/>
  <c r="B201" i="10"/>
  <c r="D201" i="10"/>
  <c r="B202" i="10"/>
  <c r="D202" i="10"/>
  <c r="B203" i="10"/>
  <c r="D203" i="10"/>
  <c r="B204" i="10"/>
  <c r="D204" i="10"/>
  <c r="B205" i="10"/>
  <c r="D205" i="10"/>
  <c r="B206" i="10"/>
  <c r="D206" i="10"/>
  <c r="B207" i="10"/>
  <c r="D207" i="10"/>
  <c r="B208" i="10"/>
  <c r="D208" i="10"/>
  <c r="B209" i="10"/>
  <c r="D209" i="10"/>
  <c r="B210" i="10"/>
  <c r="D210" i="10"/>
  <c r="B211" i="10"/>
  <c r="D211" i="10"/>
  <c r="B212" i="10"/>
  <c r="D212" i="10"/>
  <c r="B213" i="10"/>
  <c r="D213" i="10"/>
  <c r="B214" i="10"/>
  <c r="D214" i="10"/>
  <c r="B215" i="10"/>
  <c r="D215" i="10"/>
  <c r="B216" i="10"/>
  <c r="D216" i="10"/>
  <c r="B217" i="10"/>
  <c r="D217" i="10"/>
  <c r="B218" i="10"/>
  <c r="D218" i="10"/>
  <c r="B219" i="10"/>
  <c r="D219" i="10"/>
  <c r="B220" i="10"/>
  <c r="D220" i="10"/>
  <c r="B221" i="10"/>
  <c r="D221" i="10"/>
  <c r="B222" i="10"/>
  <c r="D222" i="10"/>
  <c r="B223" i="10"/>
  <c r="D223" i="10"/>
  <c r="B224" i="10"/>
  <c r="D224" i="10"/>
  <c r="B225" i="10"/>
  <c r="D225" i="10"/>
  <c r="B226" i="10"/>
  <c r="D226" i="10"/>
  <c r="B227" i="10"/>
  <c r="D227" i="10"/>
  <c r="B228" i="10"/>
  <c r="D228" i="10"/>
  <c r="B229" i="10"/>
  <c r="D229" i="10"/>
  <c r="B230" i="10"/>
  <c r="D230" i="10"/>
  <c r="B231" i="10"/>
  <c r="D231" i="10"/>
  <c r="B232" i="10"/>
  <c r="D232" i="10"/>
  <c r="B233" i="10"/>
  <c r="D233" i="10"/>
  <c r="B234" i="10"/>
  <c r="D234" i="10"/>
  <c r="B235" i="10"/>
  <c r="D235" i="10"/>
  <c r="B236" i="10"/>
  <c r="D236" i="10"/>
  <c r="B237" i="10"/>
  <c r="D237" i="10"/>
  <c r="B238" i="10"/>
  <c r="D238" i="10"/>
  <c r="B239" i="10"/>
  <c r="D239" i="10"/>
  <c r="B240" i="10"/>
  <c r="D240" i="10"/>
  <c r="B241" i="10"/>
  <c r="D241" i="10"/>
  <c r="B242" i="10"/>
  <c r="D242" i="10"/>
  <c r="B243" i="10"/>
  <c r="D243" i="10"/>
  <c r="B244" i="10"/>
  <c r="D244" i="10"/>
  <c r="B245" i="10"/>
  <c r="D245" i="10"/>
  <c r="B246" i="10"/>
  <c r="D246" i="10"/>
  <c r="B247" i="10"/>
  <c r="D247" i="10"/>
  <c r="B248" i="10"/>
  <c r="D248" i="10"/>
  <c r="B249" i="10"/>
  <c r="D249" i="10"/>
  <c r="B250" i="10"/>
  <c r="D250" i="10"/>
  <c r="B251" i="10"/>
  <c r="D251" i="10"/>
  <c r="B252" i="10"/>
  <c r="D252" i="10"/>
  <c r="B253" i="10"/>
  <c r="D253" i="10"/>
  <c r="B254" i="10"/>
  <c r="D254" i="10"/>
  <c r="B255" i="10"/>
  <c r="D255" i="10"/>
  <c r="B256" i="10"/>
  <c r="D256" i="10"/>
  <c r="B257" i="10"/>
  <c r="D257" i="10"/>
  <c r="B258" i="10"/>
  <c r="D258" i="10"/>
  <c r="B259" i="10"/>
  <c r="D259" i="10"/>
  <c r="B260" i="10"/>
  <c r="D260" i="10"/>
  <c r="B261" i="10"/>
  <c r="D261" i="10"/>
  <c r="B262" i="10"/>
  <c r="D262" i="10"/>
  <c r="B263" i="10"/>
  <c r="D263" i="10"/>
  <c r="B264" i="10"/>
  <c r="D264" i="10"/>
  <c r="B265" i="10"/>
  <c r="D265" i="10"/>
  <c r="B266" i="10"/>
  <c r="D266" i="10"/>
  <c r="B267" i="10"/>
  <c r="D267" i="10"/>
  <c r="B268" i="10"/>
  <c r="D268" i="10"/>
  <c r="B269" i="10"/>
  <c r="D269" i="10"/>
  <c r="B270" i="10"/>
  <c r="D270" i="10"/>
  <c r="B271" i="10"/>
  <c r="D271" i="10"/>
  <c r="B272" i="10"/>
  <c r="D272" i="10"/>
  <c r="B273" i="10"/>
  <c r="D273" i="10"/>
  <c r="B274" i="10"/>
  <c r="D274" i="10"/>
  <c r="B275" i="10"/>
  <c r="D275" i="10"/>
  <c r="B276" i="10"/>
  <c r="D276" i="10"/>
  <c r="B277" i="10"/>
  <c r="D277" i="10"/>
  <c r="B278" i="10"/>
  <c r="D278" i="10"/>
  <c r="B279" i="10"/>
  <c r="D279" i="10"/>
  <c r="B280" i="10"/>
  <c r="D280" i="10"/>
  <c r="B281" i="10"/>
  <c r="D281" i="10"/>
  <c r="B282" i="10"/>
  <c r="D282" i="10"/>
  <c r="B283" i="10"/>
  <c r="D283" i="10"/>
  <c r="D12" i="10"/>
  <c r="B12" i="10"/>
  <c r="O4" i="13" l="1"/>
  <c r="N4" i="13"/>
  <c r="N1" i="13"/>
  <c r="O1" i="13"/>
  <c r="P1" i="13" l="1"/>
  <c r="D12" i="8" l="1"/>
  <c r="D13" i="8"/>
  <c r="D14" i="8"/>
  <c r="D28" i="8" l="1"/>
  <c r="D65" i="8" l="1"/>
  <c r="D66" i="8"/>
  <c r="D67" i="8"/>
  <c r="D68" i="8"/>
  <c r="D69" i="8"/>
  <c r="D70" i="8"/>
  <c r="D71" i="8"/>
  <c r="D72" i="8"/>
  <c r="D73" i="8"/>
  <c r="D74" i="8"/>
  <c r="D75" i="8"/>
  <c r="D76" i="8"/>
  <c r="D78" i="8"/>
  <c r="D79" i="8"/>
  <c r="D80" i="8"/>
  <c r="D81" i="8"/>
  <c r="D82" i="8"/>
  <c r="D83" i="8"/>
  <c r="D84" i="8"/>
  <c r="D85" i="8"/>
  <c r="D86" i="8"/>
  <c r="D87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5" i="8"/>
  <c r="D126" i="8"/>
  <c r="D128" i="8"/>
  <c r="D129" i="8"/>
  <c r="D130" i="8"/>
  <c r="D131" i="8"/>
  <c r="D132" i="8"/>
  <c r="D134" i="8"/>
  <c r="D135" i="8"/>
  <c r="D136" i="8"/>
  <c r="D137" i="8"/>
  <c r="D138" i="8"/>
  <c r="D141" i="8"/>
  <c r="D142" i="8"/>
  <c r="D143" i="8"/>
  <c r="D144" i="8"/>
  <c r="D147" i="8"/>
  <c r="D148" i="8"/>
  <c r="D149" i="8"/>
  <c r="D64" i="8"/>
  <c r="D25" i="8"/>
  <c r="D26" i="8"/>
  <c r="D27" i="8"/>
  <c r="D29" i="8"/>
  <c r="D30" i="8"/>
  <c r="D31" i="8"/>
  <c r="D32" i="8"/>
  <c r="D33" i="8"/>
  <c r="D34" i="8"/>
  <c r="D36" i="8"/>
  <c r="D37" i="8"/>
  <c r="D38" i="8"/>
  <c r="D39" i="8"/>
  <c r="D40" i="8"/>
  <c r="D41" i="8"/>
  <c r="D43" i="8"/>
  <c r="D44" i="8"/>
  <c r="D45" i="8"/>
  <c r="D46" i="8"/>
  <c r="D47" i="8"/>
  <c r="D48" i="8"/>
  <c r="D50" i="8"/>
  <c r="D51" i="8"/>
  <c r="D52" i="8"/>
  <c r="D53" i="8"/>
  <c r="D56" i="8"/>
  <c r="D57" i="8"/>
  <c r="D58" i="8"/>
  <c r="D59" i="8"/>
  <c r="D60" i="8"/>
  <c r="D61" i="8"/>
  <c r="D24" i="8"/>
  <c r="D21" i="8"/>
  <c r="D7" i="8"/>
  <c r="D6" i="8"/>
  <c r="D8" i="8"/>
  <c r="D9" i="8"/>
  <c r="D10" i="8"/>
  <c r="D11" i="8"/>
  <c r="D5" i="8"/>
  <c r="D150" i="8" l="1"/>
  <c r="D107" i="8"/>
  <c r="D139" i="8"/>
  <c r="D123" i="8"/>
  <c r="D145" i="8"/>
  <c r="D54" i="8"/>
  <c r="D88" i="8"/>
  <c r="D62" i="8"/>
  <c r="D22" i="8"/>
</calcChain>
</file>

<file path=xl/sharedStrings.xml><?xml version="1.0" encoding="utf-8"?>
<sst xmlns="http://schemas.openxmlformats.org/spreadsheetml/2006/main" count="1541" uniqueCount="641">
  <si>
    <t>Index</t>
  </si>
  <si>
    <t>Page</t>
  </si>
  <si>
    <t>End</t>
  </si>
  <si>
    <t>Use</t>
  </si>
  <si>
    <t>ZAxis</t>
  </si>
  <si>
    <t>Main</t>
  </si>
  <si>
    <t>ASCII</t>
  </si>
  <si>
    <t>Char</t>
  </si>
  <si>
    <t>Spindle</t>
  </si>
  <si>
    <t>Dir</t>
  </si>
  <si>
    <t>Step</t>
  </si>
  <si>
    <t>Enable</t>
  </si>
  <si>
    <t>Ms0</t>
  </si>
  <si>
    <t>Ms1</t>
  </si>
  <si>
    <t>Ms2</t>
  </si>
  <si>
    <t>SPI (MicroSD)</t>
  </si>
  <si>
    <t>CS</t>
  </si>
  <si>
    <t>Dout</t>
  </si>
  <si>
    <t>Din</t>
  </si>
  <si>
    <t>SCK</t>
  </si>
  <si>
    <t>Tx</t>
  </si>
  <si>
    <t>Rx</t>
  </si>
  <si>
    <t>Function</t>
  </si>
  <si>
    <t>Serial3</t>
  </si>
  <si>
    <t>LimitSwitches</t>
  </si>
  <si>
    <t>Hex</t>
  </si>
  <si>
    <t>Pin-4Axes</t>
  </si>
  <si>
    <t>Pin-2Axes</t>
  </si>
  <si>
    <t>XAxis</t>
  </si>
  <si>
    <t>BAxis</t>
  </si>
  <si>
    <t>Pin-3Axes</t>
  </si>
  <si>
    <t>Nextion (Serial1)</t>
  </si>
  <si>
    <t>10,9,15</t>
  </si>
  <si>
    <t>m</t>
  </si>
  <si>
    <t>IndexId</t>
  </si>
  <si>
    <t>Sync</t>
  </si>
  <si>
    <t>Grk</t>
  </si>
  <si>
    <t>One</t>
  </si>
  <si>
    <t>Not Used</t>
  </si>
  <si>
    <t>Don't Use</t>
  </si>
  <si>
    <t>Rec</t>
  </si>
  <si>
    <t>Z</t>
  </si>
  <si>
    <t>Move</t>
  </si>
  <si>
    <t>ConfigPageMov</t>
  </si>
  <si>
    <t>configPageSetup</t>
  </si>
  <si>
    <t>configSteppers</t>
  </si>
  <si>
    <t>struct configPageRose // page 12</t>
  </si>
  <si>
    <t>struct configPageGreekKey</t>
  </si>
  <si>
    <t>struct configPageIndex</t>
  </si>
  <si>
    <t xml:space="preserve">struct configPageMainOne </t>
  </si>
  <si>
    <t>uint32_t</t>
  </si>
  <si>
    <t>axisId;</t>
  </si>
  <si>
    <t>int</t>
  </si>
  <si>
    <t>maxSpd_Axis_Z;</t>
  </si>
  <si>
    <t>accel_Axis_Z;</t>
  </si>
  <si>
    <t>maxSpd_Axis_X;</t>
  </si>
  <si>
    <t>accel_Axis_X;</t>
  </si>
  <si>
    <t>speedPercent_Axis_Z;</t>
  </si>
  <si>
    <t>speedPercent_Axis_X;</t>
  </si>
  <si>
    <t>float</t>
  </si>
  <si>
    <t>int32_t</t>
  </si>
  <si>
    <t>maxSpd_Spindle;</t>
  </si>
  <si>
    <t>accel_Spindle;</t>
  </si>
  <si>
    <t>speedPercent_Spindle;</t>
  </si>
  <si>
    <t>revolutions_Spindle</t>
  </si>
  <si>
    <t>microsteps_Spindle;</t>
  </si>
  <si>
    <t>bool</t>
  </si>
  <si>
    <t>polarity_Spindle;</t>
  </si>
  <si>
    <t>steps360_Spindle;</t>
  </si>
  <si>
    <t>gearRatio_Spindle;</t>
  </si>
  <si>
    <t>microsteps_Axis_Z;</t>
  </si>
  <si>
    <t>polarity_Axis_Z;</t>
  </si>
  <si>
    <t>steps360_Axis_Z;</t>
  </si>
  <si>
    <t>distancePerRev_AxisZ;</t>
  </si>
  <si>
    <t>limit_Min_Z;</t>
  </si>
  <si>
    <t>limit_Max_Z;</t>
  </si>
  <si>
    <t>microsteps_Axis_X;</t>
  </si>
  <si>
    <t>polarity_Axis_X;</t>
  </si>
  <si>
    <t>steps360_Axis_X;</t>
  </si>
  <si>
    <t>distancePerRev_AxisX;</t>
  </si>
  <si>
    <t>limit_Min_X;</t>
  </si>
  <si>
    <t>limit_Max_X;</t>
  </si>
  <si>
    <t>microsteps_Axis_B;</t>
  </si>
  <si>
    <t>polarity_Axis_B;</t>
  </si>
  <si>
    <t>steps360_Axis_B;</t>
  </si>
  <si>
    <t>gearRatio_AxisB;</t>
  </si>
  <si>
    <t>limit_Min_B;</t>
  </si>
  <si>
    <t>limit_Max_B;</t>
  </si>
  <si>
    <t>maxSpd_Return_Spindle;</t>
  </si>
  <si>
    <t>accel_Return_Spindle;</t>
  </si>
  <si>
    <t>maxSpd_Return_Axis;</t>
  </si>
  <si>
    <t>accel_Return_Axis;</t>
  </si>
  <si>
    <t>maxSpd_Axis;</t>
  </si>
  <si>
    <t>accel_Axis;</t>
  </si>
  <si>
    <t>speedPercent_Axis;</t>
  </si>
  <si>
    <t>maxSpd;</t>
  </si>
  <si>
    <t>accel;</t>
  </si>
  <si>
    <t>waves_AxialZ;</t>
  </si>
  <si>
    <t>waves_AxialX;</t>
  </si>
  <si>
    <t>waves_RadialZ;</t>
  </si>
  <si>
    <t>waves_RadialX;</t>
  </si>
  <si>
    <t>distance_AxialZ;</t>
  </si>
  <si>
    <t>distance_AxialX;</t>
  </si>
  <si>
    <t>amplitude_AxialZ;</t>
  </si>
  <si>
    <t>amplitude_AxialX;</t>
  </si>
  <si>
    <t>amplitude_RadialZ;</t>
  </si>
  <si>
    <t>amplitude_RadialX;</t>
  </si>
  <si>
    <t>degrees_RadialZ;</t>
  </si>
  <si>
    <t>degrees_RadialX;</t>
  </si>
  <si>
    <t>radial_axial;</t>
  </si>
  <si>
    <t>n;</t>
  </si>
  <si>
    <t>d;</t>
  </si>
  <si>
    <t>radial_Axial;</t>
  </si>
  <si>
    <t>amplitude_Axial_Z;</t>
  </si>
  <si>
    <t>amplitude_Axial_X;</t>
  </si>
  <si>
    <t>amplitude_Radial_Z;</t>
  </si>
  <si>
    <t>amplitude_Radial_X;</t>
  </si>
  <si>
    <t>activeAxis;</t>
  </si>
  <si>
    <t>//</t>
  </si>
  <si>
    <t>maxSpd_Axis_B;</t>
  </si>
  <si>
    <t>speedPercent_Axis_B;</t>
  </si>
  <si>
    <t>accel_Axis_B;</t>
  </si>
  <si>
    <t>fileOrPattern;</t>
  </si>
  <si>
    <t>pageGrk</t>
  </si>
  <si>
    <t>patternId;</t>
  </si>
  <si>
    <t>countPattern360;</t>
  </si>
  <si>
    <t>countPattern;</t>
  </si>
  <si>
    <t>radialOrAxial_Pattern;</t>
  </si>
  <si>
    <t>segmentLengthPattern;</t>
  </si>
  <si>
    <t>pageGrkFile</t>
  </si>
  <si>
    <t>countPatternFile;</t>
  </si>
  <si>
    <t>countPatternFile360;</t>
  </si>
  <si>
    <t>segmentOrActual;</t>
  </si>
  <si>
    <t>radialOrAxial_File;</t>
  </si>
  <si>
    <t>segmentLengthForFile;</t>
  </si>
  <si>
    <t>indexId;</t>
  </si>
  <si>
    <t>speedPercent;</t>
  </si>
  <si>
    <t>degreeOrDivision;</t>
  </si>
  <si>
    <t>Type</t>
  </si>
  <si>
    <t>fileOrFixed;</t>
  </si>
  <si>
    <t>size;</t>
  </si>
  <si>
    <t>Name</t>
  </si>
  <si>
    <t>Bytes</t>
  </si>
  <si>
    <t xml:space="preserve">struct configPageReci </t>
  </si>
  <si>
    <t>configIndex</t>
  </si>
  <si>
    <t>0;</t>
  </si>
  <si>
    <t>eePromAddress_Sync</t>
  </si>
  <si>
    <t>200;</t>
  </si>
  <si>
    <t>eePromAddress_pageMain</t>
  </si>
  <si>
    <t>1000;</t>
  </si>
  <si>
    <t>eePromAddress_pageMov</t>
  </si>
  <si>
    <t>1100;</t>
  </si>
  <si>
    <t>eePromAddress_Rose</t>
  </si>
  <si>
    <t>1200;</t>
  </si>
  <si>
    <t>eePromAddress_Rec</t>
  </si>
  <si>
    <t>1300;</t>
  </si>
  <si>
    <t>1500;</t>
  </si>
  <si>
    <t>1600;</t>
  </si>
  <si>
    <t>1800;</t>
  </si>
  <si>
    <t>eePromAddress_Index_1</t>
  </si>
  <si>
    <t>1820;</t>
  </si>
  <si>
    <t>eePromAddress_Index_2</t>
  </si>
  <si>
    <t>1840;</t>
  </si>
  <si>
    <t>eePromAddress_Index_3</t>
  </si>
  <si>
    <t>1860;</t>
  </si>
  <si>
    <t>Address</t>
  </si>
  <si>
    <t>AddressName</t>
  </si>
  <si>
    <t>configSetup);</t>
  </si>
  <si>
    <t>configPageMain);</t>
  </si>
  <si>
    <t>configSync);</t>
  </si>
  <si>
    <t>configOne);</t>
  </si>
  <si>
    <t>configIndex_Main);</t>
  </si>
  <si>
    <t>configIndex_1);</t>
  </si>
  <si>
    <t>configIndex_2);</t>
  </si>
  <si>
    <t>configIndex_3);</t>
  </si>
  <si>
    <t>configMove);</t>
  </si>
  <si>
    <t>configRose);</t>
  </si>
  <si>
    <t>configRec);</t>
  </si>
  <si>
    <t>configGreekKey_Main);</t>
  </si>
  <si>
    <t>Size</t>
  </si>
  <si>
    <t>Variable</t>
  </si>
  <si>
    <t>Column1</t>
  </si>
  <si>
    <t>Total:</t>
  </si>
  <si>
    <t>Limits</t>
  </si>
  <si>
    <t>Returns</t>
  </si>
  <si>
    <t>More</t>
  </si>
  <si>
    <t>radius_B</t>
  </si>
  <si>
    <t>Filename_Index1</t>
  </si>
  <si>
    <t>TotalDistance(Text) (Not Visible)</t>
  </si>
  <si>
    <t>distance_MoveZ1;</t>
  </si>
  <si>
    <t>distance_MoveX1;</t>
  </si>
  <si>
    <t>distance_MoveB1;</t>
  </si>
  <si>
    <t>distance_MoveZ2;</t>
  </si>
  <si>
    <t>Ind</t>
  </si>
  <si>
    <t>Adv</t>
  </si>
  <si>
    <t>BE</t>
  </si>
  <si>
    <t>…</t>
  </si>
  <si>
    <t>GreekKey</t>
  </si>
  <si>
    <t>E</t>
  </si>
  <si>
    <t>W</t>
  </si>
  <si>
    <t>QM</t>
  </si>
  <si>
    <t>QI(</t>
  </si>
  <si>
    <t>QR</t>
  </si>
  <si>
    <t>QS</t>
  </si>
  <si>
    <t>GG</t>
  </si>
  <si>
    <t>GH</t>
  </si>
  <si>
    <t>GD</t>
  </si>
  <si>
    <t>GR</t>
  </si>
  <si>
    <t>VV</t>
  </si>
  <si>
    <t>VK</t>
  </si>
  <si>
    <t>VW</t>
  </si>
  <si>
    <t>VS</t>
  </si>
  <si>
    <t>VA</t>
  </si>
  <si>
    <t>FD</t>
  </si>
  <si>
    <t>NN</t>
  </si>
  <si>
    <t>NT</t>
  </si>
  <si>
    <t>NI</t>
  </si>
  <si>
    <t>NJ</t>
  </si>
  <si>
    <t xml:space="preserve">JR </t>
  </si>
  <si>
    <t>FF</t>
  </si>
  <si>
    <t>C</t>
  </si>
  <si>
    <t>B</t>
  </si>
  <si>
    <t>X</t>
  </si>
  <si>
    <t>I</t>
  </si>
  <si>
    <t>O</t>
  </si>
  <si>
    <t>P</t>
  </si>
  <si>
    <t>H</t>
  </si>
  <si>
    <t>S</t>
  </si>
  <si>
    <t>A</t>
  </si>
  <si>
    <t>;</t>
  </si>
  <si>
    <t>K</t>
  </si>
  <si>
    <t>Disable:0</t>
  </si>
  <si>
    <t>Enable:1</t>
  </si>
  <si>
    <t>Rose</t>
  </si>
  <si>
    <t>M3</t>
  </si>
  <si>
    <t>M4</t>
  </si>
  <si>
    <t>Multi</t>
  </si>
  <si>
    <t>c0</t>
  </si>
  <si>
    <t>Target</t>
  </si>
  <si>
    <t xml:space="preserve">    t0.txt="Spindle Multi Selected"</t>
  </si>
  <si>
    <t xml:space="preserve">    t18.txt="Spindle Target"</t>
  </si>
  <si>
    <t xml:space="preserve">    t15.txt="Axis Id"</t>
  </si>
  <si>
    <t xml:space="preserve">    t21.txt="Axis Speed %"</t>
  </si>
  <si>
    <t xml:space="preserve">    t24.txt="Axis MaxSpd"</t>
  </si>
  <si>
    <t xml:space="preserve">    t27.txt="Axis Accel"</t>
  </si>
  <si>
    <t xml:space="preserve">    t30.txt="Axis Multi Selected"</t>
  </si>
  <si>
    <t xml:space="preserve">    t33.txt="Axis Target"</t>
  </si>
  <si>
    <t xml:space="preserve">    t37.txt="Axis Direction"</t>
  </si>
  <si>
    <t>t1</t>
  </si>
  <si>
    <t>t19</t>
  </si>
  <si>
    <t>t16</t>
  </si>
  <si>
    <t>t22</t>
  </si>
  <si>
    <t>t25</t>
  </si>
  <si>
    <t>t28</t>
  </si>
  <si>
    <t>t31</t>
  </si>
  <si>
    <t>t34</t>
  </si>
  <si>
    <t>t38</t>
  </si>
  <si>
    <t>// Multi select active axes</t>
  </si>
  <si>
    <t>// c0-1,c2-2,c3-4,c4-8,c4-16</t>
  </si>
  <si>
    <t>t202</t>
  </si>
  <si>
    <t>AxisId</t>
  </si>
  <si>
    <t>Speed %</t>
  </si>
  <si>
    <t>MaxSpd</t>
  </si>
  <si>
    <t>Accel</t>
  </si>
  <si>
    <t>Divisions</t>
  </si>
  <si>
    <t>Fixed or File</t>
  </si>
  <si>
    <t>Filename</t>
  </si>
  <si>
    <t>t200</t>
  </si>
  <si>
    <t>t201</t>
  </si>
  <si>
    <t>t203</t>
  </si>
  <si>
    <t>t204</t>
  </si>
  <si>
    <t>t205</t>
  </si>
  <si>
    <t>t206</t>
  </si>
  <si>
    <t>t207</t>
  </si>
  <si>
    <t>Program</t>
  </si>
  <si>
    <t>[Preferences]</t>
  </si>
  <si>
    <t>;More</t>
  </si>
  <si>
    <t>; Spindle</t>
  </si>
  <si>
    <t>;Z Axis</t>
  </si>
  <si>
    <t>;X Axis</t>
  </si>
  <si>
    <t>;Alternate X Axis</t>
  </si>
  <si>
    <t>;M3 Axis</t>
  </si>
  <si>
    <t>;M4 Axis</t>
  </si>
  <si>
    <t>[Limits]</t>
  </si>
  <si>
    <t>[Returns]</t>
  </si>
  <si>
    <t>; All speeds and accellerations are in steps per second</t>
  </si>
  <si>
    <t>[Main]</t>
  </si>
  <si>
    <t>;-----------------</t>
  </si>
  <si>
    <t>;Spindle</t>
  </si>
  <si>
    <t>[Index]</t>
  </si>
  <si>
    <t>; M3</t>
  </si>
  <si>
    <t>; M4</t>
  </si>
  <si>
    <t>;Fixed:0  File:1</t>
  </si>
  <si>
    <t>;Index 1</t>
  </si>
  <si>
    <t>;Index 2</t>
  </si>
  <si>
    <t>;Index 3</t>
  </si>
  <si>
    <t>;Index 4</t>
  </si>
  <si>
    <t>;Index 5</t>
  </si>
  <si>
    <t>[Move]</t>
  </si>
  <si>
    <t>[Sync]</t>
  </si>
  <si>
    <t>[Recip]</t>
  </si>
  <si>
    <t>;Radial</t>
  </si>
  <si>
    <t>;Axial</t>
  </si>
  <si>
    <t>[GreekKey]</t>
  </si>
  <si>
    <t>[Program]</t>
  </si>
  <si>
    <t>;Segments: 2  Actual: 3</t>
  </si>
  <si>
    <t>[Rose]</t>
  </si>
  <si>
    <t>KeepSteppersEnabled</t>
  </si>
  <si>
    <t>Microsteps_Spindle</t>
  </si>
  <si>
    <t>StepsPer360_Spindle</t>
  </si>
  <si>
    <t>GearRatio_Spindle</t>
  </si>
  <si>
    <t>Polarity_Spindle</t>
  </si>
  <si>
    <t>Microsteps_Z</t>
  </si>
  <si>
    <t>StepsPer360_Z</t>
  </si>
  <si>
    <t>DistancePer360_Z</t>
  </si>
  <si>
    <t>Polarity_Z</t>
  </si>
  <si>
    <t>XorAltXSelected</t>
  </si>
  <si>
    <t>Microsteps_X</t>
  </si>
  <si>
    <t>StepsPer360_X</t>
  </si>
  <si>
    <t>DistancePer360_X</t>
  </si>
  <si>
    <t>Polarity_X</t>
  </si>
  <si>
    <t>Microsteps_AltX</t>
  </si>
  <si>
    <t>StepsPer360_AltX</t>
  </si>
  <si>
    <t>DistancePer360_AltX</t>
  </si>
  <si>
    <t>Polarity_AltX</t>
  </si>
  <si>
    <t>Microsteps_M3</t>
  </si>
  <si>
    <t>StepsPer360_M3</t>
  </si>
  <si>
    <t>GearRatio_M3</t>
  </si>
  <si>
    <t>Polarity_M3</t>
  </si>
  <si>
    <t>DistancePer360_M3</t>
  </si>
  <si>
    <t>M3Radius</t>
  </si>
  <si>
    <t>Microsteps_M4</t>
  </si>
  <si>
    <t>StepsPer360_M4</t>
  </si>
  <si>
    <t>GearRatio_M4</t>
  </si>
  <si>
    <t>Polarity_M4</t>
  </si>
  <si>
    <t>DistancePer360_M4</t>
  </si>
  <si>
    <t>M4Radius</t>
  </si>
  <si>
    <t>Min_Z</t>
  </si>
  <si>
    <t>Max_Z</t>
  </si>
  <si>
    <t>Min_X</t>
  </si>
  <si>
    <t>Max_X</t>
  </si>
  <si>
    <t>Min_M3</t>
  </si>
  <si>
    <t>Max_M3</t>
  </si>
  <si>
    <t>Min_M4</t>
  </si>
  <si>
    <t>Max_M4</t>
  </si>
  <si>
    <t>StopSpindle</t>
  </si>
  <si>
    <t>Stop</t>
  </si>
  <si>
    <t>NC-NO</t>
  </si>
  <si>
    <t>MaxSpeed_Spindle</t>
  </si>
  <si>
    <t>Accel_Spindle</t>
  </si>
  <si>
    <t>MaxSpeed_Axis_Z</t>
  </si>
  <si>
    <t>Accel_Axis_Z</t>
  </si>
  <si>
    <t>MaxSpeed_Axis_X</t>
  </si>
  <si>
    <t>Accel_Axis_X</t>
  </si>
  <si>
    <t>MaxSpeed_Axis_M3</t>
  </si>
  <si>
    <t>Accel_Axis_M3</t>
  </si>
  <si>
    <t>MaxSpeed_Axis_M4</t>
  </si>
  <si>
    <t>Accel_Axis_M4</t>
  </si>
  <si>
    <t>SpeedPercentage_Spindle</t>
  </si>
  <si>
    <t>MaxSpeed_Z</t>
  </si>
  <si>
    <t>Accel_Z</t>
  </si>
  <si>
    <t>SpeedPercentage_Z</t>
  </si>
  <si>
    <t>MaxSpeed_X</t>
  </si>
  <si>
    <t>Accel_X</t>
  </si>
  <si>
    <t>SpeedPercentage_X</t>
  </si>
  <si>
    <t xml:space="preserve">MaxSpeed_M3 </t>
  </si>
  <si>
    <t xml:space="preserve">Accel_M3 </t>
  </si>
  <si>
    <t xml:space="preserve">SpeedPercentage_M3 </t>
  </si>
  <si>
    <t xml:space="preserve">MaxSpeed_M4 </t>
  </si>
  <si>
    <t xml:space="preserve">Accel_M4 </t>
  </si>
  <si>
    <t xml:space="preserve">SpeedPercentage_M4 </t>
  </si>
  <si>
    <t>MaxSpeed_M3</t>
  </si>
  <si>
    <t>Accel_M3</t>
  </si>
  <si>
    <t>SpeedPercentage_M3</t>
  </si>
  <si>
    <t>MaxSpeed_M4</t>
  </si>
  <si>
    <t>Accel_M4</t>
  </si>
  <si>
    <t>SpeedPercentage_M4</t>
  </si>
  <si>
    <t>DivisionsOrDegrees_1</t>
  </si>
  <si>
    <t>FixedOrFile_1</t>
  </si>
  <si>
    <t>Size_1</t>
  </si>
  <si>
    <t>DivisionsOrDegrees_2</t>
  </si>
  <si>
    <t>FixedOrFile_2</t>
  </si>
  <si>
    <t>Size_2</t>
  </si>
  <si>
    <t>DivisionsOrDegrees_3</t>
  </si>
  <si>
    <t>FixedOrFile_3</t>
  </si>
  <si>
    <t>Size_3</t>
  </si>
  <si>
    <t>DivisionsOrDegrees_4</t>
  </si>
  <si>
    <t>FixedOrFile_4</t>
  </si>
  <si>
    <t>Size_4</t>
  </si>
  <si>
    <t>DivisionsOrDegrees_5</t>
  </si>
  <si>
    <t>FixedOrFile_5</t>
  </si>
  <si>
    <t>Size_5</t>
  </si>
  <si>
    <t>Distance_Z1</t>
  </si>
  <si>
    <t>Distance_Z2</t>
  </si>
  <si>
    <t>Distance_X1</t>
  </si>
  <si>
    <t>Distance_X2</t>
  </si>
  <si>
    <t>Distance_M3-1</t>
  </si>
  <si>
    <t>Distance_M3-2</t>
  </si>
  <si>
    <t>Distance_M4-1</t>
  </si>
  <si>
    <t>Distance_M4-2</t>
  </si>
  <si>
    <t>HelixType</t>
  </si>
  <si>
    <t>Revolutions</t>
  </si>
  <si>
    <t>Distance</t>
  </si>
  <si>
    <t>Style</t>
  </si>
  <si>
    <t>RadialOrAxial</t>
  </si>
  <si>
    <t>Radial_Waves</t>
  </si>
  <si>
    <t>Radial_Spindle_Degrees</t>
  </si>
  <si>
    <t>Radial_Axis_Amplitude</t>
  </si>
  <si>
    <t>Axial_Waves</t>
  </si>
  <si>
    <t>Axial_Spindle_Amplitude</t>
  </si>
  <si>
    <t>Axial_Axis_Distance</t>
  </si>
  <si>
    <t>PatternType</t>
  </si>
  <si>
    <t>PatternsPer360</t>
  </si>
  <si>
    <t>PatternCount</t>
  </si>
  <si>
    <t>SegmentLength</t>
  </si>
  <si>
    <t>SegmentsOrActual</t>
  </si>
  <si>
    <t>Rose_n</t>
  </si>
  <si>
    <t>Rose_d</t>
  </si>
  <si>
    <t>SpindleRevolutions</t>
  </si>
  <si>
    <t>RadialAmplitude_Z</t>
  </si>
  <si>
    <t>AxialAmplitude_Z</t>
  </si>
  <si>
    <t>RadialAmplitude_X</t>
  </si>
  <si>
    <t>AxialAmplitude_X</t>
  </si>
  <si>
    <t>RadialAmplitude_M3</t>
  </si>
  <si>
    <t>AxialAmplitude_M3</t>
  </si>
  <si>
    <t>RadialAmplitude_M4</t>
  </si>
  <si>
    <t>AxialAmplitude_M4</t>
  </si>
  <si>
    <t>Key</t>
  </si>
  <si>
    <t>Value</t>
  </si>
  <si>
    <t>EEProm</t>
  </si>
  <si>
    <t>Position</t>
  </si>
  <si>
    <t>Comments</t>
  </si>
  <si>
    <t>AltX</t>
  </si>
  <si>
    <t>Recip</t>
  </si>
  <si>
    <t>Preferences</t>
  </si>
  <si>
    <t xml:space="preserve"> Open</t>
  </si>
  <si>
    <t>Used</t>
  </si>
  <si>
    <t>TargetDistance_Spindle</t>
  </si>
  <si>
    <t>TargetDistance_Z</t>
  </si>
  <si>
    <t>TargetDistance_X</t>
  </si>
  <si>
    <t>TargetDistance_M3</t>
  </si>
  <si>
    <t>TargetDistance_M4</t>
  </si>
  <si>
    <t>n</t>
  </si>
  <si>
    <t>RadialOrLineal_M4</t>
  </si>
  <si>
    <t>RadialOrLineal_M3</t>
  </si>
  <si>
    <t>;Ini file</t>
  </si>
  <si>
    <t>; MultiAxesRun and Direction values are ANDed together.</t>
  </si>
  <si>
    <t>VendorId</t>
  </si>
  <si>
    <t>Return</t>
  </si>
  <si>
    <t>Load Settings.ini</t>
  </si>
  <si>
    <t>Sync In direction</t>
  </si>
  <si>
    <t>Sync Out direction</t>
  </si>
  <si>
    <t>PageFileList</t>
  </si>
  <si>
    <t>GetFileListFromSD</t>
  </si>
  <si>
    <t>Index1 counter clockwise</t>
  </si>
  <si>
    <t>Index1 Clockwise</t>
  </si>
  <si>
    <t>Stop Steppers in local functions</t>
  </si>
  <si>
    <t>Enable axis stepper</t>
  </si>
  <si>
    <t xml:space="preserve">Enable spindle stepper </t>
  </si>
  <si>
    <t>Disable axis stepper</t>
  </si>
  <si>
    <t>Disable spindle stepper</t>
  </si>
  <si>
    <t>Refresh Setup EEPROM</t>
  </si>
  <si>
    <t>All</t>
  </si>
  <si>
    <t>Rose: DoRose CCW</t>
  </si>
  <si>
    <t>Show pageLimits EEPROM</t>
  </si>
  <si>
    <t>Show pageReturns EEPROM</t>
  </si>
  <si>
    <t>Move: CCW (In)</t>
  </si>
  <si>
    <t>Move: CW (Ouit)</t>
  </si>
  <si>
    <t>Rose: CW</t>
  </si>
  <si>
    <t>Return: Spindle and Z axis</t>
  </si>
  <si>
    <t>Return: Spindle and X axis</t>
  </si>
  <si>
    <t>Rose: axis and spindle Return</t>
  </si>
  <si>
    <t>Clear Stepper positions</t>
  </si>
  <si>
    <t>None</t>
  </si>
  <si>
    <t>Track Position</t>
  </si>
  <si>
    <t>Greek Key: Do Pattern (Left and Right )</t>
  </si>
  <si>
    <t>Reset MicroSD</t>
  </si>
  <si>
    <t>Ini_Sort</t>
  </si>
  <si>
    <t>Rec: Run</t>
  </si>
  <si>
    <t xml:space="preserve">Filename </t>
  </si>
  <si>
    <t>MultiAxesIDs</t>
  </si>
  <si>
    <t>Run Multi</t>
  </si>
  <si>
    <t>Run single motor CW</t>
  </si>
  <si>
    <t>Return multiple</t>
  </si>
  <si>
    <t>eePromAddress_Index_4</t>
  </si>
  <si>
    <t>eePromAddress_Index_5</t>
  </si>
  <si>
    <t>eePromAddress_Setup</t>
  </si>
  <si>
    <t>eePromAddress_Multi</t>
  </si>
  <si>
    <t>eePromAddress_Grk</t>
  </si>
  <si>
    <t>configIndex_4</t>
  </si>
  <si>
    <t>configIndex_5</t>
  </si>
  <si>
    <t>Show EEPROM Teensy and Nextion</t>
  </si>
  <si>
    <t>Show Axis Id (Debugging)</t>
  </si>
  <si>
    <t>;Synchronize M3 and Spindle</t>
  </si>
  <si>
    <t>;End ini</t>
  </si>
  <si>
    <t>eePromAddress_Index_Prime</t>
  </si>
  <si>
    <t>;Normally Closed=0, Normally Open=1</t>
  </si>
  <si>
    <t>Synchro_M3_and_Spindle</t>
  </si>
  <si>
    <t>Synchro_Percentage</t>
  </si>
  <si>
    <t>Run: Axis Clockwise</t>
  </si>
  <si>
    <t>Run: Axis counter clockwise</t>
  </si>
  <si>
    <t>Run: Axis Stop</t>
  </si>
  <si>
    <t>Run: Spindle Clockwise</t>
  </si>
  <si>
    <t>Run: Spindle counter clockwise</t>
  </si>
  <si>
    <t>Run:Cancel - Stop Spindle</t>
  </si>
  <si>
    <t>Run: X axis CCW</t>
  </si>
  <si>
    <t>Run: X axis CW</t>
  </si>
  <si>
    <t>Run: M3 axis CCW</t>
  </si>
  <si>
    <t>Run: M3 axis CW</t>
  </si>
  <si>
    <t>Run: M4 axis CCW</t>
  </si>
  <si>
    <t>Run: M4 axis CW</t>
  </si>
  <si>
    <t>;Polarity: Low=1, High=0</t>
  </si>
  <si>
    <t>x</t>
  </si>
  <si>
    <t>B&amp;E</t>
  </si>
  <si>
    <t>Disabled</t>
  </si>
  <si>
    <t>Synchro</t>
  </si>
  <si>
    <t>Sfield</t>
  </si>
  <si>
    <t>ZZ</t>
  </si>
  <si>
    <t>XX</t>
  </si>
  <si>
    <t>MM3</t>
  </si>
  <si>
    <t>MM4</t>
  </si>
  <si>
    <t>Row 1</t>
  </si>
  <si>
    <t>Row 2</t>
  </si>
  <si>
    <t>Separator</t>
  </si>
  <si>
    <t>Speed</t>
  </si>
  <si>
    <t>N51</t>
  </si>
  <si>
    <t>h1</t>
  </si>
  <si>
    <t>Vertical</t>
  </si>
  <si>
    <t>quadrangle</t>
  </si>
  <si>
    <t>wid</t>
  </si>
  <si>
    <t>hig</t>
  </si>
  <si>
    <t xml:space="preserve">dis </t>
  </si>
  <si>
    <t>ch</t>
  </si>
  <si>
    <t>n520</t>
  </si>
  <si>
    <t>n53</t>
  </si>
  <si>
    <t>h0</t>
  </si>
  <si>
    <t>n54</t>
  </si>
  <si>
    <t>Left</t>
  </si>
  <si>
    <t>Right</t>
  </si>
  <si>
    <t>z</t>
  </si>
  <si>
    <t>Back</t>
  </si>
  <si>
    <t>Refresh</t>
  </si>
  <si>
    <t>MicroSD</t>
  </si>
  <si>
    <t>Load Ini</t>
  </si>
  <si>
    <t>Menu</t>
  </si>
  <si>
    <t>Direction_Spindle</t>
  </si>
  <si>
    <t>Direction_Z</t>
  </si>
  <si>
    <t>Direction_X</t>
  </si>
  <si>
    <t>Direction_M3</t>
  </si>
  <si>
    <t>Direction_M4</t>
  </si>
  <si>
    <t>Leadscrew_Hand_Z</t>
  </si>
  <si>
    <t>Leadscrew_Hand_X</t>
  </si>
  <si>
    <t>Leadscrew_Hand_AltX</t>
  </si>
  <si>
    <t>Leadscrew_Hand_M3</t>
  </si>
  <si>
    <t>Leadscrew_Hand_M4</t>
  </si>
  <si>
    <t>;Division:0  Degrees:1</t>
  </si>
  <si>
    <t>; Hand: 0=Left, 1=Right</t>
  </si>
  <si>
    <t>; Rose Engine Ini file</t>
  </si>
  <si>
    <t>ì</t>
  </si>
  <si>
    <t>Program: Do  (Right)</t>
  </si>
  <si>
    <t>Program: Do  (Left)</t>
  </si>
  <si>
    <t>;Ini file Reset</t>
  </si>
  <si>
    <t>;Ini file Fast</t>
  </si>
  <si>
    <t>1 - NO</t>
  </si>
  <si>
    <t>1-Low</t>
  </si>
  <si>
    <t>0-false</t>
  </si>
  <si>
    <t>; Set higher speeds</t>
  </si>
  <si>
    <t>_x0003_</t>
  </si>
  <si>
    <t>D</t>
  </si>
  <si>
    <t>L</t>
  </si>
  <si>
    <t>T</t>
  </si>
  <si>
    <t>t0</t>
  </si>
  <si>
    <t>n0</t>
  </si>
  <si>
    <t>x0</t>
  </si>
  <si>
    <t>b0</t>
  </si>
  <si>
    <t>g0</t>
  </si>
  <si>
    <t>j0</t>
  </si>
  <si>
    <t>p0</t>
  </si>
  <si>
    <t>qo</t>
  </si>
  <si>
    <t>m0</t>
  </si>
  <si>
    <t>r0</t>
  </si>
  <si>
    <t>z0</t>
  </si>
  <si>
    <t>s0</t>
  </si>
  <si>
    <t>v0</t>
  </si>
  <si>
    <t>bt0</t>
  </si>
  <si>
    <t>gm0</t>
  </si>
  <si>
    <t>qr0</t>
  </si>
  <si>
    <t>sw0</t>
  </si>
  <si>
    <t>cb0</t>
  </si>
  <si>
    <t>slt0</t>
  </si>
  <si>
    <t>exp0</t>
  </si>
  <si>
    <t>data0</t>
  </si>
  <si>
    <t>fbrowser0</t>
  </si>
  <si>
    <t>select0</t>
  </si>
  <si>
    <t>tc0</t>
  </si>
  <si>
    <t>tm0</t>
  </si>
  <si>
    <t>va0</t>
  </si>
  <si>
    <t>fs0</t>
  </si>
  <si>
    <t>wav0</t>
  </si>
  <si>
    <t>Linear</t>
  </si>
  <si>
    <t>Left Arrow</t>
  </si>
  <si>
    <t>Right Arrow</t>
  </si>
  <si>
    <t>Axis</t>
  </si>
  <si>
    <t>CCW</t>
  </si>
  <si>
    <t>CCW(Left)</t>
  </si>
  <si>
    <t>CW</t>
  </si>
  <si>
    <t>CW(Right)</t>
  </si>
  <si>
    <t>Right Hand Leadscrew</t>
  </si>
  <si>
    <t>Helix: Right</t>
  </si>
  <si>
    <t>Helix: Left</t>
  </si>
  <si>
    <t>Left Hand Leadscrew</t>
  </si>
  <si>
    <t>Auxillary_Pin</t>
  </si>
  <si>
    <t>RevolutionsOrDegrees</t>
  </si>
  <si>
    <t>; Helix Type: Left = 0,  Right = 1</t>
  </si>
  <si>
    <t>; Revolutions = 0, Degrees = 1</t>
  </si>
  <si>
    <t>Radial_Axial</t>
  </si>
  <si>
    <t>; Style: 1-Equal Angle, 2-Square, 3-Sawtooth</t>
  </si>
  <si>
    <t>GrowSpindleDistance</t>
  </si>
  <si>
    <t>GrowAxisDistance</t>
  </si>
  <si>
    <t>; PatternType: 4a: 2,4b: 3, 3a: 6, 3b: 7, 2a: 4, 2b: 5</t>
  </si>
  <si>
    <t>; Auxillary_Pin must be greater than 24.</t>
  </si>
  <si>
    <t>;Limit Switches and Stop pins must be greater than 24.</t>
  </si>
  <si>
    <t>eePromAddress_One</t>
  </si>
  <si>
    <t xml:space="preserve">configOne </t>
  </si>
  <si>
    <t>Load Setup Page</t>
  </si>
  <si>
    <t>;Stop spindle when limit hit = 1.  Leave spindle running =0</t>
  </si>
  <si>
    <t>; V4.1.0</t>
  </si>
  <si>
    <t>; 1: Keep enabled,  0: Disable</t>
  </si>
  <si>
    <t>eStop</t>
  </si>
  <si>
    <t>[Multi]</t>
  </si>
  <si>
    <t>;Axis Ids: Spindle=0, Z=1, X=2, M3=3, M4=4</t>
  </si>
  <si>
    <t>; Radial = 0, Axial = 1</t>
  </si>
  <si>
    <t>; No Last Segment: None = 1, Segment = 0</t>
  </si>
  <si>
    <t>NoLastLeg</t>
  </si>
  <si>
    <t>Write_Ini</t>
  </si>
  <si>
    <t>; CW = 0, CCW = 1</t>
  </si>
  <si>
    <t>; Right= 0, Left = 1</t>
  </si>
  <si>
    <t>; Right and CW = 0, Left and CCW = 1</t>
  </si>
  <si>
    <t xml:space="preserve">; Settings shared between </t>
  </si>
  <si>
    <t>; Main,Sync, Recip, Rose, Greek Key, and Program pages</t>
  </si>
  <si>
    <t>[One]--Deprecate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</si>
</sst>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strike/>
      <sz val="11"/>
      <color rgb="FF000000"/>
      <name val="Times New Roman"/>
      <family val="1"/>
    </font>
    <font>
      <sz val="8"/>
      <name val="Calibri"/>
      <family val="2"/>
      <scheme val="minor"/>
    </font>
    <font>
      <sz val="11"/>
      <color theme="1"/>
      <name val="Wingdings"/>
      <charset val="2"/>
    </font>
    <font>
      <sz val="11"/>
      <color theme="9" tint="0.7999816888943144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6600"/>
        <bgColor theme="5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0" fontId="0" fillId="0" borderId="0" xfId="0" applyAlignment="1">
      <alignment horizontal="right"/>
    </xf>
    <xf numFmtId="0" fontId="3" fillId="3" borderId="2" xfId="0" applyFont="1" applyFill="1" applyBorder="1"/>
    <xf numFmtId="0" fontId="3" fillId="3" borderId="3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5" borderId="7" xfId="0" applyFont="1" applyFill="1" applyBorder="1"/>
    <xf numFmtId="0" fontId="3" fillId="5" borderId="8" xfId="0" applyFont="1" applyFill="1" applyBorder="1"/>
    <xf numFmtId="0" fontId="3" fillId="5" borderId="9" xfId="0" applyFont="1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6" borderId="8" xfId="0" applyFill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7" borderId="8" xfId="0" applyFill="1" applyBorder="1"/>
    <xf numFmtId="0" fontId="0" fillId="8" borderId="0" xfId="0" applyFill="1"/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/>
    <xf numFmtId="0" fontId="0" fillId="11" borderId="0" xfId="0" applyFill="1"/>
    <xf numFmtId="0" fontId="4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vertical="center"/>
    </xf>
    <xf numFmtId="0" fontId="0" fillId="13" borderId="0" xfId="0" applyFill="1"/>
    <xf numFmtId="0" fontId="0" fillId="13" borderId="0" xfId="0" applyFill="1" applyAlignment="1">
      <alignment horizontal="right"/>
    </xf>
    <xf numFmtId="0" fontId="7" fillId="0" borderId="0" xfId="0" applyFont="1"/>
    <xf numFmtId="0" fontId="7" fillId="9" borderId="0" xfId="0" applyFont="1" applyFill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14" borderId="0" xfId="0" applyFill="1"/>
    <xf numFmtId="0" fontId="0" fillId="2" borderId="11" xfId="0" applyFill="1" applyBorder="1"/>
    <xf numFmtId="0" fontId="0" fillId="13" borderId="11" xfId="0" applyFill="1" applyBorder="1"/>
    <xf numFmtId="0" fontId="0" fillId="0" borderId="12" xfId="0" applyBorder="1"/>
    <xf numFmtId="0" fontId="0" fillId="2" borderId="12" xfId="0" applyFill="1" applyBorder="1"/>
    <xf numFmtId="0" fontId="0" fillId="11" borderId="11" xfId="0" applyFill="1" applyBorder="1"/>
    <xf numFmtId="0" fontId="0" fillId="8" borderId="10" xfId="0" applyFill="1" applyBorder="1" applyAlignment="1">
      <alignment horizontal="right"/>
    </xf>
    <xf numFmtId="0" fontId="0" fillId="2" borderId="10" xfId="0" applyFill="1" applyBorder="1" applyAlignment="1">
      <alignment horizontal="right"/>
    </xf>
    <xf numFmtId="0" fontId="2" fillId="8" borderId="0" xfId="0" applyFont="1" applyFill="1"/>
    <xf numFmtId="0" fontId="2" fillId="8" borderId="10" xfId="0" applyFont="1" applyFill="1" applyBorder="1" applyAlignment="1">
      <alignment horizontal="right"/>
    </xf>
    <xf numFmtId="0" fontId="2" fillId="8" borderId="0" xfId="0" applyFont="1" applyFill="1" applyAlignment="1">
      <alignment horizontal="right"/>
    </xf>
    <xf numFmtId="0" fontId="0" fillId="15" borderId="0" xfId="0" applyFill="1"/>
    <xf numFmtId="0" fontId="0" fillId="12" borderId="0" xfId="0" applyFill="1" applyAlignment="1">
      <alignment horizontal="right"/>
    </xf>
    <xf numFmtId="0" fontId="0" fillId="12" borderId="10" xfId="0" applyFill="1" applyBorder="1" applyAlignment="1">
      <alignment horizontal="right"/>
    </xf>
    <xf numFmtId="0" fontId="0" fillId="16" borderId="0" xfId="0" applyFill="1"/>
    <xf numFmtId="0" fontId="0" fillId="16" borderId="11" xfId="0" applyFill="1" applyBorder="1"/>
    <xf numFmtId="0" fontId="0" fillId="16" borderId="10" xfId="0" applyFill="1" applyBorder="1" applyAlignment="1">
      <alignment horizontal="right"/>
    </xf>
    <xf numFmtId="0" fontId="0" fillId="16" borderId="12" xfId="0" applyFill="1" applyBorder="1"/>
    <xf numFmtId="0" fontId="0" fillId="17" borderId="0" xfId="0" applyFill="1"/>
    <xf numFmtId="0" fontId="0" fillId="17" borderId="11" xfId="0" applyFill="1" applyBorder="1"/>
    <xf numFmtId="0" fontId="0" fillId="17" borderId="10" xfId="0" applyFill="1" applyBorder="1" applyAlignment="1">
      <alignment horizontal="right"/>
    </xf>
    <xf numFmtId="0" fontId="0" fillId="17" borderId="0" xfId="0" applyFill="1" applyAlignment="1">
      <alignment horizontal="right"/>
    </xf>
    <xf numFmtId="0" fontId="3" fillId="0" borderId="3" xfId="0" applyFont="1" applyBorder="1"/>
    <xf numFmtId="0" fontId="0" fillId="0" borderId="1" xfId="0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13" xfId="0" applyBorder="1"/>
    <xf numFmtId="0" fontId="8" fillId="8" borderId="10" xfId="0" applyFont="1" applyFill="1" applyBorder="1" applyAlignment="1">
      <alignment horizontal="right"/>
    </xf>
    <xf numFmtId="0" fontId="8" fillId="8" borderId="0" xfId="0" applyFont="1" applyFill="1"/>
    <xf numFmtId="0" fontId="0" fillId="13" borderId="10" xfId="0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right"/>
    </xf>
    <xf numFmtId="0" fontId="0" fillId="11" borderId="12" xfId="0" applyFill="1" applyBorder="1"/>
    <xf numFmtId="0" fontId="0" fillId="12" borderId="11" xfId="0" applyFill="1" applyBorder="1"/>
    <xf numFmtId="0" fontId="0" fillId="11" borderId="0" xfId="0" applyFill="1" applyAlignment="1">
      <alignment horizontal="right"/>
    </xf>
    <xf numFmtId="0" fontId="7" fillId="11" borderId="0" xfId="0" applyFont="1" applyFill="1" applyAlignment="1">
      <alignment horizontal="right"/>
    </xf>
    <xf numFmtId="0" fontId="0" fillId="18" borderId="0" xfId="0" applyFill="1"/>
    <xf numFmtId="0" fontId="0" fillId="18" borderId="11" xfId="0" applyFill="1" applyBorder="1"/>
    <xf numFmtId="0" fontId="0" fillId="18" borderId="10" xfId="0" applyFill="1" applyBorder="1"/>
    <xf numFmtId="0" fontId="0" fillId="18" borderId="12" xfId="0" applyFill="1" applyBorder="1"/>
    <xf numFmtId="2" fontId="0" fillId="0" borderId="0" xfId="0" applyNumberFormat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9" fillId="0" borderId="14" xfId="0" applyFont="1" applyBorder="1"/>
    <xf numFmtId="0" fontId="9" fillId="0" borderId="15" xfId="0" applyFont="1" applyBorder="1"/>
    <xf numFmtId="0" fontId="9" fillId="0" borderId="17" xfId="0" applyFont="1" applyBorder="1"/>
    <xf numFmtId="0" fontId="9" fillId="0" borderId="16" xfId="0" applyFont="1" applyBorder="1"/>
    <xf numFmtId="0" fontId="9" fillId="0" borderId="20" xfId="0" applyFont="1" applyBorder="1"/>
    <xf numFmtId="0" fontId="9" fillId="0" borderId="21" xfId="0" applyFont="1" applyBorder="1"/>
    <xf numFmtId="0" fontId="0" fillId="17" borderId="11" xfId="0" applyFill="1" applyBorder="1" applyAlignment="1">
      <alignment horizontal="right"/>
    </xf>
    <xf numFmtId="0" fontId="0" fillId="11" borderId="10" xfId="0" applyFill="1" applyBorder="1"/>
    <xf numFmtId="0" fontId="0" fillId="13" borderId="10" xfId="0" applyFill="1" applyBorder="1"/>
    <xf numFmtId="0" fontId="0" fillId="19" borderId="0" xfId="0" applyFill="1"/>
    <xf numFmtId="0" fontId="0" fillId="19" borderId="0" xfId="0" applyFill="1" applyAlignment="1">
      <alignment horizontal="right"/>
    </xf>
    <xf numFmtId="0" fontId="0" fillId="8" borderId="10" xfId="0" applyFill="1" applyBorder="1"/>
    <xf numFmtId="0" fontId="0" fillId="4" borderId="0" xfId="0" applyFill="1"/>
    <xf numFmtId="0" fontId="0" fillId="0" borderId="22" xfId="0" applyBorder="1"/>
    <xf numFmtId="0" fontId="0" fillId="4" borderId="23" xfId="0" applyFill="1" applyBorder="1"/>
    <xf numFmtId="0" fontId="0" fillId="20" borderId="0" xfId="0" applyFill="1"/>
    <xf numFmtId="0" fontId="0" fillId="20" borderId="12" xfId="0" applyFill="1" applyBorder="1"/>
    <xf numFmtId="0" fontId="0" fillId="11" borderId="10" xfId="0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9" borderId="0" xfId="0" applyFill="1"/>
    <xf numFmtId="0" fontId="0" fillId="9" borderId="11" xfId="0" applyFill="1" applyBorder="1"/>
    <xf numFmtId="0" fontId="9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0" fillId="0" borderId="0" xfId="0" applyBorder="1"/>
    <xf numFmtId="0" fontId="0" fillId="17" borderId="0" xfId="0" applyFill="1" applyBorder="1"/>
    <xf numFmtId="0" fontId="0" fillId="11" borderId="0" xfId="0" applyFill="1" applyBorder="1"/>
    <xf numFmtId="0" fontId="0" fillId="18" borderId="0" xfId="0" applyFill="1" applyBorder="1"/>
    <xf numFmtId="0" fontId="0" fillId="8" borderId="0" xfId="0" applyFill="1" applyBorder="1" applyAlignment="1">
      <alignment horizontal="right"/>
    </xf>
    <xf numFmtId="0" fontId="0" fillId="17" borderId="0" xfId="0" applyFill="1" applyBorder="1" applyAlignment="1">
      <alignment horizontal="right"/>
    </xf>
    <xf numFmtId="0" fontId="0" fillId="8" borderId="0" xfId="0" applyFill="1" applyBorder="1"/>
    <xf numFmtId="0" fontId="0" fillId="2" borderId="0" xfId="0" applyFill="1" applyBorder="1"/>
    <xf numFmtId="0" fontId="0" fillId="12" borderId="0" xfId="0" applyFill="1" applyBorder="1"/>
    <xf numFmtId="0" fontId="0" fillId="2" borderId="10" xfId="0" applyFill="1" applyBorder="1"/>
    <xf numFmtId="0" fontId="0" fillId="2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1" xfId="0" applyFill="1" applyBorder="1"/>
    <xf numFmtId="0" fontId="0" fillId="0" borderId="12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CC"/>
      <color rgb="FFFF00FF"/>
      <color rgb="FFCC66FF"/>
      <color rgb="FF66FF99"/>
      <color rgb="FF66FFCC"/>
      <color rgb="FF66FFFF"/>
      <color rgb="FF33CCFF"/>
      <color rgb="FFFF53D2"/>
      <color rgb="FFE45AC0"/>
      <color rgb="FFCC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541020</xdr:colOff>
          <xdr:row>0</xdr:row>
          <xdr:rowOff>0</xdr:rowOff>
        </xdr:from>
        <xdr:to>
          <xdr:col>16</xdr:col>
          <xdr:colOff>1211580</xdr:colOff>
          <xdr:row>0</xdr:row>
          <xdr:rowOff>259080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IniFile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1249680</xdr:colOff>
          <xdr:row>0</xdr:row>
          <xdr:rowOff>7620</xdr:rowOff>
        </xdr:from>
        <xdr:to>
          <xdr:col>16</xdr:col>
          <xdr:colOff>2118360</xdr:colOff>
          <xdr:row>0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EEPROM Sort SortButton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2156460</xdr:colOff>
          <xdr:row>0</xdr:row>
          <xdr:rowOff>0</xdr:rowOff>
        </xdr:from>
        <xdr:to>
          <xdr:col>16</xdr:col>
          <xdr:colOff>2773680</xdr:colOff>
          <xdr:row>0</xdr:row>
          <xdr:rowOff>251460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3695700</xdr:colOff>
          <xdr:row>0</xdr:row>
          <xdr:rowOff>7620</xdr:rowOff>
        </xdr:from>
        <xdr:to>
          <xdr:col>18</xdr:col>
          <xdr:colOff>121919</xdr:colOff>
          <xdr:row>0</xdr:row>
          <xdr:rowOff>259080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ASCII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2788920</xdr:colOff>
          <xdr:row>0</xdr:row>
          <xdr:rowOff>7620</xdr:rowOff>
        </xdr:from>
        <xdr:to>
          <xdr:col>16</xdr:col>
          <xdr:colOff>3627120</xdr:colOff>
          <xdr:row>0</xdr:row>
          <xdr:rowOff>259080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PageKey Sort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5D20-53EC-49A0-8970-55DC7ABD40FF}">
  <sheetPr codeName="Sheet1"/>
  <dimension ref="A1:Y573"/>
  <sheetViews>
    <sheetView tabSelected="1" zoomScale="110" zoomScaleNormal="110" workbookViewId="0">
      <pane ySplit="1" topLeftCell="A2" activePane="bottomLeft" state="frozen"/>
      <selection pane="bottomLeft" activeCell="S1" sqref="S1"/>
    </sheetView>
  </sheetViews>
  <sheetFormatPr defaultRowHeight="14.4" x14ac:dyDescent="0.3"/>
  <cols>
    <col min="1" max="1" width="4.5546875" customWidth="1"/>
    <col min="2" max="2" width="5.77734375" customWidth="1"/>
    <col min="3" max="3" width="24.109375" style="39" customWidth="1"/>
    <col min="4" max="4" width="10.109375" style="39" customWidth="1"/>
    <col min="5" max="5" width="7.6640625" bestFit="1" customWidth="1"/>
    <col min="6" max="6" width="5.6640625" customWidth="1"/>
    <col min="7" max="7" width="4.88671875" customWidth="1"/>
    <col min="8" max="8" width="5.88671875" style="38" customWidth="1"/>
    <col min="9" max="9" width="5.33203125" customWidth="1"/>
    <col min="10" max="10" width="4.44140625" customWidth="1"/>
    <col min="11" max="11" width="4.33203125" style="39" customWidth="1"/>
    <col min="12" max="12" width="5.88671875" customWidth="1"/>
    <col min="13" max="13" width="5.109375" style="43" customWidth="1"/>
    <col min="14" max="15" width="4.33203125" style="51" bestFit="1" customWidth="1"/>
    <col min="16" max="16" width="5.44140625" style="51" bestFit="1" customWidth="1"/>
    <col min="17" max="17" width="61.88671875" style="40" customWidth="1"/>
    <col min="18" max="18" width="1.88671875" customWidth="1"/>
    <col min="19" max="19" width="10.109375" style="39" customWidth="1"/>
    <col min="20" max="20" width="25.44140625" customWidth="1"/>
    <col min="21" max="21" width="10.109375" style="39" customWidth="1"/>
    <col min="22" max="22" width="25.44140625" customWidth="1"/>
  </cols>
  <sheetData>
    <row r="1" spans="1:25" s="54" customFormat="1" ht="21.75" customHeight="1" x14ac:dyDescent="0.3">
      <c r="A1" s="54" t="s">
        <v>477</v>
      </c>
      <c r="B1" s="54" t="s">
        <v>1</v>
      </c>
      <c r="C1" s="55" t="s">
        <v>427</v>
      </c>
      <c r="D1" s="55" t="s">
        <v>428</v>
      </c>
      <c r="E1" s="54" t="s">
        <v>429</v>
      </c>
      <c r="F1" s="54" t="s">
        <v>2</v>
      </c>
      <c r="G1" s="54" t="s">
        <v>430</v>
      </c>
      <c r="H1" s="56" t="s">
        <v>25</v>
      </c>
      <c r="I1" s="54" t="s">
        <v>6</v>
      </c>
      <c r="J1" s="54" t="s">
        <v>7</v>
      </c>
      <c r="K1" s="55" t="s">
        <v>431</v>
      </c>
      <c r="L1" s="54" t="s">
        <v>435</v>
      </c>
      <c r="M1" s="57" t="s">
        <v>436</v>
      </c>
      <c r="N1" s="54">
        <f>SUM(L:L)</f>
        <v>628</v>
      </c>
      <c r="O1" s="54">
        <f>SUM(M:M)</f>
        <v>396</v>
      </c>
      <c r="P1" s="54">
        <f>SUM(N1:O1)</f>
        <v>1024</v>
      </c>
      <c r="Q1" s="54" t="s">
        <v>445</v>
      </c>
      <c r="S1" s="55" t="s">
        <v>428</v>
      </c>
      <c r="T1" s="54" t="s">
        <v>562</v>
      </c>
      <c r="U1" s="55" t="s">
        <v>428</v>
      </c>
      <c r="V1" s="54" t="s">
        <v>561</v>
      </c>
    </row>
    <row r="2" spans="1:25" x14ac:dyDescent="0.3">
      <c r="A2">
        <v>1</v>
      </c>
      <c r="C2" s="39" t="s">
        <v>557</v>
      </c>
      <c r="K2" s="38"/>
      <c r="Q2" s="40" t="str">
        <f>C2&amp;IF(ISBLANK(D2),"","=")&amp;D2</f>
        <v>; Rose Engine Ini file</v>
      </c>
      <c r="T2" s="40" t="str">
        <f>C2&amp;IF(ISBLANK(S2),"","=")&amp;S2</f>
        <v>; Rose Engine Ini file</v>
      </c>
    </row>
    <row r="3" spans="1:25" x14ac:dyDescent="0.3">
      <c r="A3">
        <v>2</v>
      </c>
      <c r="C3" s="39" t="s">
        <v>626</v>
      </c>
      <c r="K3" s="38"/>
      <c r="Q3" s="40" t="str">
        <f>C3&amp;IF(ISBLANK(D3),"","=")&amp;D3</f>
        <v>; V4.1.0</v>
      </c>
      <c r="T3" s="40" t="s">
        <v>566</v>
      </c>
    </row>
    <row r="4" spans="1:25" x14ac:dyDescent="0.3">
      <c r="A4">
        <v>3</v>
      </c>
      <c r="B4" s="76"/>
      <c r="C4" s="77" t="s">
        <v>275</v>
      </c>
      <c r="D4" s="77"/>
      <c r="E4" s="76"/>
      <c r="F4" s="76"/>
      <c r="G4" s="76"/>
      <c r="H4" s="78"/>
      <c r="I4" s="76"/>
      <c r="J4" s="76"/>
      <c r="K4" s="78"/>
      <c r="L4" s="76"/>
      <c r="M4" s="79"/>
      <c r="N4" s="76">
        <f>SUM(L:L)</f>
        <v>628</v>
      </c>
      <c r="O4" s="76">
        <f>SUM(M:M)</f>
        <v>396</v>
      </c>
      <c r="P4" s="76"/>
      <c r="Q4" s="76" t="str">
        <f>C4&amp;IF(ISBLANK(D4),"","=")&amp;D4</f>
        <v>[Preferences]</v>
      </c>
      <c r="R4" s="76"/>
      <c r="S4" s="77"/>
      <c r="T4" s="76" t="str">
        <f>C4&amp;IF(ISBLANK(S4),"","=")&amp;S4</f>
        <v>[Preferences]</v>
      </c>
      <c r="U4" s="77"/>
    </row>
    <row r="5" spans="1:25" s="76" customFormat="1" x14ac:dyDescent="0.3">
      <c r="A5">
        <v>4</v>
      </c>
      <c r="B5"/>
      <c r="C5" s="39" t="s">
        <v>229</v>
      </c>
      <c r="D5" s="39"/>
      <c r="E5" s="26"/>
      <c r="F5" s="26"/>
      <c r="G5" s="26"/>
      <c r="H5" s="96"/>
      <c r="I5" s="26"/>
      <c r="J5" s="26"/>
      <c r="K5" s="39"/>
      <c r="L5"/>
      <c r="M5" s="43"/>
      <c r="N5" s="51"/>
      <c r="O5" s="51"/>
      <c r="P5" s="51"/>
      <c r="Q5" s="40" t="str">
        <f>C5&amp;IF(ISBLANK(D5),"","=")&amp;D5</f>
        <v>;</v>
      </c>
      <c r="R5"/>
      <c r="S5" s="39"/>
      <c r="T5" s="40" t="str">
        <f>C5&amp;IF(ISBLANK(S5),"","=")&amp;S5</f>
        <v>;</v>
      </c>
      <c r="U5" s="39"/>
      <c r="V5" s="27"/>
      <c r="W5" s="27"/>
      <c r="X5" s="27"/>
      <c r="Y5"/>
    </row>
    <row r="6" spans="1:25" x14ac:dyDescent="0.3">
      <c r="A6">
        <v>5</v>
      </c>
      <c r="C6" s="39" t="s">
        <v>276</v>
      </c>
      <c r="E6" s="26"/>
      <c r="F6" s="26"/>
      <c r="G6" s="26"/>
      <c r="H6" s="96"/>
      <c r="I6" s="26"/>
      <c r="J6" s="26"/>
      <c r="M6" s="123"/>
      <c r="Q6" s="40" t="str">
        <f>C6&amp;IF(ISBLANK(D6),"","=")&amp;D6</f>
        <v>;More</v>
      </c>
      <c r="T6" s="40" t="str">
        <f>C6&amp;IF(ISBLANK(S6),"","=")&amp;S6</f>
        <v>;More</v>
      </c>
      <c r="V6" s="27"/>
      <c r="W6" s="27"/>
      <c r="X6" s="27"/>
    </row>
    <row r="7" spans="1:25" x14ac:dyDescent="0.3">
      <c r="A7">
        <v>6</v>
      </c>
      <c r="B7" t="s">
        <v>185</v>
      </c>
      <c r="C7" s="39" t="s">
        <v>447</v>
      </c>
      <c r="D7" s="39">
        <v>4</v>
      </c>
      <c r="E7" s="26">
        <v>0</v>
      </c>
      <c r="F7" s="26">
        <v>3</v>
      </c>
      <c r="G7" s="26"/>
      <c r="H7" s="46" t="str">
        <f>DEC2HEX(I7)</f>
        <v>F4</v>
      </c>
      <c r="I7" s="27">
        <v>244</v>
      </c>
      <c r="J7" s="27" t="str">
        <f>CHAR(I7)</f>
        <v>ô</v>
      </c>
      <c r="L7" s="100">
        <f>IF(ISBLANK(D7),IF(E7&gt;0,F7-E7+1,0),0)</f>
        <v>0</v>
      </c>
      <c r="M7" s="101">
        <f>IF(ISBLANK(D7),0,IF(G7=0,F7-E7+1,0))</f>
        <v>4</v>
      </c>
      <c r="Q7" s="40" t="str">
        <f>C7&amp;IF(ISBLANK(D7),"","=")&amp;D7</f>
        <v>VendorId=4</v>
      </c>
      <c r="S7" s="39">
        <v>4</v>
      </c>
      <c r="T7" s="40" t="str">
        <f>C7&amp;IF(ISBLANK(S7),"","=")&amp;S7</f>
        <v>VendorId=4</v>
      </c>
      <c r="U7" s="39">
        <v>3</v>
      </c>
    </row>
    <row r="8" spans="1:25" x14ac:dyDescent="0.3">
      <c r="A8">
        <v>7</v>
      </c>
      <c r="C8" s="39" t="s">
        <v>620</v>
      </c>
      <c r="E8" s="26"/>
      <c r="F8" s="26"/>
      <c r="G8" s="26"/>
      <c r="H8" s="116"/>
      <c r="I8" s="26"/>
      <c r="J8" s="26"/>
      <c r="K8" s="110"/>
      <c r="Q8" s="40" t="str">
        <f>C8&amp;IF(ISBLANK(D8),"","=")&amp;D8</f>
        <v>; Auxillary_Pin must be greater than 24.</v>
      </c>
      <c r="T8" s="40" t="str">
        <f>C8&amp;IF(ISBLANK(S8),"","=")&amp;S8</f>
        <v>; Auxillary_Pin must be greater than 24.</v>
      </c>
      <c r="V8" s="40" t="str">
        <f>C8&amp;IF(ISBLANK(U8),"","=")&amp;U8</f>
        <v>; Auxillary_Pin must be greater than 24.</v>
      </c>
    </row>
    <row r="9" spans="1:25" x14ac:dyDescent="0.3">
      <c r="A9">
        <v>8</v>
      </c>
      <c r="B9" t="s">
        <v>185</v>
      </c>
      <c r="C9" s="39" t="s">
        <v>611</v>
      </c>
      <c r="D9" s="39">
        <v>47</v>
      </c>
      <c r="E9" s="26">
        <v>56</v>
      </c>
      <c r="F9" s="26">
        <v>59</v>
      </c>
      <c r="G9" s="26"/>
      <c r="H9" s="46" t="str">
        <f>DEC2HEX(I9)</f>
        <v>AA</v>
      </c>
      <c r="I9" s="27">
        <v>170</v>
      </c>
      <c r="J9" s="27" t="str">
        <f>CHAR(I9)</f>
        <v>ª</v>
      </c>
      <c r="K9" s="110"/>
      <c r="L9">
        <f>IF(ISBLANK(D9),IF(E9&gt;0,F9-E9+1,0),0)</f>
        <v>0</v>
      </c>
      <c r="M9" s="43">
        <f>IF(ISBLANK(D9),0,IF(G9=0,F9-E9+1,0))</f>
        <v>4</v>
      </c>
      <c r="Q9" s="40" t="str">
        <f>C9&amp;IF(ISBLANK(D9),"","=")&amp;D9</f>
        <v>Auxillary_Pin=47</v>
      </c>
      <c r="S9" s="39">
        <v>47</v>
      </c>
      <c r="T9" s="40" t="str">
        <f>C9&amp;IF(ISBLANK(S9),"","=")&amp;S9</f>
        <v>Auxillary_Pin=47</v>
      </c>
      <c r="U9" s="39">
        <v>54</v>
      </c>
      <c r="V9" s="40" t="str">
        <f>C9&amp;IF(ISBLANK(U9),"","=")&amp;U9</f>
        <v>Auxillary_Pin=54</v>
      </c>
    </row>
    <row r="10" spans="1:25" x14ac:dyDescent="0.3">
      <c r="A10">
        <v>9</v>
      </c>
      <c r="B10" t="s">
        <v>185</v>
      </c>
      <c r="C10" s="39" t="s">
        <v>627</v>
      </c>
      <c r="E10" s="26"/>
      <c r="F10" s="26"/>
      <c r="G10" s="26"/>
      <c r="H10" s="46"/>
      <c r="I10" s="27"/>
      <c r="J10" s="27"/>
      <c r="Q10" s="40" t="str">
        <f>C10&amp;IF(ISBLANK(D10),"","=")&amp;D10</f>
        <v>; 1: Keep enabled,  0: Disable</v>
      </c>
      <c r="T10" s="40"/>
      <c r="V10" s="40"/>
    </row>
    <row r="11" spans="1:25" s="30" customFormat="1" x14ac:dyDescent="0.3">
      <c r="A11">
        <v>10</v>
      </c>
      <c r="B11" t="s">
        <v>185</v>
      </c>
      <c r="C11" s="39" t="s">
        <v>307</v>
      </c>
      <c r="D11" s="39">
        <v>0</v>
      </c>
      <c r="E11" s="26"/>
      <c r="F11" s="26"/>
      <c r="G11" s="26"/>
      <c r="H11" s="46" t="str">
        <f>DEC2HEX(I11)</f>
        <v>50</v>
      </c>
      <c r="I11" s="27">
        <v>80</v>
      </c>
      <c r="J11" s="27" t="str">
        <f>CHAR(I11)</f>
        <v>P</v>
      </c>
      <c r="K11" s="39" t="s">
        <v>565</v>
      </c>
      <c r="L11"/>
      <c r="M11" s="43"/>
      <c r="N11" s="51"/>
      <c r="O11" s="51"/>
      <c r="P11" s="51"/>
      <c r="Q11" s="40" t="str">
        <f>C11&amp;IF(ISBLANK(D11),"","=")&amp;D11</f>
        <v>KeepSteppersEnabled=0</v>
      </c>
      <c r="R11"/>
      <c r="S11" s="39">
        <v>0</v>
      </c>
      <c r="T11" s="40" t="str">
        <f>C11&amp;IF(ISBLANK(S11),"","=")&amp;S11</f>
        <v>KeepSteppersEnabled=0</v>
      </c>
      <c r="U11" s="39">
        <v>1</v>
      </c>
      <c r="V11" s="40" t="str">
        <f>C11&amp;IF(ISBLANK(U11),"","=")&amp;U11</f>
        <v>KeepSteppersEnabled=1</v>
      </c>
      <c r="W11"/>
      <c r="X11"/>
      <c r="Y11"/>
    </row>
    <row r="12" spans="1:25" s="30" customFormat="1" x14ac:dyDescent="0.3">
      <c r="A12">
        <v>11</v>
      </c>
      <c r="C12" s="45" t="s">
        <v>277</v>
      </c>
      <c r="D12" s="45"/>
      <c r="H12" s="92"/>
      <c r="K12" s="45"/>
      <c r="M12" s="72"/>
      <c r="Q12" s="30" t="str">
        <f>C12&amp;IF(ISBLANK(D12),"","=")&amp;D12</f>
        <v>; Spindle</v>
      </c>
      <c r="S12" s="45"/>
      <c r="T12" s="30" t="str">
        <f>C12&amp;IF(ISBLANK(S12),"","=")&amp;S12</f>
        <v>; Spindle</v>
      </c>
      <c r="U12" s="45"/>
      <c r="V12" s="40" t="str">
        <f>C12&amp;IF(ISBLANK(U12),"","=")&amp;U12</f>
        <v>; Spindle</v>
      </c>
      <c r="W12"/>
      <c r="X12"/>
      <c r="Y12"/>
    </row>
    <row r="13" spans="1:25" s="30" customFormat="1" x14ac:dyDescent="0.3">
      <c r="A13">
        <v>12</v>
      </c>
      <c r="B13" t="s">
        <v>8</v>
      </c>
      <c r="C13" s="39" t="s">
        <v>308</v>
      </c>
      <c r="D13" s="39">
        <v>32</v>
      </c>
      <c r="E13" s="26">
        <v>200</v>
      </c>
      <c r="F13" s="26">
        <v>203</v>
      </c>
      <c r="G13" s="26"/>
      <c r="H13" s="46" t="str">
        <f>DEC2HEX(I13)</f>
        <v>70</v>
      </c>
      <c r="I13" s="27">
        <v>112</v>
      </c>
      <c r="J13" s="27" t="str">
        <f>CHAR(I13)</f>
        <v>p</v>
      </c>
      <c r="K13" s="39"/>
      <c r="L13">
        <f>IF(ISBLANK(D13),IF(E13&gt;0,F13-E13+1,0),0)</f>
        <v>0</v>
      </c>
      <c r="M13" s="43">
        <f>IF(ISBLANK(D13),0,IF(G13=0,F13-E13+1,0))</f>
        <v>4</v>
      </c>
      <c r="N13" s="51"/>
      <c r="O13" s="51"/>
      <c r="P13" s="51"/>
      <c r="Q13" s="40" t="str">
        <f>C13&amp;IF(ISBLANK(D13),"","=")&amp;D13</f>
        <v>Microsteps_Spindle=32</v>
      </c>
      <c r="R13"/>
      <c r="S13" s="39">
        <v>32</v>
      </c>
      <c r="T13" s="40" t="str">
        <f>C13&amp;IF(ISBLANK(S13),"","=")&amp;S13</f>
        <v>Microsteps_Spindle=32</v>
      </c>
      <c r="U13" s="39">
        <v>16</v>
      </c>
      <c r="V13" s="40" t="str">
        <f>C13&amp;IF(ISBLANK(U13),"","=")&amp;U13</f>
        <v>Microsteps_Spindle=16</v>
      </c>
      <c r="W13"/>
      <c r="X13"/>
      <c r="Y13"/>
    </row>
    <row r="14" spans="1:25" s="30" customFormat="1" x14ac:dyDescent="0.3">
      <c r="A14">
        <v>13</v>
      </c>
      <c r="B14" t="s">
        <v>8</v>
      </c>
      <c r="C14" s="39" t="s">
        <v>309</v>
      </c>
      <c r="D14" s="39">
        <v>200</v>
      </c>
      <c r="E14" s="26">
        <v>80</v>
      </c>
      <c r="F14" s="26">
        <v>83</v>
      </c>
      <c r="G14" s="26"/>
      <c r="H14" s="46" t="str">
        <f>DEC2HEX(I14)</f>
        <v>72</v>
      </c>
      <c r="I14" s="27">
        <v>114</v>
      </c>
      <c r="J14" s="27" t="str">
        <f>CHAR(I14)</f>
        <v>r</v>
      </c>
      <c r="K14" s="39"/>
      <c r="L14">
        <f>IF(ISBLANK(D14),IF(E14&gt;0,F14-E14+1,0),0)</f>
        <v>0</v>
      </c>
      <c r="M14" s="43">
        <f>IF(ISBLANK(D14),0,IF(G14=0,F14-E14+1,0))</f>
        <v>4</v>
      </c>
      <c r="N14" s="51"/>
      <c r="O14" s="51"/>
      <c r="P14" s="51"/>
      <c r="Q14" s="40" t="str">
        <f>C14&amp;IF(ISBLANK(D14),"","=")&amp;D14</f>
        <v>StepsPer360_Spindle=200</v>
      </c>
      <c r="R14"/>
      <c r="S14" s="39">
        <v>200</v>
      </c>
      <c r="T14" s="40" t="str">
        <f>C14&amp;IF(ISBLANK(S14),"","=")&amp;S14</f>
        <v>StepsPer360_Spindle=200</v>
      </c>
      <c r="U14" s="39">
        <v>400</v>
      </c>
      <c r="V14" s="40" t="str">
        <f>C14&amp;IF(ISBLANK(U14),"","=")&amp;U14</f>
        <v>StepsPer360_Spindle=400</v>
      </c>
      <c r="W14"/>
      <c r="X14"/>
      <c r="Y14" s="1"/>
    </row>
    <row r="15" spans="1:25" s="30" customFormat="1" x14ac:dyDescent="0.3">
      <c r="A15">
        <v>14</v>
      </c>
      <c r="B15" t="s">
        <v>8</v>
      </c>
      <c r="C15" s="39" t="s">
        <v>310</v>
      </c>
      <c r="D15" s="39">
        <v>9</v>
      </c>
      <c r="E15" s="48">
        <v>268</v>
      </c>
      <c r="F15" s="48">
        <v>275</v>
      </c>
      <c r="G15" s="26"/>
      <c r="H15" s="46" t="str">
        <f>DEC2HEX(I15)</f>
        <v>73</v>
      </c>
      <c r="I15" s="27">
        <v>115</v>
      </c>
      <c r="J15" s="27" t="str">
        <f>CHAR(I15)</f>
        <v>s</v>
      </c>
      <c r="K15" s="39"/>
      <c r="L15">
        <f>IF(ISBLANK(D15),IF(E15&gt;0,F15-E15+1,0),0)</f>
        <v>0</v>
      </c>
      <c r="M15" s="43">
        <f>IF(ISBLANK(D15),0,IF(G15=0,F15-E15+1,0))</f>
        <v>8</v>
      </c>
      <c r="N15" s="51"/>
      <c r="O15" s="51"/>
      <c r="P15" s="51"/>
      <c r="Q15" s="40" t="str">
        <f>C15&amp;IF(ISBLANK(D15),"","=")&amp;D15</f>
        <v>GearRatio_Spindle=9</v>
      </c>
      <c r="R15"/>
      <c r="S15" s="39">
        <v>1</v>
      </c>
      <c r="T15" s="40" t="str">
        <f>C15&amp;IF(ISBLANK(S15),"","=")&amp;S15</f>
        <v>GearRatio_Spindle=1</v>
      </c>
      <c r="U15" s="39">
        <v>1.111</v>
      </c>
      <c r="V15" s="40" t="str">
        <f>C15&amp;IF(ISBLANK(U15),"","=")&amp;U15</f>
        <v>GearRatio_Spindle=1.111</v>
      </c>
      <c r="W15"/>
      <c r="X15"/>
      <c r="Y15"/>
    </row>
    <row r="16" spans="1:25" x14ac:dyDescent="0.3">
      <c r="A16">
        <v>15</v>
      </c>
      <c r="B16" t="s">
        <v>8</v>
      </c>
      <c r="C16" s="39" t="s">
        <v>511</v>
      </c>
      <c r="E16" s="26"/>
      <c r="F16" s="26"/>
      <c r="G16" s="26"/>
      <c r="H16" s="96"/>
      <c r="I16" s="26"/>
      <c r="J16" s="26"/>
      <c r="Q16" s="40" t="str">
        <f>C16&amp;IF(ISBLANK(D16),"","=")&amp;D16</f>
        <v>;Polarity: Low=1, High=0</v>
      </c>
      <c r="T16" s="40" t="str">
        <f>C16&amp;IF(ISBLANK(S16),"","=")&amp;S16</f>
        <v>;Polarity: Low=1, High=0</v>
      </c>
    </row>
    <row r="17" spans="1:25" x14ac:dyDescent="0.3">
      <c r="A17">
        <v>16</v>
      </c>
      <c r="B17" t="s">
        <v>8</v>
      </c>
      <c r="C17" s="39" t="s">
        <v>311</v>
      </c>
      <c r="D17" s="39">
        <v>1</v>
      </c>
      <c r="E17" s="26">
        <v>520</v>
      </c>
      <c r="F17" s="26">
        <v>523</v>
      </c>
      <c r="G17" s="26"/>
      <c r="H17" s="46" t="str">
        <f>DEC2HEX(I17)</f>
        <v>D8</v>
      </c>
      <c r="I17" s="27">
        <v>216</v>
      </c>
      <c r="J17" s="27" t="str">
        <f>CHAR(I17)</f>
        <v>Ø</v>
      </c>
      <c r="L17" s="100">
        <f>IF(ISBLANK(D17),IF(E17&gt;0,F17-E17+1,0),0)</f>
        <v>0</v>
      </c>
      <c r="M17" s="101">
        <f>IF(ISBLANK(D17),0,IF(G17=0,F17-E17+1,0))</f>
        <v>4</v>
      </c>
      <c r="Q17" s="40" t="str">
        <f>C17&amp;IF(ISBLANK(D17),"","=")&amp;D17</f>
        <v>Polarity_Spindle=1</v>
      </c>
      <c r="S17" s="39">
        <v>1</v>
      </c>
      <c r="T17" s="40" t="str">
        <f>C17&amp;IF(ISBLANK(S17),"","=")&amp;S17</f>
        <v>Polarity_Spindle=1</v>
      </c>
      <c r="U17" s="39">
        <v>0</v>
      </c>
    </row>
    <row r="18" spans="1:25" x14ac:dyDescent="0.3">
      <c r="A18">
        <v>17</v>
      </c>
      <c r="B18" s="30"/>
      <c r="C18" s="45" t="s">
        <v>278</v>
      </c>
      <c r="D18" s="45"/>
      <c r="E18" s="30"/>
      <c r="F18" s="30"/>
      <c r="G18" s="30"/>
      <c r="H18" s="92"/>
      <c r="I18" s="30"/>
      <c r="J18" s="30"/>
      <c r="K18" s="45"/>
      <c r="L18" s="30"/>
      <c r="M18" s="72"/>
      <c r="N18" s="30"/>
      <c r="O18" s="30"/>
      <c r="P18" s="30"/>
      <c r="Q18" s="30" t="str">
        <f>C18&amp;IF(ISBLANK(D18),"","=")&amp;D18</f>
        <v>;Z Axis</v>
      </c>
      <c r="R18" s="30"/>
      <c r="S18" s="45"/>
      <c r="T18" s="30" t="str">
        <f>C18&amp;IF(ISBLANK(S18),"","=")&amp;S18</f>
        <v>;Z Axis</v>
      </c>
      <c r="U18" s="45"/>
      <c r="V18" s="40" t="str">
        <f>C18&amp;IF(ISBLANK(U18),"","=")&amp;U18</f>
        <v>;Z Axis</v>
      </c>
    </row>
    <row r="19" spans="1:25" x14ac:dyDescent="0.3">
      <c r="A19">
        <v>18</v>
      </c>
      <c r="B19" t="s">
        <v>41</v>
      </c>
      <c r="C19" s="39" t="s">
        <v>312</v>
      </c>
      <c r="D19" s="39">
        <v>32</v>
      </c>
      <c r="E19" s="27">
        <v>196</v>
      </c>
      <c r="F19" s="27">
        <v>199</v>
      </c>
      <c r="G19" s="26"/>
      <c r="H19" s="46" t="str">
        <f>DEC2HEX(I19)</f>
        <v>79</v>
      </c>
      <c r="I19" s="27">
        <v>121</v>
      </c>
      <c r="J19" s="27" t="str">
        <f>CHAR(I19)</f>
        <v>y</v>
      </c>
      <c r="L19">
        <f>IF(ISBLANK(D19),IF(E19&gt;0,F19-E19+1,0),0)</f>
        <v>0</v>
      </c>
      <c r="M19" s="43">
        <f>IF(ISBLANK(D19),0,IF(G19=0,F19-E19+1,0))</f>
        <v>4</v>
      </c>
      <c r="Q19" s="40" t="str">
        <f>C19&amp;IF(ISBLANK(D19),"","=")&amp;D19</f>
        <v>Microsteps_Z=32</v>
      </c>
      <c r="S19" s="39">
        <v>32</v>
      </c>
      <c r="T19" s="40" t="str">
        <f>C19&amp;IF(ISBLANK(S19),"","=")&amp;S19</f>
        <v>Microsteps_Z=32</v>
      </c>
      <c r="U19" s="39">
        <v>8</v>
      </c>
      <c r="V19" s="40" t="str">
        <f>C19&amp;IF(ISBLANK(U19),"","=")&amp;U19</f>
        <v>Microsteps_Z=8</v>
      </c>
    </row>
    <row r="20" spans="1:25" x14ac:dyDescent="0.3">
      <c r="A20">
        <v>19</v>
      </c>
      <c r="B20" t="s">
        <v>41</v>
      </c>
      <c r="C20" s="39" t="s">
        <v>313</v>
      </c>
      <c r="D20" s="39">
        <v>200</v>
      </c>
      <c r="E20" s="26">
        <v>468</v>
      </c>
      <c r="F20" s="26">
        <v>471</v>
      </c>
      <c r="G20" s="26"/>
      <c r="H20" s="46" t="str">
        <f>DEC2HEX(I20)</f>
        <v>7A</v>
      </c>
      <c r="I20" s="27">
        <v>122</v>
      </c>
      <c r="J20" s="27" t="str">
        <f>CHAR(I20)</f>
        <v>z</v>
      </c>
      <c r="L20">
        <f>IF(ISBLANK(D20),IF(E20&gt;0,F20-E20+1,0),0)</f>
        <v>0</v>
      </c>
      <c r="M20" s="43">
        <f>IF(ISBLANK(D20),0,IF(G20=0,F20-E20+1,0))</f>
        <v>4</v>
      </c>
      <c r="Q20" s="40" t="str">
        <f>C20&amp;IF(ISBLANK(D20),"","=")&amp;D20</f>
        <v>StepsPer360_Z=200</v>
      </c>
      <c r="S20" s="39">
        <v>200</v>
      </c>
      <c r="T20" s="40" t="str">
        <f>C20&amp;IF(ISBLANK(S20),"","=")&amp;S20</f>
        <v>StepsPer360_Z=200</v>
      </c>
      <c r="U20" s="39">
        <v>400</v>
      </c>
      <c r="V20" s="40" t="str">
        <f>C20&amp;IF(ISBLANK(U20),"","=")&amp;U20</f>
        <v>StepsPer360_Z=400</v>
      </c>
    </row>
    <row r="21" spans="1:25" s="30" customFormat="1" x14ac:dyDescent="0.3">
      <c r="A21">
        <v>20</v>
      </c>
      <c r="B21" t="s">
        <v>41</v>
      </c>
      <c r="C21" s="122" t="s">
        <v>314</v>
      </c>
      <c r="D21" s="122">
        <v>0.187</v>
      </c>
      <c r="E21" s="26">
        <v>512</v>
      </c>
      <c r="F21" s="26">
        <v>519</v>
      </c>
      <c r="G21" s="26"/>
      <c r="H21" s="46" t="str">
        <f>DEC2HEX(I21)</f>
        <v>7B</v>
      </c>
      <c r="I21" s="27">
        <v>123</v>
      </c>
      <c r="J21" s="27" t="str">
        <f>CHAR(I21)</f>
        <v>{</v>
      </c>
      <c r="K21" s="39"/>
      <c r="L21">
        <f>IF(ISBLANK(D21),IF(E21&gt;0,F21-E21+1,0),0)</f>
        <v>0</v>
      </c>
      <c r="M21" s="43">
        <f>IF(ISBLANK(D21),0,IF(G21=0,F21-E21+1,0))</f>
        <v>8</v>
      </c>
      <c r="N21" s="51"/>
      <c r="O21" s="51"/>
      <c r="P21" s="51"/>
      <c r="Q21" s="40" t="str">
        <f>C21&amp;IF(ISBLANK(D21),"","=")&amp;D21</f>
        <v>DistancePer360_Z=0.187</v>
      </c>
      <c r="R21"/>
      <c r="S21" s="39">
        <v>0.01</v>
      </c>
      <c r="T21" s="40" t="str">
        <f>C21&amp;IF(ISBLANK(S21),"","=")&amp;S21</f>
        <v>DistancePer360_Z=0.01</v>
      </c>
      <c r="U21" s="39">
        <v>1.3653999999999999E-2</v>
      </c>
      <c r="V21"/>
      <c r="W21"/>
      <c r="X21"/>
      <c r="Y21"/>
    </row>
    <row r="22" spans="1:25" x14ac:dyDescent="0.3">
      <c r="A22">
        <v>21</v>
      </c>
      <c r="B22" t="s">
        <v>41</v>
      </c>
      <c r="C22" s="122" t="s">
        <v>315</v>
      </c>
      <c r="D22" s="122">
        <v>1</v>
      </c>
      <c r="E22" s="26">
        <v>524</v>
      </c>
      <c r="F22" s="26">
        <v>527</v>
      </c>
      <c r="G22" s="26"/>
      <c r="H22" s="46" t="str">
        <f>DEC2HEX(I22)</f>
        <v>D9</v>
      </c>
      <c r="I22" s="27">
        <v>217</v>
      </c>
      <c r="J22" s="27" t="str">
        <f>CHAR(I22)</f>
        <v>Ù</v>
      </c>
      <c r="L22" s="100">
        <f>IF(ISBLANK(D22),IF(E22&gt;0,F22-E22+1,0),0)</f>
        <v>0</v>
      </c>
      <c r="M22" s="101">
        <f>IF(ISBLANK(D22),0,IF(G22=0,F22-E22+1,0))</f>
        <v>4</v>
      </c>
      <c r="Q22" s="40" t="str">
        <f>C22&amp;IF(ISBLANK(D22),"","=")&amp;D22</f>
        <v>Polarity_Z=1</v>
      </c>
      <c r="S22" s="39">
        <v>1</v>
      </c>
      <c r="T22" s="40" t="str">
        <f>C22&amp;IF(ISBLANK(S22),"","=")&amp;S22</f>
        <v>Polarity_Z=1</v>
      </c>
      <c r="U22" s="39">
        <v>0</v>
      </c>
    </row>
    <row r="23" spans="1:25" x14ac:dyDescent="0.3">
      <c r="A23">
        <v>22</v>
      </c>
      <c r="C23" s="122" t="s">
        <v>556</v>
      </c>
      <c r="D23" s="122"/>
      <c r="E23" s="26"/>
      <c r="F23" s="26"/>
      <c r="G23" s="26"/>
      <c r="H23" s="46"/>
      <c r="I23" s="27"/>
      <c r="J23" s="27"/>
      <c r="Q23" s="40" t="str">
        <f>C23&amp;IF(ISBLANK(D23),"","=")&amp;D23</f>
        <v>; Hand: 0=Left, 1=Right</v>
      </c>
      <c r="T23" s="40" t="str">
        <f>C23&amp;IF(ISBLANK(S23),"","=")&amp;S23</f>
        <v>; Hand: 0=Left, 1=Right</v>
      </c>
    </row>
    <row r="24" spans="1:25" x14ac:dyDescent="0.3">
      <c r="A24">
        <v>23</v>
      </c>
      <c r="B24" t="s">
        <v>41</v>
      </c>
      <c r="C24" s="122" t="s">
        <v>550</v>
      </c>
      <c r="D24" s="122">
        <v>0</v>
      </c>
      <c r="E24" s="26">
        <v>244</v>
      </c>
      <c r="F24" s="26">
        <v>247</v>
      </c>
      <c r="G24" s="26"/>
      <c r="H24" s="46" t="str">
        <f>DEC2HEX(I24)</f>
        <v>D3</v>
      </c>
      <c r="I24" s="27">
        <v>211</v>
      </c>
      <c r="J24" s="27" t="str">
        <f>CHAR(I24)</f>
        <v>Ó</v>
      </c>
      <c r="K24" s="110"/>
      <c r="L24" s="100">
        <f>IF(ISBLANK(D24),IF(E24&gt;0,F24-E24+1,0),0)</f>
        <v>0</v>
      </c>
      <c r="M24" s="101">
        <f>IF(ISBLANK(D24),0,IF(G24=0,F24-E24+1,0))</f>
        <v>4</v>
      </c>
      <c r="Q24" s="40" t="str">
        <f>C24&amp;IF(ISBLANK(D24),"","=")&amp;D24</f>
        <v>Leadscrew_Hand_Z=0</v>
      </c>
      <c r="S24" s="39">
        <v>1</v>
      </c>
      <c r="T24" s="40" t="str">
        <f>C24&amp;IF(ISBLANK(S24),"","=")&amp;S24</f>
        <v>Leadscrew_Hand_Z=1</v>
      </c>
      <c r="U24" s="39">
        <v>0</v>
      </c>
    </row>
    <row r="25" spans="1:25" x14ac:dyDescent="0.3">
      <c r="A25">
        <v>24</v>
      </c>
      <c r="B25" s="30"/>
      <c r="C25" s="45" t="s">
        <v>279</v>
      </c>
      <c r="D25" s="45"/>
      <c r="E25" s="30"/>
      <c r="F25" s="30"/>
      <c r="G25" s="30"/>
      <c r="H25" s="92"/>
      <c r="I25" s="30"/>
      <c r="J25" s="30"/>
      <c r="K25" s="112"/>
      <c r="L25" s="30"/>
      <c r="M25" s="72"/>
      <c r="N25" s="30"/>
      <c r="O25" s="30"/>
      <c r="P25" s="30"/>
      <c r="Q25" s="30" t="str">
        <f>C25&amp;IF(ISBLANK(D25),"","=")&amp;D25</f>
        <v>;X Axis</v>
      </c>
      <c r="R25" s="30"/>
      <c r="S25" s="45"/>
      <c r="T25" s="30" t="str">
        <f>C25&amp;IF(ISBLANK(S25),"","=")&amp;S25</f>
        <v>;X Axis</v>
      </c>
      <c r="U25" s="45"/>
    </row>
    <row r="26" spans="1:25" x14ac:dyDescent="0.3">
      <c r="A26">
        <v>25</v>
      </c>
      <c r="B26" t="s">
        <v>222</v>
      </c>
      <c r="C26" s="122" t="s">
        <v>316</v>
      </c>
      <c r="D26" s="122">
        <v>0</v>
      </c>
      <c r="E26" s="26">
        <v>188</v>
      </c>
      <c r="F26" s="26">
        <v>191</v>
      </c>
      <c r="G26" s="26"/>
      <c r="H26" s="46" t="str">
        <f>DEC2HEX(I26)</f>
        <v>F3</v>
      </c>
      <c r="I26" s="27">
        <v>243</v>
      </c>
      <c r="J26" s="27" t="str">
        <f>CHAR(I26)</f>
        <v>ó</v>
      </c>
      <c r="L26">
        <f>IF(ISBLANK(D26),IF(E26&gt;0,F26-E26+1,0),0)</f>
        <v>0</v>
      </c>
      <c r="M26" s="43">
        <f>IF(ISBLANK(D26),0,IF(G26=0,F26-E26+1,0))</f>
        <v>4</v>
      </c>
      <c r="Q26" s="40" t="str">
        <f>C26&amp;IF(ISBLANK(D26),"","=")&amp;D26</f>
        <v>XorAltXSelected=0</v>
      </c>
      <c r="S26" s="39">
        <v>0</v>
      </c>
      <c r="T26" s="40" t="str">
        <f>C26&amp;IF(ISBLANK(S26),"","=")&amp;S26</f>
        <v>XorAltXSelected=0</v>
      </c>
      <c r="U26" s="39">
        <v>1</v>
      </c>
    </row>
    <row r="27" spans="1:25" s="76" customFormat="1" x14ac:dyDescent="0.3">
      <c r="A27">
        <v>26</v>
      </c>
      <c r="B27" t="s">
        <v>222</v>
      </c>
      <c r="C27" s="122" t="s">
        <v>317</v>
      </c>
      <c r="D27" s="122">
        <v>32</v>
      </c>
      <c r="E27" s="26">
        <v>564</v>
      </c>
      <c r="F27" s="26">
        <v>567</v>
      </c>
      <c r="G27" s="26"/>
      <c r="H27" s="46" t="str">
        <f>DEC2HEX(I27)</f>
        <v>BB</v>
      </c>
      <c r="I27" s="27">
        <v>187</v>
      </c>
      <c r="J27" s="27" t="str">
        <f>CHAR(I27)</f>
        <v>»</v>
      </c>
      <c r="K27" s="39"/>
      <c r="L27">
        <f>IF(ISBLANK(D27),IF(E27&gt;0,F27-E27+1,0),0)</f>
        <v>0</v>
      </c>
      <c r="M27" s="43">
        <f>IF(ISBLANK(D27),0,IF(G27=0,F27-E27+1,0))</f>
        <v>4</v>
      </c>
      <c r="N27" s="51"/>
      <c r="O27" s="51"/>
      <c r="P27" s="51"/>
      <c r="Q27" s="40" t="str">
        <f>C27&amp;IF(ISBLANK(D27),"","=")&amp;D27</f>
        <v>Microsteps_X=32</v>
      </c>
      <c r="R27"/>
      <c r="S27" s="39">
        <v>32</v>
      </c>
      <c r="T27" s="40" t="str">
        <f>C27&amp;IF(ISBLANK(S27),"","=")&amp;S27</f>
        <v>Microsteps_X=32</v>
      </c>
      <c r="U27" s="39">
        <v>16</v>
      </c>
      <c r="V27" s="40" t="str">
        <f>C27&amp;IF(ISBLANK(U27),"","=")&amp;U27</f>
        <v>Microsteps_X=16</v>
      </c>
      <c r="W27"/>
      <c r="X27"/>
      <c r="Y27"/>
    </row>
    <row r="28" spans="1:25" x14ac:dyDescent="0.3">
      <c r="A28">
        <v>27</v>
      </c>
      <c r="B28" t="s">
        <v>222</v>
      </c>
      <c r="C28" s="122" t="s">
        <v>318</v>
      </c>
      <c r="D28" s="122">
        <v>200</v>
      </c>
      <c r="E28" s="26">
        <v>484</v>
      </c>
      <c r="F28" s="26">
        <v>487</v>
      </c>
      <c r="G28" s="26"/>
      <c r="H28" s="46" t="str">
        <f>DEC2HEX(I28)</f>
        <v>BC</v>
      </c>
      <c r="I28" s="27">
        <v>188</v>
      </c>
      <c r="J28" s="27" t="str">
        <f>CHAR(I28)</f>
        <v>¼</v>
      </c>
      <c r="L28">
        <f>IF(ISBLANK(D28),IF(E28&gt;0,F28-E28+1,0),0)</f>
        <v>0</v>
      </c>
      <c r="M28" s="43">
        <f>IF(ISBLANK(D28),0,IF(G28=0,F28-E28+1,0))</f>
        <v>4</v>
      </c>
      <c r="Q28" s="40" t="str">
        <f>C28&amp;IF(ISBLANK(D28),"","=")&amp;D28</f>
        <v>StepsPer360_X=200</v>
      </c>
      <c r="R28" s="4"/>
      <c r="S28" s="39">
        <v>200</v>
      </c>
      <c r="T28" s="40" t="str">
        <f>C28&amp;IF(ISBLANK(S28),"","=")&amp;S28</f>
        <v>StepsPer360_X=200</v>
      </c>
      <c r="U28" s="39">
        <v>400</v>
      </c>
      <c r="V28" s="40" t="str">
        <f>C28&amp;IF(ISBLANK(U28),"","=")&amp;U28</f>
        <v>StepsPer360_X=400</v>
      </c>
    </row>
    <row r="29" spans="1:25" x14ac:dyDescent="0.3">
      <c r="A29">
        <v>28</v>
      </c>
      <c r="B29" t="s">
        <v>222</v>
      </c>
      <c r="C29" s="122" t="s">
        <v>319</v>
      </c>
      <c r="D29" s="122">
        <v>0.187</v>
      </c>
      <c r="E29" s="26">
        <v>488</v>
      </c>
      <c r="F29" s="26">
        <v>495</v>
      </c>
      <c r="G29" s="26"/>
      <c r="H29" s="46" t="str">
        <f>DEC2HEX(I29)</f>
        <v>BD</v>
      </c>
      <c r="I29" s="27">
        <v>189</v>
      </c>
      <c r="J29" s="27" t="str">
        <f>CHAR(I29)</f>
        <v>½</v>
      </c>
      <c r="L29">
        <f>IF(ISBLANK(D29),IF(E29&gt;0,F29-E29+1,0),0)</f>
        <v>0</v>
      </c>
      <c r="M29" s="43">
        <f>IF(ISBLANK(D29),0,IF(G29=0,F29-E29+1,0))</f>
        <v>8</v>
      </c>
      <c r="Q29" s="40" t="str">
        <f>C29&amp;IF(ISBLANK(D29),"","=")&amp;D29</f>
        <v>DistancePer360_X=0.187</v>
      </c>
      <c r="S29" s="39">
        <v>0.01</v>
      </c>
      <c r="T29" s="40" t="str">
        <f>C29&amp;IF(ISBLANK(S29),"","=")&amp;S29</f>
        <v>DistancePer360_X=0.01</v>
      </c>
      <c r="U29" s="39">
        <v>1.02</v>
      </c>
      <c r="V29" s="40" t="str">
        <f>C29&amp;IF(ISBLANK(U29),"","=")&amp;U29</f>
        <v>DistancePer360_X=1.02</v>
      </c>
    </row>
    <row r="30" spans="1:25" x14ac:dyDescent="0.3">
      <c r="A30">
        <v>29</v>
      </c>
      <c r="B30" t="s">
        <v>222</v>
      </c>
      <c r="C30" s="122" t="s">
        <v>320</v>
      </c>
      <c r="D30" s="122">
        <v>1</v>
      </c>
      <c r="E30" s="26">
        <v>528</v>
      </c>
      <c r="F30" s="26">
        <v>531</v>
      </c>
      <c r="G30" s="26"/>
      <c r="H30" s="46" t="str">
        <f>DEC2HEX(I30)</f>
        <v>DA</v>
      </c>
      <c r="I30" s="27">
        <v>218</v>
      </c>
      <c r="J30" s="27" t="str">
        <f>CHAR(I30)</f>
        <v>Ú</v>
      </c>
      <c r="L30" s="100">
        <f>IF(ISBLANK(D30),IF(E30&gt;0,F30-E30+1,0),0)</f>
        <v>0</v>
      </c>
      <c r="M30" s="101">
        <f>IF(ISBLANK(D30),0,IF(G30=0,F30-E30+1,0))</f>
        <v>4</v>
      </c>
      <c r="Q30" s="40" t="str">
        <f>C30&amp;IF(ISBLANK(D30),"","=")&amp;D30</f>
        <v>Polarity_X=1</v>
      </c>
      <c r="S30" s="39">
        <v>1</v>
      </c>
      <c r="T30" s="40" t="str">
        <f>C30&amp;IF(ISBLANK(S30),"","=")&amp;S30</f>
        <v>Polarity_X=1</v>
      </c>
      <c r="U30" s="39">
        <v>0</v>
      </c>
      <c r="V30" s="40" t="str">
        <f>C30&amp;IF(ISBLANK(U30),"","=")&amp;U30</f>
        <v>Polarity_X=0</v>
      </c>
    </row>
    <row r="31" spans="1:25" s="30" customFormat="1" x14ac:dyDescent="0.3">
      <c r="A31">
        <v>30</v>
      </c>
      <c r="B31" t="s">
        <v>222</v>
      </c>
      <c r="C31" s="122" t="s">
        <v>551</v>
      </c>
      <c r="D31" s="122">
        <v>0</v>
      </c>
      <c r="E31" s="26">
        <v>248</v>
      </c>
      <c r="F31" s="26">
        <v>251</v>
      </c>
      <c r="G31" s="26"/>
      <c r="H31" s="46" t="str">
        <f>DEC2HEX(I31)</f>
        <v>D3</v>
      </c>
      <c r="I31" s="27">
        <v>211</v>
      </c>
      <c r="J31" s="27" t="str">
        <f>CHAR(I31)</f>
        <v>Ó</v>
      </c>
      <c r="K31" s="39"/>
      <c r="L31" s="100">
        <f>IF(ISBLANK(D31),IF(E31&gt;0,F31-E31+1,0),0)</f>
        <v>0</v>
      </c>
      <c r="M31" s="101">
        <f>IF(ISBLANK(D31),0,IF(G31=0,F31-E31+1,0))</f>
        <v>4</v>
      </c>
      <c r="N31" s="51"/>
      <c r="O31" s="51"/>
      <c r="P31" s="51"/>
      <c r="Q31" s="40" t="str">
        <f>C31&amp;IF(ISBLANK(D31),"","=")&amp;D31</f>
        <v>Leadscrew_Hand_X=0</v>
      </c>
      <c r="R31"/>
      <c r="S31" s="39">
        <v>1</v>
      </c>
      <c r="T31" s="40" t="str">
        <f>C31&amp;IF(ISBLANK(S31),"","=")&amp;S31</f>
        <v>Leadscrew_Hand_X=1</v>
      </c>
      <c r="U31" s="39">
        <v>0</v>
      </c>
      <c r="V31" s="40" t="str">
        <f>C31&amp;IF(ISBLANK(U31),"","=")&amp;U31</f>
        <v>Leadscrew_Hand_X=0</v>
      </c>
      <c r="W31"/>
      <c r="X31"/>
      <c r="Y31"/>
    </row>
    <row r="32" spans="1:25" x14ac:dyDescent="0.3">
      <c r="A32">
        <v>31</v>
      </c>
      <c r="B32" s="30"/>
      <c r="C32" s="45" t="s">
        <v>280</v>
      </c>
      <c r="D32" s="45"/>
      <c r="E32" s="30"/>
      <c r="F32" s="30"/>
      <c r="G32" s="30"/>
      <c r="H32" s="92"/>
      <c r="I32" s="30"/>
      <c r="J32" s="30"/>
      <c r="K32" s="45"/>
      <c r="L32" s="30"/>
      <c r="M32" s="72"/>
      <c r="N32" s="30"/>
      <c r="O32" s="30"/>
      <c r="P32" s="30"/>
      <c r="Q32" s="30" t="str">
        <f>C32&amp;IF(ISBLANK(D32),"","=")&amp;D32</f>
        <v>;Alternate X Axis</v>
      </c>
      <c r="R32" s="30"/>
      <c r="S32" s="45"/>
      <c r="T32" s="30" t="str">
        <f>C32&amp;IF(ISBLANK(S32),"","=")&amp;S32</f>
        <v>;Alternate X Axis</v>
      </c>
      <c r="U32" s="45"/>
      <c r="V32" s="40" t="str">
        <f>C32&amp;IF(ISBLANK(U32),"","=")&amp;U32</f>
        <v>;Alternate X Axis</v>
      </c>
    </row>
    <row r="33" spans="1:25" x14ac:dyDescent="0.3">
      <c r="A33">
        <v>32</v>
      </c>
      <c r="B33" t="s">
        <v>432</v>
      </c>
      <c r="C33" s="122" t="s">
        <v>321</v>
      </c>
      <c r="D33" s="122">
        <v>32</v>
      </c>
      <c r="E33" s="26"/>
      <c r="F33" s="26"/>
      <c r="G33" s="26"/>
      <c r="H33" s="46" t="str">
        <f>DEC2HEX(I33)</f>
        <v>EF</v>
      </c>
      <c r="I33" s="27">
        <v>239</v>
      </c>
      <c r="J33" s="27" t="str">
        <f>CHAR(I33)</f>
        <v>ï</v>
      </c>
      <c r="Q33" s="40" t="str">
        <f>C33&amp;IF(ISBLANK(D33),"","=")&amp;D33</f>
        <v>Microsteps_AltX=32</v>
      </c>
      <c r="S33" s="39">
        <v>32</v>
      </c>
      <c r="T33" s="40" t="str">
        <f>C33&amp;IF(ISBLANK(S33),"","=")&amp;S33</f>
        <v>Microsteps_AltX=32</v>
      </c>
      <c r="U33" s="39">
        <v>8</v>
      </c>
      <c r="V33" s="40" t="str">
        <f>C33&amp;IF(ISBLANK(U33),"","=")&amp;U33</f>
        <v>Microsteps_AltX=8</v>
      </c>
    </row>
    <row r="34" spans="1:25" x14ac:dyDescent="0.3">
      <c r="A34">
        <v>33</v>
      </c>
      <c r="B34" t="s">
        <v>432</v>
      </c>
      <c r="C34" s="122" t="s">
        <v>322</v>
      </c>
      <c r="D34" s="122">
        <v>200</v>
      </c>
      <c r="E34" s="26"/>
      <c r="F34" s="26"/>
      <c r="G34" s="26"/>
      <c r="H34" s="46" t="str">
        <f>DEC2HEX(I34)</f>
        <v>F0</v>
      </c>
      <c r="I34" s="27">
        <v>240</v>
      </c>
      <c r="J34" s="27" t="str">
        <f>CHAR(I34)</f>
        <v>ð</v>
      </c>
      <c r="Q34" s="40" t="str">
        <f>C34&amp;IF(ISBLANK(D34),"","=")&amp;D34</f>
        <v>StepsPer360_AltX=200</v>
      </c>
      <c r="S34" s="39">
        <v>200</v>
      </c>
      <c r="T34" s="40" t="str">
        <f>C34&amp;IF(ISBLANK(S34),"","=")&amp;S34</f>
        <v>StepsPer360_AltX=200</v>
      </c>
      <c r="U34" s="39">
        <v>100</v>
      </c>
      <c r="V34" s="40" t="str">
        <f>C34&amp;IF(ISBLANK(U34),"","=")&amp;U34</f>
        <v>StepsPer360_AltX=100</v>
      </c>
    </row>
    <row r="35" spans="1:25" s="30" customFormat="1" x14ac:dyDescent="0.3">
      <c r="A35">
        <v>34</v>
      </c>
      <c r="B35" t="s">
        <v>432</v>
      </c>
      <c r="C35" s="122" t="s">
        <v>323</v>
      </c>
      <c r="D35" s="122">
        <v>0.28299999999999997</v>
      </c>
      <c r="E35" s="26"/>
      <c r="F35" s="26"/>
      <c r="G35" s="26"/>
      <c r="H35" s="46" t="str">
        <f>DEC2HEX(I35)</f>
        <v>4F</v>
      </c>
      <c r="I35" s="27">
        <v>79</v>
      </c>
      <c r="J35" s="27" t="str">
        <f>CHAR(I35)</f>
        <v>O</v>
      </c>
      <c r="K35" s="39"/>
      <c r="L35"/>
      <c r="M35" s="43"/>
      <c r="N35" s="51"/>
      <c r="O35" s="51"/>
      <c r="P35" s="51"/>
      <c r="Q35" s="40" t="str">
        <f>C35&amp;IF(ISBLANK(D35),"","=")&amp;D35</f>
        <v>DistancePer360_AltX=0.283</v>
      </c>
      <c r="R35"/>
      <c r="S35" s="39">
        <v>0.01</v>
      </c>
      <c r="T35" s="40" t="str">
        <f>C35&amp;IF(ISBLANK(S35),"","=")&amp;S35</f>
        <v>DistancePer360_AltX=0.01</v>
      </c>
      <c r="U35" s="39">
        <v>36</v>
      </c>
      <c r="V35" s="40"/>
      <c r="W35"/>
      <c r="X35"/>
      <c r="Y35"/>
    </row>
    <row r="36" spans="1:25" x14ac:dyDescent="0.3">
      <c r="A36">
        <v>35</v>
      </c>
      <c r="B36" t="s">
        <v>432</v>
      </c>
      <c r="C36" s="122" t="s">
        <v>324</v>
      </c>
      <c r="D36" s="122">
        <v>1</v>
      </c>
      <c r="E36" s="26">
        <v>176</v>
      </c>
      <c r="F36" s="26">
        <v>179</v>
      </c>
      <c r="G36" s="26"/>
      <c r="H36" s="46" t="str">
        <f>DEC2HEX(I36)</f>
        <v>F2</v>
      </c>
      <c r="I36" s="27">
        <v>242</v>
      </c>
      <c r="J36" s="27" t="str">
        <f>CHAR(I36)</f>
        <v>ò</v>
      </c>
      <c r="L36" s="100">
        <f>IF(ISBLANK(D36),IF(E36&gt;0,F36-E36+1,0),0)</f>
        <v>0</v>
      </c>
      <c r="M36" s="101">
        <f>IF(ISBLANK(D36),0,IF(G36=0,F36-E36+1,0))</f>
        <v>4</v>
      </c>
      <c r="Q36" s="40" t="str">
        <f>C36&amp;IF(ISBLANK(D36),"","=")&amp;D36</f>
        <v>Polarity_AltX=1</v>
      </c>
      <c r="S36" s="39">
        <v>1</v>
      </c>
      <c r="T36" s="40" t="str">
        <f>C36&amp;IF(ISBLANK(S36),"","=")&amp;S36</f>
        <v>Polarity_AltX=1</v>
      </c>
      <c r="U36" s="39">
        <v>0</v>
      </c>
      <c r="V36" s="40"/>
    </row>
    <row r="37" spans="1:25" s="30" customFormat="1" x14ac:dyDescent="0.3">
      <c r="A37">
        <v>36</v>
      </c>
      <c r="B37" t="s">
        <v>432</v>
      </c>
      <c r="C37" s="122" t="s">
        <v>552</v>
      </c>
      <c r="D37" s="122">
        <v>1</v>
      </c>
      <c r="E37" s="26">
        <v>260</v>
      </c>
      <c r="F37" s="26">
        <v>263</v>
      </c>
      <c r="G37" s="26"/>
      <c r="H37" s="46" t="str">
        <f>DEC2HEX(I37)</f>
        <v>5D</v>
      </c>
      <c r="I37" s="27">
        <v>93</v>
      </c>
      <c r="J37" s="27" t="str">
        <f>CHAR(I37)</f>
        <v>]</v>
      </c>
      <c r="K37" s="39"/>
      <c r="L37" s="100">
        <f>IF(ISBLANK(D37),IF(E37&gt;0,F37-E37+1,0),0)</f>
        <v>0</v>
      </c>
      <c r="M37" s="101">
        <f>IF(ISBLANK(D37),0,IF(G37=0,F37-E37+1,0))</f>
        <v>4</v>
      </c>
      <c r="N37" s="51"/>
      <c r="O37" s="51"/>
      <c r="P37" s="51"/>
      <c r="Q37" s="40" t="str">
        <f>C37&amp;IF(ISBLANK(D37),"","=")&amp;D37</f>
        <v>Leadscrew_Hand_AltX=1</v>
      </c>
      <c r="R37"/>
      <c r="S37" s="39">
        <v>1</v>
      </c>
      <c r="T37" s="40" t="str">
        <f>C37&amp;IF(ISBLANK(S37),"","=")&amp;S37</f>
        <v>Leadscrew_Hand_AltX=1</v>
      </c>
      <c r="U37" s="39">
        <v>0</v>
      </c>
      <c r="V37" s="40"/>
      <c r="W37"/>
      <c r="X37"/>
      <c r="Y37"/>
    </row>
    <row r="38" spans="1:25" s="30" customFormat="1" x14ac:dyDescent="0.3">
      <c r="A38">
        <v>37</v>
      </c>
      <c r="C38" s="45" t="s">
        <v>281</v>
      </c>
      <c r="D38" s="45"/>
      <c r="H38" s="92"/>
      <c r="K38" s="45"/>
      <c r="M38" s="72"/>
      <c r="Q38" s="30" t="str">
        <f>C38&amp;IF(ISBLANK(D38),"","=")&amp;D38</f>
        <v>;M3 Axis</v>
      </c>
      <c r="S38" s="45"/>
      <c r="T38" s="30" t="str">
        <f>C38&amp;IF(ISBLANK(S38),"","=")&amp;S38</f>
        <v>;M3 Axis</v>
      </c>
      <c r="U38" s="45"/>
      <c r="V38" s="40"/>
      <c r="W38"/>
      <c r="X38"/>
      <c r="Y38"/>
    </row>
    <row r="39" spans="1:25" s="30" customFormat="1" x14ac:dyDescent="0.3">
      <c r="A39">
        <v>38</v>
      </c>
      <c r="B39" t="s">
        <v>234</v>
      </c>
      <c r="C39" s="39" t="s">
        <v>325</v>
      </c>
      <c r="D39" s="39">
        <v>32</v>
      </c>
      <c r="E39" s="48">
        <v>92</v>
      </c>
      <c r="F39" s="48">
        <v>95</v>
      </c>
      <c r="G39" s="68"/>
      <c r="H39" s="67" t="str">
        <f>DEC2HEX(I39)</f>
        <v>76</v>
      </c>
      <c r="I39" s="27">
        <v>118</v>
      </c>
      <c r="J39" s="27" t="str">
        <f>CHAR(I39)</f>
        <v>v</v>
      </c>
      <c r="K39" s="39"/>
      <c r="L39">
        <f>IF(ISBLANK(D39),IF(E39&gt;0,F39-E39+1,0),0)</f>
        <v>0</v>
      </c>
      <c r="M39" s="43">
        <f>IF(ISBLANK(D39),0,IF(G39=0,F39-E39+1,0))</f>
        <v>4</v>
      </c>
      <c r="N39" s="51"/>
      <c r="O39" s="51"/>
      <c r="P39" s="51"/>
      <c r="Q39" s="40" t="str">
        <f>C39&amp;IF(ISBLANK(D39),"","=")&amp;D39</f>
        <v>Microsteps_M3=32</v>
      </c>
      <c r="R39"/>
      <c r="S39" s="39">
        <v>32</v>
      </c>
      <c r="T39" s="40" t="str">
        <f>C39&amp;IF(ISBLANK(S39),"","=")&amp;S39</f>
        <v>Microsteps_M3=32</v>
      </c>
      <c r="U39" s="39">
        <v>8</v>
      </c>
      <c r="V39" s="40"/>
      <c r="W39"/>
      <c r="X39"/>
      <c r="Y39"/>
    </row>
    <row r="40" spans="1:25" s="30" customFormat="1" x14ac:dyDescent="0.3">
      <c r="A40">
        <v>39</v>
      </c>
      <c r="B40" t="s">
        <v>234</v>
      </c>
      <c r="C40" s="122" t="s">
        <v>326</v>
      </c>
      <c r="D40" s="122">
        <v>200</v>
      </c>
      <c r="E40" s="26">
        <v>544</v>
      </c>
      <c r="F40" s="26">
        <v>547</v>
      </c>
      <c r="G40" s="26"/>
      <c r="H40" s="49" t="str">
        <f>DEC2HEX(I40)</f>
        <v>77</v>
      </c>
      <c r="I40" s="50">
        <v>119</v>
      </c>
      <c r="J40" s="50" t="str">
        <f>CHAR(I40)</f>
        <v>w</v>
      </c>
      <c r="K40" s="39"/>
      <c r="L40">
        <f>IF(ISBLANK(D40),IF(E40&gt;0,F40-E40+1,0),0)</f>
        <v>0</v>
      </c>
      <c r="M40" s="43">
        <f>IF(ISBLANK(D40),0,IF(G40=0,F40-E40+1,0))</f>
        <v>4</v>
      </c>
      <c r="N40" s="51"/>
      <c r="O40" s="51"/>
      <c r="P40" s="51"/>
      <c r="Q40" s="40" t="str">
        <f>C40&amp;IF(ISBLANK(D40),"","=")&amp;D40</f>
        <v>StepsPer360_M3=200</v>
      </c>
      <c r="R40"/>
      <c r="S40" s="39">
        <v>200</v>
      </c>
      <c r="T40" s="40" t="str">
        <f>C40&amp;IF(ISBLANK(S40),"","=")&amp;S40</f>
        <v>StepsPer360_M3=200</v>
      </c>
      <c r="U40" s="39">
        <v>600</v>
      </c>
      <c r="V40" s="40"/>
      <c r="W40"/>
      <c r="X40"/>
      <c r="Y40"/>
    </row>
    <row r="41" spans="1:25" x14ac:dyDescent="0.3">
      <c r="A41">
        <v>40</v>
      </c>
      <c r="B41" t="s">
        <v>234</v>
      </c>
      <c r="C41" s="122" t="s">
        <v>327</v>
      </c>
      <c r="D41" s="122">
        <v>30</v>
      </c>
      <c r="E41" s="26">
        <v>548</v>
      </c>
      <c r="F41" s="26">
        <v>555</v>
      </c>
      <c r="G41" s="26"/>
      <c r="H41" s="49" t="str">
        <f>DEC2HEX(I41)</f>
        <v>78</v>
      </c>
      <c r="I41" s="50">
        <v>120</v>
      </c>
      <c r="J41" s="50" t="str">
        <f>CHAR(I41)</f>
        <v>x</v>
      </c>
      <c r="L41">
        <f>IF(ISBLANK(D41),IF(E41&gt;0,F41-E41+1,0),0)</f>
        <v>0</v>
      </c>
      <c r="M41" s="43">
        <f>IF(ISBLANK(D41),0,IF(G41=0,F41-E41+1,0))</f>
        <v>8</v>
      </c>
      <c r="Q41" s="40" t="str">
        <f>C41&amp;IF(ISBLANK(D41),"","=")&amp;D41</f>
        <v>GearRatio_M3=30</v>
      </c>
      <c r="S41" s="39">
        <v>1</v>
      </c>
      <c r="T41" s="40" t="str">
        <f>C41&amp;IF(ISBLANK(S41),"","=")&amp;S41</f>
        <v>GearRatio_M3=1</v>
      </c>
      <c r="U41" s="39">
        <v>34</v>
      </c>
      <c r="V41" s="40"/>
    </row>
    <row r="42" spans="1:25" x14ac:dyDescent="0.3">
      <c r="A42">
        <v>41</v>
      </c>
      <c r="B42" t="s">
        <v>234</v>
      </c>
      <c r="C42" s="122" t="s">
        <v>328</v>
      </c>
      <c r="D42" s="122">
        <v>1</v>
      </c>
      <c r="E42" s="27">
        <v>396</v>
      </c>
      <c r="F42" s="27">
        <v>399</v>
      </c>
      <c r="G42" s="26"/>
      <c r="H42" s="49" t="str">
        <f>DEC2HEX(I42)</f>
        <v>DB</v>
      </c>
      <c r="I42" s="50">
        <v>219</v>
      </c>
      <c r="J42" s="50" t="str">
        <f>CHAR(I42)</f>
        <v>Û</v>
      </c>
      <c r="K42" s="39" t="s">
        <v>564</v>
      </c>
      <c r="L42" s="100">
        <f>IF(ISBLANK(D42),IF(E42&gt;0,F42-E42+1,0),0)</f>
        <v>0</v>
      </c>
      <c r="M42" s="101">
        <f>IF(ISBLANK(D42),0,IF(G42=0,F42-E42+1,0))</f>
        <v>4</v>
      </c>
      <c r="Q42" s="40" t="str">
        <f>C42&amp;IF(ISBLANK(D42),"","=")&amp;D42</f>
        <v>Polarity_M3=1</v>
      </c>
      <c r="S42" s="39">
        <v>1</v>
      </c>
      <c r="T42" s="40" t="str">
        <f>C42&amp;IF(ISBLANK(S42),"","=")&amp;S42</f>
        <v>Polarity_M3=1</v>
      </c>
      <c r="U42" s="39">
        <v>0</v>
      </c>
      <c r="V42" s="40"/>
    </row>
    <row r="43" spans="1:25" x14ac:dyDescent="0.3">
      <c r="A43">
        <v>42</v>
      </c>
      <c r="B43" t="s">
        <v>234</v>
      </c>
      <c r="C43" s="122" t="s">
        <v>329</v>
      </c>
      <c r="D43" s="122">
        <v>1.0235000000000001</v>
      </c>
      <c r="E43" s="26">
        <v>408</v>
      </c>
      <c r="F43" s="26">
        <v>415</v>
      </c>
      <c r="G43" s="26"/>
      <c r="H43" s="49" t="str">
        <f>DEC2HEX(I43)</f>
        <v>74</v>
      </c>
      <c r="I43" s="50">
        <v>116</v>
      </c>
      <c r="J43" s="50" t="str">
        <f>CHAR(I43)</f>
        <v>t</v>
      </c>
      <c r="K43" s="110"/>
      <c r="L43">
        <f>IF(ISBLANK(D43),IF(E43&gt;0,F43-E43+1,0),0)</f>
        <v>0</v>
      </c>
      <c r="M43" s="43">
        <f>IF(ISBLANK(D43),0,IF(G43=0,F43-E43+1,0))</f>
        <v>8</v>
      </c>
      <c r="Q43" s="40" t="str">
        <f>C43&amp;IF(ISBLANK(D43),"","=")&amp;D43</f>
        <v>DistancePer360_M3=1.0235</v>
      </c>
      <c r="S43" s="39">
        <v>0.01</v>
      </c>
      <c r="T43" s="40" t="str">
        <f>C43&amp;IF(ISBLANK(S43),"","=")&amp;S43</f>
        <v>DistancePer360_M3=0.01</v>
      </c>
      <c r="U43" s="39">
        <v>12</v>
      </c>
      <c r="V43" s="40"/>
    </row>
    <row r="44" spans="1:25" x14ac:dyDescent="0.3">
      <c r="A44">
        <v>43</v>
      </c>
      <c r="B44" t="s">
        <v>234</v>
      </c>
      <c r="C44" s="122" t="s">
        <v>444</v>
      </c>
      <c r="D44" s="122">
        <v>0</v>
      </c>
      <c r="E44" s="26">
        <v>400</v>
      </c>
      <c r="F44" s="26">
        <v>403</v>
      </c>
      <c r="G44" s="26"/>
      <c r="H44" s="49" t="str">
        <f>DEC2HEX(I44)</f>
        <v>C3</v>
      </c>
      <c r="I44" s="50">
        <v>195</v>
      </c>
      <c r="J44" s="50" t="str">
        <f>CHAR(I44)</f>
        <v>Ã</v>
      </c>
      <c r="L44" s="100">
        <f>IF(ISBLANK(D44),IF(E44&gt;0,F44-E44+1,0),0)</f>
        <v>0</v>
      </c>
      <c r="M44" s="101">
        <f>IF(ISBLANK(D44),0,IF(G44=0,F44-E44+1,0))</f>
        <v>4</v>
      </c>
      <c r="Q44" s="40" t="str">
        <f>C44&amp;IF(ISBLANK(D44),"","=")&amp;D44</f>
        <v>RadialOrLineal_M3=0</v>
      </c>
      <c r="S44" s="39">
        <v>0</v>
      </c>
      <c r="T44" s="40" t="str">
        <f>C44&amp;IF(ISBLANK(S44),"","=")&amp;S44</f>
        <v>RadialOrLineal_M3=0</v>
      </c>
      <c r="U44" s="39">
        <v>1</v>
      </c>
      <c r="V44" s="40"/>
    </row>
    <row r="45" spans="1:25" x14ac:dyDescent="0.3">
      <c r="A45">
        <v>44</v>
      </c>
      <c r="B45" t="s">
        <v>234</v>
      </c>
      <c r="C45" s="122" t="s">
        <v>330</v>
      </c>
      <c r="D45" s="122">
        <v>5.1239999999999997</v>
      </c>
      <c r="E45" s="26">
        <v>688</v>
      </c>
      <c r="F45" s="26">
        <v>695</v>
      </c>
      <c r="G45" s="26"/>
      <c r="H45" s="49" t="str">
        <f>DEC2HEX(I45)</f>
        <v>FE</v>
      </c>
      <c r="I45" s="50">
        <v>254</v>
      </c>
      <c r="J45" s="50" t="str">
        <f>CHAR(I45)</f>
        <v>þ</v>
      </c>
      <c r="L45">
        <f>IF(ISBLANK(D45),IF(E45&gt;0,F45-E45+1,0),0)</f>
        <v>0</v>
      </c>
      <c r="M45" s="43">
        <f>IF(ISBLANK(D45),0,IF(G45=0,F45-E45+1,0))</f>
        <v>8</v>
      </c>
      <c r="Q45" s="40" t="str">
        <f>C45&amp;IF(ISBLANK(D45),"","=")&amp;D45</f>
        <v>M3Radius=5.124</v>
      </c>
      <c r="S45" s="39">
        <v>5</v>
      </c>
      <c r="T45" s="40" t="str">
        <f>C45&amp;IF(ISBLANK(S45),"","=")&amp;S45</f>
        <v>M3Radius=5</v>
      </c>
      <c r="U45" s="39">
        <v>65</v>
      </c>
      <c r="V45" s="40" t="str">
        <f>C45&amp;IF(ISBLANK(U45),"","=")&amp;U45</f>
        <v>M3Radius=65</v>
      </c>
    </row>
    <row r="46" spans="1:25" x14ac:dyDescent="0.3">
      <c r="A46">
        <v>45</v>
      </c>
      <c r="B46" t="s">
        <v>234</v>
      </c>
      <c r="C46" s="122" t="s">
        <v>553</v>
      </c>
      <c r="D46" s="122">
        <v>1</v>
      </c>
      <c r="E46" s="26">
        <v>252</v>
      </c>
      <c r="F46" s="26">
        <v>255</v>
      </c>
      <c r="G46" s="26"/>
      <c r="H46" s="46" t="str">
        <f>DEC2HEX(I46)</f>
        <v>D3</v>
      </c>
      <c r="I46" s="27">
        <v>211</v>
      </c>
      <c r="J46" s="27" t="str">
        <f>CHAR(I46)</f>
        <v>Ó</v>
      </c>
      <c r="L46" s="100">
        <f>IF(ISBLANK(D46),IF(E46&gt;0,F46-E46+1,0),0)</f>
        <v>0</v>
      </c>
      <c r="M46" s="101">
        <f>IF(ISBLANK(D46),0,IF(G46=0,F46-E46+1,0))</f>
        <v>4</v>
      </c>
      <c r="Q46" s="40" t="str">
        <f>C46&amp;IF(ISBLANK(D46),"","=")&amp;D46</f>
        <v>Leadscrew_Hand_M3=1</v>
      </c>
      <c r="S46" s="39">
        <v>1</v>
      </c>
      <c r="T46" s="40" t="str">
        <f>C46&amp;IF(ISBLANK(S46),"","=")&amp;S46</f>
        <v>Leadscrew_Hand_M3=1</v>
      </c>
      <c r="U46" s="39">
        <v>0</v>
      </c>
      <c r="V46" s="40" t="str">
        <f>C46&amp;IF(ISBLANK(U46),"","=")&amp;U46</f>
        <v>Leadscrew_Hand_M3=0</v>
      </c>
    </row>
    <row r="47" spans="1:25" x14ac:dyDescent="0.3">
      <c r="A47">
        <v>46</v>
      </c>
      <c r="B47" s="30"/>
      <c r="C47" s="45" t="s">
        <v>282</v>
      </c>
      <c r="D47" s="45"/>
      <c r="E47" s="30"/>
      <c r="F47" s="30"/>
      <c r="G47" s="30"/>
      <c r="H47" s="92"/>
      <c r="I47" s="30"/>
      <c r="J47" s="30"/>
      <c r="K47" s="45"/>
      <c r="L47" s="30"/>
      <c r="M47" s="72"/>
      <c r="N47" s="30"/>
      <c r="O47" s="30"/>
      <c r="P47" s="30"/>
      <c r="Q47" s="30" t="str">
        <f>C47&amp;IF(ISBLANK(D47),"","=")&amp;D47</f>
        <v>;M4 Axis</v>
      </c>
      <c r="R47" s="30"/>
      <c r="S47" s="45"/>
      <c r="T47" s="30" t="str">
        <f>C47&amp;IF(ISBLANK(S47),"","=")&amp;S47</f>
        <v>;M4 Axis</v>
      </c>
      <c r="U47" s="45"/>
      <c r="V47" s="40" t="str">
        <f>C47&amp;IF(ISBLANK(U47),"","=")&amp;U47</f>
        <v>;M4 Axis</v>
      </c>
    </row>
    <row r="48" spans="1:25" x14ac:dyDescent="0.3">
      <c r="A48">
        <v>47</v>
      </c>
      <c r="B48" t="s">
        <v>235</v>
      </c>
      <c r="C48" s="122" t="s">
        <v>331</v>
      </c>
      <c r="D48" s="122">
        <v>32</v>
      </c>
      <c r="E48" s="26">
        <v>96</v>
      </c>
      <c r="F48" s="26">
        <v>99</v>
      </c>
      <c r="G48" s="26"/>
      <c r="H48" s="46" t="str">
        <f>DEC2HEX(I48)</f>
        <v>71</v>
      </c>
      <c r="I48" s="27">
        <v>113</v>
      </c>
      <c r="J48" s="27" t="str">
        <f>CHAR(I48)</f>
        <v>q</v>
      </c>
      <c r="L48">
        <f>IF(ISBLANK(D48),IF(E48&gt;0,F48-E48+1,0),0)</f>
        <v>0</v>
      </c>
      <c r="M48" s="43">
        <f>IF(ISBLANK(D48),0,IF(G48=0,F48-E48+1,0))</f>
        <v>4</v>
      </c>
      <c r="Q48" s="40" t="str">
        <f>C48&amp;IF(ISBLANK(D48),"","=")&amp;D48</f>
        <v>Microsteps_M4=32</v>
      </c>
      <c r="S48" s="39">
        <v>32</v>
      </c>
      <c r="T48" s="40" t="str">
        <f>C48&amp;IF(ISBLANK(S48),"","=")&amp;S48</f>
        <v>Microsteps_M4=32</v>
      </c>
      <c r="U48" s="39">
        <v>2</v>
      </c>
      <c r="V48" s="40" t="str">
        <f>C48&amp;IF(ISBLANK(U48),"","=")&amp;U48</f>
        <v>Microsteps_M4=2</v>
      </c>
    </row>
    <row r="49" spans="1:25" x14ac:dyDescent="0.3">
      <c r="A49">
        <v>48</v>
      </c>
      <c r="B49" t="s">
        <v>235</v>
      </c>
      <c r="C49" s="122" t="s">
        <v>332</v>
      </c>
      <c r="D49" s="122">
        <v>200</v>
      </c>
      <c r="E49" s="26">
        <v>404</v>
      </c>
      <c r="F49" s="26">
        <v>407</v>
      </c>
      <c r="G49" s="26"/>
      <c r="H49" s="46" t="str">
        <f>DEC2HEX(I49)</f>
        <v>A7</v>
      </c>
      <c r="I49" s="27">
        <v>167</v>
      </c>
      <c r="J49" s="27" t="str">
        <f>CHAR(I49)</f>
        <v>§</v>
      </c>
      <c r="L49">
        <f>IF(ISBLANK(D49),IF(E49&gt;0,F49-E49+1,0),0)</f>
        <v>0</v>
      </c>
      <c r="M49" s="43">
        <f>IF(ISBLANK(D49),0,IF(G49=0,F49-E49+1,0))</f>
        <v>4</v>
      </c>
      <c r="Q49" s="40" t="str">
        <f>C49&amp;IF(ISBLANK(D49),"","=")&amp;D49</f>
        <v>StepsPer360_M4=200</v>
      </c>
      <c r="S49" s="39">
        <v>200</v>
      </c>
      <c r="T49" s="40" t="str">
        <f>C49&amp;IF(ISBLANK(S49),"","=")&amp;S49</f>
        <v>StepsPer360_M4=200</v>
      </c>
      <c r="U49" s="39">
        <v>300</v>
      </c>
      <c r="V49" s="40" t="str">
        <f>C49&amp;IF(ISBLANK(U49),"","=")&amp;U49</f>
        <v>StepsPer360_M4=300</v>
      </c>
    </row>
    <row r="50" spans="1:25" x14ac:dyDescent="0.3">
      <c r="A50">
        <v>49</v>
      </c>
      <c r="B50" t="s">
        <v>235</v>
      </c>
      <c r="C50" s="122" t="s">
        <v>333</v>
      </c>
      <c r="D50" s="122">
        <v>30</v>
      </c>
      <c r="E50" s="26"/>
      <c r="F50" s="26"/>
      <c r="G50" s="26"/>
      <c r="H50" s="46" t="str">
        <f>DEC2HEX(I50)</f>
        <v>A9</v>
      </c>
      <c r="I50" s="27">
        <v>169</v>
      </c>
      <c r="J50" s="27" t="str">
        <f>CHAR(I50)</f>
        <v>©</v>
      </c>
      <c r="K50" s="39">
        <v>380</v>
      </c>
      <c r="Q50" s="40" t="str">
        <f>C50&amp;IF(ISBLANK(D50),"","=")&amp;D50</f>
        <v>GearRatio_M4=30</v>
      </c>
      <c r="R50" s="110"/>
      <c r="S50" s="39">
        <v>30</v>
      </c>
      <c r="T50" s="40" t="str">
        <f>C50&amp;IF(ISBLANK(S50),"","=")&amp;S50</f>
        <v>GearRatio_M4=30</v>
      </c>
      <c r="U50" s="39">
        <v>12</v>
      </c>
      <c r="V50" s="40" t="str">
        <f>C50&amp;IF(ISBLANK(U50),"","=")&amp;U50</f>
        <v>GearRatio_M4=12</v>
      </c>
    </row>
    <row r="51" spans="1:25" x14ac:dyDescent="0.3">
      <c r="A51">
        <v>50</v>
      </c>
      <c r="B51" t="s">
        <v>235</v>
      </c>
      <c r="C51" s="122" t="s">
        <v>334</v>
      </c>
      <c r="D51" s="122">
        <v>1</v>
      </c>
      <c r="E51" s="26">
        <v>460</v>
      </c>
      <c r="F51" s="26">
        <v>463</v>
      </c>
      <c r="G51" s="26"/>
      <c r="H51" s="46" t="str">
        <f>DEC2HEX(I51)</f>
        <v>75</v>
      </c>
      <c r="I51" s="27">
        <v>117</v>
      </c>
      <c r="J51" s="27" t="str">
        <f>CHAR(I51)</f>
        <v>u</v>
      </c>
      <c r="L51" s="100">
        <f>IF(ISBLANK(D51),IF(E51&gt;0,F51-E51+1,0),0)</f>
        <v>0</v>
      </c>
      <c r="M51" s="101">
        <f>IF(ISBLANK(D51),0,IF(G51=0,F51-E51+1,0))</f>
        <v>4</v>
      </c>
      <c r="Q51" s="40" t="str">
        <f>C51&amp;IF(ISBLANK(D51),"","=")&amp;D51</f>
        <v>Polarity_M4=1</v>
      </c>
      <c r="S51" s="39">
        <v>1</v>
      </c>
      <c r="T51" s="40" t="str">
        <f>C51&amp;IF(ISBLANK(S51),"","=")&amp;S51</f>
        <v>Polarity_M4=1</v>
      </c>
      <c r="U51" s="39">
        <v>0</v>
      </c>
      <c r="V51" s="40" t="str">
        <f>C51&amp;IF(ISBLANK(U51),"","=")&amp;U51</f>
        <v>Polarity_M4=0</v>
      </c>
    </row>
    <row r="52" spans="1:25" x14ac:dyDescent="0.3">
      <c r="A52">
        <v>51</v>
      </c>
      <c r="B52" t="s">
        <v>235</v>
      </c>
      <c r="C52" s="122" t="s">
        <v>335</v>
      </c>
      <c r="D52" s="122">
        <v>2.5399999999999999E-2</v>
      </c>
      <c r="E52" s="26">
        <v>600</v>
      </c>
      <c r="F52" s="26">
        <v>607</v>
      </c>
      <c r="G52" s="26"/>
      <c r="H52" s="46" t="str">
        <f>DEC2HEX(I52)</f>
        <v>A8</v>
      </c>
      <c r="I52" s="27">
        <v>168</v>
      </c>
      <c r="J52" s="27" t="str">
        <f>CHAR(I52)</f>
        <v>¨</v>
      </c>
      <c r="L52">
        <f>IF(ISBLANK(D52),IF(E52&gt;0,F52-E52+1,0),0)</f>
        <v>0</v>
      </c>
      <c r="M52" s="43">
        <f>IF(ISBLANK(D52),0,IF(G52=0,F52-E52+1,0))</f>
        <v>8</v>
      </c>
      <c r="Q52" s="40" t="str">
        <f>C52&amp;IF(ISBLANK(D52),"","=")&amp;D52</f>
        <v>DistancePer360_M4=0.0254</v>
      </c>
      <c r="S52" s="39">
        <v>0.01</v>
      </c>
      <c r="T52" s="40" t="str">
        <f>C52&amp;IF(ISBLANK(S52),"","=")&amp;S52</f>
        <v>DistancePer360_M4=0.01</v>
      </c>
      <c r="U52" s="39">
        <v>45</v>
      </c>
      <c r="V52" s="40"/>
    </row>
    <row r="53" spans="1:25" x14ac:dyDescent="0.3">
      <c r="A53">
        <v>52</v>
      </c>
      <c r="B53" t="s">
        <v>235</v>
      </c>
      <c r="C53" s="122" t="s">
        <v>443</v>
      </c>
      <c r="D53" s="122">
        <v>1</v>
      </c>
      <c r="E53" s="26">
        <v>264</v>
      </c>
      <c r="F53" s="26">
        <v>267</v>
      </c>
      <c r="G53" s="26"/>
      <c r="H53" s="46" t="str">
        <f>DEC2HEX(I53)</f>
        <v>A2</v>
      </c>
      <c r="I53" s="27">
        <v>162</v>
      </c>
      <c r="J53" s="27" t="str">
        <f>CHAR(I53)</f>
        <v>¢</v>
      </c>
      <c r="L53">
        <f>IF(ISBLANK(D53),IF(E53&gt;0,F53-E53+1,0),0)</f>
        <v>0</v>
      </c>
      <c r="M53" s="43">
        <f>IF(ISBLANK(D53),0,IF(G53=0,F53-E53+1,0))</f>
        <v>4</v>
      </c>
      <c r="Q53" s="40" t="str">
        <f>C53&amp;IF(ISBLANK(D53),"","=")&amp;D53</f>
        <v>RadialOrLineal_M4=1</v>
      </c>
      <c r="S53" s="39">
        <v>1</v>
      </c>
      <c r="T53" s="40" t="str">
        <f>C53&amp;IF(ISBLANK(S53),"","=")&amp;S53</f>
        <v>RadialOrLineal_M4=1</v>
      </c>
      <c r="U53" s="39">
        <v>0</v>
      </c>
      <c r="V53" s="40"/>
    </row>
    <row r="54" spans="1:25" x14ac:dyDescent="0.3">
      <c r="A54">
        <v>53</v>
      </c>
      <c r="B54" t="s">
        <v>235</v>
      </c>
      <c r="C54" s="122" t="s">
        <v>336</v>
      </c>
      <c r="D54" s="122">
        <v>11.257999999999999</v>
      </c>
      <c r="E54" s="26">
        <v>664</v>
      </c>
      <c r="F54" s="26">
        <v>671</v>
      </c>
      <c r="G54" s="26"/>
      <c r="H54" s="46" t="str">
        <f>DEC2HEX(I54)</f>
        <v>B0</v>
      </c>
      <c r="I54" s="27">
        <v>176</v>
      </c>
      <c r="J54" s="27" t="str">
        <f>CHAR(I54)</f>
        <v>°</v>
      </c>
      <c r="L54">
        <f>IF(ISBLANK(D54),IF(E54&gt;0,F54-E54+1,0),0)</f>
        <v>0</v>
      </c>
      <c r="M54" s="43">
        <f>IF(ISBLANK(D54),0,IF(G54=0,F54-E54+1,0))</f>
        <v>8</v>
      </c>
      <c r="Q54" s="40" t="str">
        <f>C54&amp;IF(ISBLANK(D54),"","=")&amp;D54</f>
        <v>M4Radius=11.258</v>
      </c>
      <c r="S54" s="39">
        <v>5</v>
      </c>
      <c r="T54" s="40" t="str">
        <f>C54&amp;IF(ISBLANK(S54),"","=")&amp;S54</f>
        <v>M4Radius=5</v>
      </c>
      <c r="U54" s="39">
        <v>1</v>
      </c>
      <c r="V54" s="40"/>
    </row>
    <row r="55" spans="1:25" x14ac:dyDescent="0.3">
      <c r="A55">
        <v>54</v>
      </c>
      <c r="B55" t="s">
        <v>235</v>
      </c>
      <c r="C55" s="122" t="s">
        <v>554</v>
      </c>
      <c r="D55" s="122">
        <v>1</v>
      </c>
      <c r="E55" s="26">
        <v>256</v>
      </c>
      <c r="F55" s="26">
        <v>259</v>
      </c>
      <c r="G55" s="26"/>
      <c r="H55" s="46" t="str">
        <f>DEC2HEX(I55)</f>
        <v>D3</v>
      </c>
      <c r="I55" s="27">
        <v>211</v>
      </c>
      <c r="J55" s="27" t="str">
        <f>CHAR(I55)</f>
        <v>Ó</v>
      </c>
      <c r="L55">
        <f>IF(ISBLANK(#REF!),IF(E55&gt;0,F55-E55+1,0),0)</f>
        <v>0</v>
      </c>
      <c r="M55" s="43">
        <f>IF(ISBLANK(#REF!),0,IF(G55=0,F55-E55+1,0))</f>
        <v>4</v>
      </c>
      <c r="Q55" s="40" t="str">
        <f>C55&amp;IF(ISBLANK(D55),"","=")&amp;D55</f>
        <v>Leadscrew_Hand_M4=1</v>
      </c>
      <c r="S55" s="39">
        <v>1</v>
      </c>
      <c r="T55" s="40" t="str">
        <f>C55&amp;IF(ISBLANK(S55),"","=")&amp;S55</f>
        <v>Leadscrew_Hand_M4=1</v>
      </c>
      <c r="U55" s="39">
        <v>0</v>
      </c>
      <c r="V55" s="40"/>
    </row>
    <row r="56" spans="1:25" x14ac:dyDescent="0.3">
      <c r="A56">
        <v>55</v>
      </c>
      <c r="C56" s="39" t="s">
        <v>229</v>
      </c>
      <c r="E56" s="26"/>
      <c r="F56" s="26"/>
      <c r="G56" s="26"/>
      <c r="H56" s="96"/>
      <c r="I56" s="26"/>
      <c r="J56" s="26"/>
      <c r="Q56" s="40" t="str">
        <f>C56&amp;IF(ISBLANK(D56),"","=")&amp;D56</f>
        <v>;</v>
      </c>
      <c r="T56" s="40" t="str">
        <f>C56&amp;IF(ISBLANK(S56),"","=")&amp;S56</f>
        <v>;</v>
      </c>
      <c r="V56" s="40"/>
    </row>
    <row r="57" spans="1:25" x14ac:dyDescent="0.3">
      <c r="A57">
        <v>56</v>
      </c>
      <c r="B57" s="76"/>
      <c r="C57" s="77" t="s">
        <v>283</v>
      </c>
      <c r="D57" s="77"/>
      <c r="E57" s="76"/>
      <c r="F57" s="76"/>
      <c r="G57" s="76"/>
      <c r="H57" s="78"/>
      <c r="I57" s="76"/>
      <c r="J57" s="76"/>
      <c r="K57" s="77"/>
      <c r="L57" s="76"/>
      <c r="M57" s="79"/>
      <c r="N57" s="76"/>
      <c r="O57" s="76"/>
      <c r="P57" s="76"/>
      <c r="Q57" s="76" t="str">
        <f>C57&amp;IF(ISBLANK(D57),"","=")&amp;D57</f>
        <v>[Limits]</v>
      </c>
      <c r="R57" s="76"/>
      <c r="S57" s="77"/>
      <c r="T57" s="76" t="str">
        <f>C57&amp;IF(ISBLANK(S57),"","=")&amp;S57</f>
        <v>[Limits]</v>
      </c>
      <c r="U57" s="77"/>
      <c r="V57" s="40"/>
    </row>
    <row r="58" spans="1:25" x14ac:dyDescent="0.3">
      <c r="A58">
        <v>57</v>
      </c>
      <c r="C58" s="39" t="s">
        <v>229</v>
      </c>
      <c r="E58" s="26"/>
      <c r="F58" s="26"/>
      <c r="G58" s="26"/>
      <c r="H58" s="96"/>
      <c r="I58" s="26"/>
      <c r="J58" s="26"/>
      <c r="Q58" s="40" t="str">
        <f>C58&amp;IF(ISBLANK(D58),"","=")&amp;D58</f>
        <v>;</v>
      </c>
      <c r="T58" s="40" t="str">
        <f>C58&amp;IF(ISBLANK(S58),"","=")&amp;S58</f>
        <v>;</v>
      </c>
      <c r="V58" s="40" t="str">
        <f>C58&amp;IF(ISBLANK(U58),"","=")&amp;U58</f>
        <v>;</v>
      </c>
    </row>
    <row r="59" spans="1:25" x14ac:dyDescent="0.3">
      <c r="A59">
        <v>58</v>
      </c>
      <c r="C59" s="39" t="s">
        <v>621</v>
      </c>
      <c r="E59" s="26"/>
      <c r="F59" s="26"/>
      <c r="G59" s="26"/>
      <c r="H59" s="96"/>
      <c r="I59" s="26"/>
      <c r="J59" s="26"/>
      <c r="Q59" s="40" t="str">
        <f>C59&amp;IF(ISBLANK(D59),"","=")&amp;D59</f>
        <v>;Limit Switches and Stop pins must be greater than 24.</v>
      </c>
      <c r="T59" s="40" t="str">
        <f>C59&amp;IF(ISBLANK(S59),"","=")&amp;S59</f>
        <v>;Limit Switches and Stop pins must be greater than 24.</v>
      </c>
      <c r="V59" s="40" t="str">
        <f>C59&amp;IF(ISBLANK(U59),"","=")&amp;U59</f>
        <v>;Limit Switches and Stop pins must be greater than 24.</v>
      </c>
    </row>
    <row r="60" spans="1:25" x14ac:dyDescent="0.3">
      <c r="A60">
        <v>59</v>
      </c>
      <c r="B60" t="s">
        <v>183</v>
      </c>
      <c r="C60" s="39" t="s">
        <v>337</v>
      </c>
      <c r="D60" s="39">
        <v>24</v>
      </c>
      <c r="E60" s="26"/>
      <c r="F60" s="26"/>
      <c r="G60" s="26"/>
      <c r="H60" s="46" t="str">
        <f>DEC2HEX(I60)</f>
        <v>DC</v>
      </c>
      <c r="I60" s="27">
        <v>220</v>
      </c>
      <c r="J60" s="27" t="str">
        <f>CHAR(I60)</f>
        <v>Ü</v>
      </c>
      <c r="K60" s="39">
        <v>424</v>
      </c>
      <c r="Q60" s="40" t="str">
        <f>C60&amp;IF(ISBLANK(D60),"","=")&amp;D60</f>
        <v>Min_Z=24</v>
      </c>
      <c r="S60" s="39">
        <v>24</v>
      </c>
      <c r="T60" s="40" t="str">
        <f>C60&amp;IF(ISBLANK(S60),"","=")&amp;S60</f>
        <v>Min_Z=24</v>
      </c>
      <c r="U60" s="39">
        <v>31</v>
      </c>
      <c r="V60" s="40" t="str">
        <f>C60&amp;IF(ISBLANK(U60),"","=")&amp;U60</f>
        <v>Min_Z=31</v>
      </c>
    </row>
    <row r="61" spans="1:25" s="30" customFormat="1" x14ac:dyDescent="0.3">
      <c r="A61">
        <v>60</v>
      </c>
      <c r="B61" t="s">
        <v>183</v>
      </c>
      <c r="C61" s="39" t="s">
        <v>338</v>
      </c>
      <c r="D61" s="39">
        <v>26</v>
      </c>
      <c r="E61" s="26"/>
      <c r="F61" s="26"/>
      <c r="G61" s="26"/>
      <c r="H61" s="46" t="str">
        <f>DEC2HEX(I61)</f>
        <v>DD</v>
      </c>
      <c r="I61" s="27">
        <v>221</v>
      </c>
      <c r="J61" s="27" t="str">
        <f>CHAR(I61)</f>
        <v>Ý</v>
      </c>
      <c r="K61" s="39">
        <v>424</v>
      </c>
      <c r="L61"/>
      <c r="M61" s="43"/>
      <c r="N61" s="51"/>
      <c r="O61" s="51"/>
      <c r="P61" s="51"/>
      <c r="Q61" s="40" t="str">
        <f>C61&amp;IF(ISBLANK(D61),"","=")&amp;D61</f>
        <v>Max_Z=26</v>
      </c>
      <c r="R61"/>
      <c r="S61" s="39">
        <v>26</v>
      </c>
      <c r="T61" s="40" t="str">
        <f>C61&amp;IF(ISBLANK(S61),"","=")&amp;S61</f>
        <v>Max_Z=26</v>
      </c>
      <c r="U61" s="39">
        <v>31</v>
      </c>
      <c r="V61" s="40" t="str">
        <f>C61&amp;IF(ISBLANK(U61),"","=")&amp;U61</f>
        <v>Max_Z=31</v>
      </c>
      <c r="W61"/>
      <c r="X61"/>
      <c r="Y61"/>
    </row>
    <row r="62" spans="1:25" x14ac:dyDescent="0.3">
      <c r="A62">
        <v>61</v>
      </c>
      <c r="B62" t="s">
        <v>183</v>
      </c>
      <c r="C62" s="39" t="s">
        <v>339</v>
      </c>
      <c r="D62" s="39">
        <v>24</v>
      </c>
      <c r="E62" s="26"/>
      <c r="F62" s="26"/>
      <c r="G62" s="26"/>
      <c r="H62" s="46" t="str">
        <f>DEC2HEX(I62)</f>
        <v>DE</v>
      </c>
      <c r="I62" s="27">
        <v>222</v>
      </c>
      <c r="J62" s="27" t="str">
        <f>CHAR(I62)</f>
        <v>Þ</v>
      </c>
      <c r="K62" s="39">
        <v>424</v>
      </c>
      <c r="Q62" s="40" t="str">
        <f>C62&amp;IF(ISBLANK(D62),"","=")&amp;D62</f>
        <v>Min_X=24</v>
      </c>
      <c r="S62" s="39">
        <v>24</v>
      </c>
      <c r="T62" s="40" t="str">
        <f>C62&amp;IF(ISBLANK(S62),"","=")&amp;S62</f>
        <v>Min_X=24</v>
      </c>
      <c r="U62" s="39">
        <v>31</v>
      </c>
      <c r="V62" s="40" t="str">
        <f>C62&amp;IF(ISBLANK(U62),"","=")&amp;U62</f>
        <v>Min_X=31</v>
      </c>
    </row>
    <row r="63" spans="1:25" x14ac:dyDescent="0.3">
      <c r="A63">
        <v>62</v>
      </c>
      <c r="B63" t="s">
        <v>183</v>
      </c>
      <c r="C63" s="39" t="s">
        <v>340</v>
      </c>
      <c r="D63" s="39">
        <v>26</v>
      </c>
      <c r="E63" s="26"/>
      <c r="F63" s="26"/>
      <c r="G63" s="26"/>
      <c r="H63" s="46" t="str">
        <f>DEC2HEX(I63)</f>
        <v>DF</v>
      </c>
      <c r="I63" s="27">
        <v>223</v>
      </c>
      <c r="J63" s="27" t="str">
        <f>CHAR(I63)</f>
        <v>ß</v>
      </c>
      <c r="K63" s="110">
        <v>424</v>
      </c>
      <c r="Q63" s="40" t="str">
        <f>C63&amp;IF(ISBLANK(D63),"","=")&amp;D63</f>
        <v>Max_X=26</v>
      </c>
      <c r="S63" s="39">
        <v>26</v>
      </c>
      <c r="T63" s="40" t="str">
        <f>C63&amp;IF(ISBLANK(S63),"","=")&amp;S63</f>
        <v>Max_X=26</v>
      </c>
      <c r="U63" s="39">
        <v>31</v>
      </c>
      <c r="V63" s="40" t="str">
        <f>C63&amp;IF(ISBLANK(U63),"","=")&amp;U63</f>
        <v>Max_X=31</v>
      </c>
    </row>
    <row r="64" spans="1:25" x14ac:dyDescent="0.3">
      <c r="A64">
        <v>63</v>
      </c>
      <c r="B64" t="s">
        <v>183</v>
      </c>
      <c r="C64" s="39" t="s">
        <v>341</v>
      </c>
      <c r="D64" s="39">
        <v>24</v>
      </c>
      <c r="E64" s="26"/>
      <c r="F64" s="26"/>
      <c r="G64" s="26"/>
      <c r="H64" s="46" t="str">
        <f>DEC2HEX(I64)</f>
        <v>E0</v>
      </c>
      <c r="I64" s="27">
        <v>224</v>
      </c>
      <c r="J64" s="27" t="str">
        <f>CHAR(I64)</f>
        <v>à</v>
      </c>
      <c r="K64" s="110">
        <v>576</v>
      </c>
      <c r="Q64" s="40" t="str">
        <f>C64&amp;IF(ISBLANK(D64),"","=")&amp;D64</f>
        <v>Min_M3=24</v>
      </c>
      <c r="S64" s="39">
        <v>24</v>
      </c>
      <c r="T64" s="40" t="str">
        <f>C64&amp;IF(ISBLANK(S64),"","=")&amp;S64</f>
        <v>Min_M3=24</v>
      </c>
      <c r="U64" s="39">
        <v>31</v>
      </c>
      <c r="V64" s="40" t="str">
        <f>C64&amp;IF(ISBLANK(U64),"","=")&amp;U64</f>
        <v>Min_M3=31</v>
      </c>
    </row>
    <row r="65" spans="1:25" x14ac:dyDescent="0.3">
      <c r="A65">
        <v>64</v>
      </c>
      <c r="B65" t="s">
        <v>183</v>
      </c>
      <c r="C65" s="39" t="s">
        <v>342</v>
      </c>
      <c r="D65" s="39">
        <v>26</v>
      </c>
      <c r="E65" s="26"/>
      <c r="F65" s="26"/>
      <c r="G65" s="26"/>
      <c r="H65" s="46" t="str">
        <f>DEC2HEX(I65)</f>
        <v>E1</v>
      </c>
      <c r="I65" s="27">
        <v>225</v>
      </c>
      <c r="J65" s="27" t="str">
        <f>CHAR(I65)</f>
        <v>á</v>
      </c>
      <c r="K65" s="110">
        <v>576</v>
      </c>
      <c r="Q65" s="40" t="str">
        <f>C65&amp;IF(ISBLANK(D65),"","=")&amp;D65</f>
        <v>Max_M3=26</v>
      </c>
      <c r="S65" s="39">
        <v>26</v>
      </c>
      <c r="T65" s="40" t="str">
        <f>C65&amp;IF(ISBLANK(S65),"","=")&amp;S65</f>
        <v>Max_M3=26</v>
      </c>
      <c r="U65" s="39">
        <v>31</v>
      </c>
      <c r="V65" s="40" t="str">
        <f>C65&amp;IF(ISBLANK(U65),"","=")&amp;U65</f>
        <v>Max_M3=31</v>
      </c>
    </row>
    <row r="66" spans="1:25" x14ac:dyDescent="0.3">
      <c r="A66">
        <v>65</v>
      </c>
      <c r="B66" t="s">
        <v>183</v>
      </c>
      <c r="C66" s="39" t="s">
        <v>343</v>
      </c>
      <c r="D66" s="39">
        <v>24</v>
      </c>
      <c r="E66" s="26"/>
      <c r="F66" s="26"/>
      <c r="G66" s="26"/>
      <c r="H66" s="46" t="str">
        <f>DEC2HEX(I66)</f>
        <v>AF</v>
      </c>
      <c r="I66" s="27">
        <v>175</v>
      </c>
      <c r="J66" s="27" t="str">
        <f>CHAR(I66)</f>
        <v>¯</v>
      </c>
      <c r="K66" s="110">
        <v>368</v>
      </c>
      <c r="Q66" s="40" t="str">
        <f>C66&amp;IF(ISBLANK(D66),"","=")&amp;D66</f>
        <v>Min_M4=24</v>
      </c>
      <c r="S66" s="39">
        <v>24</v>
      </c>
      <c r="T66" s="40" t="str">
        <f>C66&amp;IF(ISBLANK(S66),"","=")&amp;S66</f>
        <v>Min_M4=24</v>
      </c>
      <c r="U66" s="39">
        <v>31</v>
      </c>
      <c r="V66" s="40"/>
    </row>
    <row r="67" spans="1:25" x14ac:dyDescent="0.3">
      <c r="A67">
        <v>66</v>
      </c>
      <c r="B67" t="s">
        <v>183</v>
      </c>
      <c r="C67" s="39" t="s">
        <v>344</v>
      </c>
      <c r="D67" s="39">
        <v>26</v>
      </c>
      <c r="E67" s="26"/>
      <c r="F67" s="26"/>
      <c r="G67" s="26"/>
      <c r="H67" s="46" t="str">
        <f>DEC2HEX(I67)</f>
        <v>AE</v>
      </c>
      <c r="I67" s="27">
        <v>174</v>
      </c>
      <c r="J67" s="27" t="str">
        <f>CHAR(I67)</f>
        <v>®</v>
      </c>
      <c r="K67" s="110">
        <v>368</v>
      </c>
      <c r="Q67" s="40" t="str">
        <f>C67&amp;IF(ISBLANK(D67),"","=")&amp;D67</f>
        <v>Max_M4=26</v>
      </c>
      <c r="S67" s="39">
        <v>26</v>
      </c>
      <c r="T67" s="40" t="str">
        <f>C67&amp;IF(ISBLANK(S67),"","=")&amp;S67</f>
        <v>Max_M4=26</v>
      </c>
      <c r="U67" s="39">
        <v>31</v>
      </c>
      <c r="V67" s="40"/>
    </row>
    <row r="68" spans="1:25" x14ac:dyDescent="0.3">
      <c r="A68">
        <v>67</v>
      </c>
      <c r="C68" s="39" t="s">
        <v>625</v>
      </c>
      <c r="E68" s="26"/>
      <c r="F68" s="26"/>
      <c r="G68" s="26"/>
      <c r="H68" s="96"/>
      <c r="I68" s="26"/>
      <c r="J68" s="26"/>
      <c r="K68" s="110"/>
      <c r="Q68" s="40" t="str">
        <f>C68&amp;IF(ISBLANK(D68),"","=")&amp;D68</f>
        <v>;Stop spindle when limit hit = 1.  Leave spindle running =0</v>
      </c>
      <c r="T68" s="40" t="str">
        <f>C68&amp;IF(ISBLANK(S68),"","=")&amp;S68</f>
        <v>;Stop spindle when limit hit = 1.  Leave spindle running =0</v>
      </c>
      <c r="V68" s="40"/>
    </row>
    <row r="69" spans="1:25" x14ac:dyDescent="0.3">
      <c r="A69">
        <v>68</v>
      </c>
      <c r="B69" t="s">
        <v>183</v>
      </c>
      <c r="C69" s="39" t="s">
        <v>345</v>
      </c>
      <c r="D69" s="39">
        <v>1</v>
      </c>
      <c r="E69" s="26"/>
      <c r="F69" s="26"/>
      <c r="G69" s="26"/>
      <c r="H69" s="46" t="str">
        <f>DEC2HEX(I69)</f>
        <v>56</v>
      </c>
      <c r="I69" s="27">
        <v>86</v>
      </c>
      <c r="J69" s="27" t="str">
        <f>CHAR(I69)</f>
        <v>V</v>
      </c>
      <c r="K69" s="39">
        <v>576</v>
      </c>
      <c r="Q69" s="40" t="str">
        <f>C69&amp;IF(ISBLANK(D69),"","=")&amp;D69</f>
        <v>StopSpindle=1</v>
      </c>
      <c r="S69" s="39">
        <v>1</v>
      </c>
      <c r="T69" s="40" t="str">
        <f>C69&amp;IF(ISBLANK(S69),"","=")&amp;S69</f>
        <v>StopSpindle=1</v>
      </c>
      <c r="U69" s="39">
        <v>1</v>
      </c>
      <c r="V69" s="40"/>
    </row>
    <row r="70" spans="1:25" x14ac:dyDescent="0.3">
      <c r="A70">
        <v>69</v>
      </c>
      <c r="B70" t="s">
        <v>183</v>
      </c>
      <c r="C70" s="39" t="s">
        <v>628</v>
      </c>
      <c r="D70" s="39">
        <v>28</v>
      </c>
      <c r="E70" s="26"/>
      <c r="F70" s="26"/>
      <c r="G70" s="26"/>
      <c r="H70" s="46" t="str">
        <f>DEC2HEX(I70)</f>
        <v>47</v>
      </c>
      <c r="I70" s="27">
        <v>71</v>
      </c>
      <c r="J70" s="27" t="str">
        <f>CHAR(I70)</f>
        <v>G</v>
      </c>
      <c r="K70" s="39">
        <v>576</v>
      </c>
      <c r="Q70" s="40" t="str">
        <f>C70&amp;IF(ISBLANK(D70),"","=")&amp;D70</f>
        <v>eStop=28</v>
      </c>
      <c r="S70" s="39">
        <v>28</v>
      </c>
      <c r="T70" s="40" t="str">
        <f>C70&amp;IF(ISBLANK(S70),"","=")&amp;S70</f>
        <v>eStop=28</v>
      </c>
      <c r="U70" s="39">
        <v>31</v>
      </c>
      <c r="V70" s="40" t="str">
        <f>C70&amp;IF(ISBLANK(U70),"","=")&amp;U70</f>
        <v>eStop=31</v>
      </c>
    </row>
    <row r="71" spans="1:25" x14ac:dyDescent="0.3">
      <c r="A71">
        <v>70</v>
      </c>
      <c r="C71" s="39" t="s">
        <v>496</v>
      </c>
      <c r="E71" s="26"/>
      <c r="F71" s="26"/>
      <c r="G71" s="26"/>
      <c r="H71" s="96"/>
      <c r="I71" s="26"/>
      <c r="J71" s="26"/>
      <c r="Q71" s="40" t="str">
        <f>C71&amp;IF(ISBLANK(D71),"","=")&amp;D71</f>
        <v>;Normally Closed=0, Normally Open=1</v>
      </c>
      <c r="T71" s="40" t="str">
        <f>C71&amp;IF(ISBLANK(S71),"","=")&amp;S71</f>
        <v>;Normally Closed=0, Normally Open=1</v>
      </c>
    </row>
    <row r="72" spans="1:25" x14ac:dyDescent="0.3">
      <c r="A72">
        <v>71</v>
      </c>
      <c r="B72" t="s">
        <v>183</v>
      </c>
      <c r="C72" s="39" t="s">
        <v>347</v>
      </c>
      <c r="D72" s="39">
        <v>1</v>
      </c>
      <c r="E72" s="26"/>
      <c r="F72" s="26"/>
      <c r="G72" s="26"/>
      <c r="H72" s="46" t="str">
        <f>DEC2HEX(I72)</f>
        <v>A1</v>
      </c>
      <c r="I72" s="27">
        <v>161</v>
      </c>
      <c r="J72" s="27" t="str">
        <f>CHAR(I72)</f>
        <v>¡</v>
      </c>
      <c r="K72" s="39" t="s">
        <v>563</v>
      </c>
      <c r="Q72" s="40" t="str">
        <f>C72&amp;IF(ISBLANK(D72),"","=")&amp;D72</f>
        <v>NC-NO=1</v>
      </c>
      <c r="S72" s="39">
        <v>1</v>
      </c>
      <c r="T72" s="40" t="str">
        <f>C72&amp;IF(ISBLANK(S72),"","=")&amp;S72</f>
        <v>NC-NO=1</v>
      </c>
      <c r="U72" s="39">
        <v>0</v>
      </c>
    </row>
    <row r="73" spans="1:25" x14ac:dyDescent="0.3">
      <c r="A73">
        <v>72</v>
      </c>
      <c r="C73" s="39" t="s">
        <v>229</v>
      </c>
      <c r="E73" s="26"/>
      <c r="F73" s="26"/>
      <c r="G73" s="26"/>
      <c r="H73" s="96"/>
      <c r="I73" s="26"/>
      <c r="J73" s="26"/>
      <c r="Q73" s="40" t="str">
        <f>C73&amp;IF(ISBLANK(D73),"","=")&amp;D73</f>
        <v>;</v>
      </c>
      <c r="T73" s="40" t="str">
        <f>C73&amp;IF(ISBLANK(S73),"","=")&amp;S73</f>
        <v>;</v>
      </c>
      <c r="V73" s="40" t="str">
        <f>C73&amp;IF(ISBLANK(U73),"","=")&amp;U73</f>
        <v>;</v>
      </c>
    </row>
    <row r="74" spans="1:25" x14ac:dyDescent="0.3">
      <c r="A74">
        <v>73</v>
      </c>
      <c r="B74" s="76"/>
      <c r="C74" s="77" t="s">
        <v>284</v>
      </c>
      <c r="D74" s="77"/>
      <c r="E74" s="76"/>
      <c r="F74" s="76"/>
      <c r="G74" s="76"/>
      <c r="H74" s="78"/>
      <c r="I74" s="76"/>
      <c r="J74" s="76"/>
      <c r="K74" s="77"/>
      <c r="L74" s="76"/>
      <c r="M74" s="79"/>
      <c r="N74" s="76"/>
      <c r="O74" s="76"/>
      <c r="P74" s="76"/>
      <c r="Q74" s="76" t="str">
        <f>C74&amp;IF(ISBLANK(D74),"","=")&amp;D74</f>
        <v>[Returns]</v>
      </c>
      <c r="R74" s="76"/>
      <c r="S74" s="77"/>
      <c r="T74" s="76" t="str">
        <f>C74&amp;IF(ISBLANK(S74),"","=")&amp;S74</f>
        <v>[Returns]</v>
      </c>
      <c r="U74" s="77"/>
      <c r="V74" s="40" t="str">
        <f>C74&amp;IF(ISBLANK(U74),"","=")&amp;U74</f>
        <v>[Returns]</v>
      </c>
    </row>
    <row r="75" spans="1:25" x14ac:dyDescent="0.3">
      <c r="A75">
        <v>74</v>
      </c>
      <c r="C75" s="39" t="s">
        <v>229</v>
      </c>
      <c r="E75" s="26"/>
      <c r="F75" s="26"/>
      <c r="G75" s="26"/>
      <c r="H75" s="96"/>
      <c r="I75" s="26"/>
      <c r="J75" s="26"/>
      <c r="Q75" s="40" t="str">
        <f>C75&amp;IF(ISBLANK(D75),"","=")&amp;D75</f>
        <v>;</v>
      </c>
      <c r="T75" s="40" t="str">
        <f>C75&amp;IF(ISBLANK(S75),"","=")&amp;S75</f>
        <v>;</v>
      </c>
      <c r="V75" s="40"/>
    </row>
    <row r="76" spans="1:25" s="30" customFormat="1" x14ac:dyDescent="0.3">
      <c r="A76">
        <v>75</v>
      </c>
      <c r="B76"/>
      <c r="C76" s="39" t="s">
        <v>285</v>
      </c>
      <c r="D76" s="39"/>
      <c r="E76" s="26"/>
      <c r="F76" s="26"/>
      <c r="G76" s="26"/>
      <c r="H76" s="96"/>
      <c r="I76" s="26"/>
      <c r="J76" s="26"/>
      <c r="K76" s="39"/>
      <c r="L76"/>
      <c r="M76" s="43"/>
      <c r="N76" s="51"/>
      <c r="O76" s="51"/>
      <c r="P76" s="51"/>
      <c r="Q76" s="40" t="str">
        <f>C76&amp;IF(ISBLANK(D76),"","=")&amp;D76</f>
        <v>; All speeds and accellerations are in steps per second</v>
      </c>
      <c r="R76"/>
      <c r="S76" s="39"/>
      <c r="T76" s="40" t="str">
        <f>C76&amp;IF(ISBLANK(S76),"","=")&amp;S76</f>
        <v>; All speeds and accellerations are in steps per second</v>
      </c>
      <c r="U76" s="39"/>
      <c r="V76" s="40"/>
      <c r="W76"/>
      <c r="X76"/>
      <c r="Y76"/>
    </row>
    <row r="77" spans="1:25" x14ac:dyDescent="0.3">
      <c r="A77">
        <v>76</v>
      </c>
      <c r="B77" t="s">
        <v>184</v>
      </c>
      <c r="C77" s="39" t="s">
        <v>348</v>
      </c>
      <c r="D77" s="39">
        <v>30000</v>
      </c>
      <c r="E77" s="26"/>
      <c r="F77" s="26"/>
      <c r="G77" s="26"/>
      <c r="H77" s="46" t="str">
        <f>DEC2HEX(I77)</f>
        <v>E8</v>
      </c>
      <c r="I77" s="27">
        <v>232</v>
      </c>
      <c r="J77" s="27" t="str">
        <f>CHAR(I77)</f>
        <v>è</v>
      </c>
      <c r="K77" s="39">
        <v>984</v>
      </c>
      <c r="Q77" s="40" t="str">
        <f>C77&amp;IF(ISBLANK(D77),"","=")&amp;D77</f>
        <v>MaxSpeed_Spindle=30000</v>
      </c>
      <c r="S77" s="39">
        <v>30000</v>
      </c>
      <c r="T77" s="40" t="str">
        <f>C77&amp;IF(ISBLANK(S77),"","=")&amp;S77</f>
        <v>MaxSpeed_Spindle=30000</v>
      </c>
      <c r="U77" s="39">
        <v>1000</v>
      </c>
      <c r="V77" s="40"/>
    </row>
    <row r="78" spans="1:25" x14ac:dyDescent="0.3">
      <c r="A78">
        <v>77</v>
      </c>
      <c r="B78" t="s">
        <v>184</v>
      </c>
      <c r="C78" s="39" t="s">
        <v>349</v>
      </c>
      <c r="D78" s="39">
        <v>15000</v>
      </c>
      <c r="E78" s="27"/>
      <c r="F78" s="27"/>
      <c r="G78" s="26"/>
      <c r="H78" s="46" t="str">
        <f>DEC2HEX(I78)</f>
        <v>E9</v>
      </c>
      <c r="I78" s="27">
        <v>233</v>
      </c>
      <c r="J78" s="27" t="str">
        <f>CHAR(I78)</f>
        <v>é</v>
      </c>
      <c r="K78" s="39">
        <v>988</v>
      </c>
      <c r="Q78" s="40" t="str">
        <f>C78&amp;IF(ISBLANK(D78),"","=")&amp;D78</f>
        <v>Accel_Spindle=15000</v>
      </c>
      <c r="S78" s="39">
        <v>15000</v>
      </c>
      <c r="T78" s="40" t="str">
        <f>C78&amp;IF(ISBLANK(S78),"","=")&amp;S78</f>
        <v>Accel_Spindle=15000</v>
      </c>
      <c r="U78" s="39">
        <v>1000</v>
      </c>
      <c r="V78" s="40"/>
    </row>
    <row r="79" spans="1:25" x14ac:dyDescent="0.3">
      <c r="A79">
        <v>78</v>
      </c>
      <c r="B79" t="s">
        <v>184</v>
      </c>
      <c r="C79" s="39" t="s">
        <v>350</v>
      </c>
      <c r="D79" s="39">
        <v>30000</v>
      </c>
      <c r="E79" s="26"/>
      <c r="F79" s="26"/>
      <c r="G79" s="26"/>
      <c r="H79" s="46" t="str">
        <f>DEC2HEX(I79)</f>
        <v>EA</v>
      </c>
      <c r="I79" s="27">
        <v>234</v>
      </c>
      <c r="J79" s="27" t="str">
        <f>CHAR(I79)</f>
        <v>ê</v>
      </c>
      <c r="K79" s="39">
        <v>992</v>
      </c>
      <c r="Q79" s="40" t="str">
        <f>C79&amp;IF(ISBLANK(D79),"","=")&amp;D79</f>
        <v>MaxSpeed_Axis_Z=30000</v>
      </c>
      <c r="S79" s="39">
        <v>30000</v>
      </c>
      <c r="T79" s="40" t="str">
        <f>C79&amp;IF(ISBLANK(S79),"","=")&amp;S79</f>
        <v>MaxSpeed_Axis_Z=30000</v>
      </c>
      <c r="U79" s="39">
        <v>1000</v>
      </c>
      <c r="V79" s="40"/>
    </row>
    <row r="80" spans="1:25" x14ac:dyDescent="0.3">
      <c r="A80">
        <v>79</v>
      </c>
      <c r="B80" t="s">
        <v>184</v>
      </c>
      <c r="C80" s="39" t="s">
        <v>351</v>
      </c>
      <c r="D80" s="39">
        <v>15000</v>
      </c>
      <c r="E80" s="26"/>
      <c r="F80" s="26"/>
      <c r="G80" s="26"/>
      <c r="H80" s="46" t="str">
        <f>DEC2HEX(I80)</f>
        <v>EB</v>
      </c>
      <c r="I80" s="27">
        <v>235</v>
      </c>
      <c r="J80" s="27" t="str">
        <f>CHAR(I80)</f>
        <v>ë</v>
      </c>
      <c r="K80" s="39">
        <v>996</v>
      </c>
      <c r="Q80" s="40" t="str">
        <f>C80&amp;IF(ISBLANK(D80),"","=")&amp;D80</f>
        <v>Accel_Axis_Z=15000</v>
      </c>
      <c r="S80" s="39">
        <v>15000</v>
      </c>
      <c r="T80" s="40" t="str">
        <f>C80&amp;IF(ISBLANK(S80),"","=")&amp;S80</f>
        <v>Accel_Axis_Z=15000</v>
      </c>
      <c r="U80" s="39">
        <v>1000</v>
      </c>
      <c r="V80" s="40"/>
    </row>
    <row r="81" spans="1:25" x14ac:dyDescent="0.3">
      <c r="A81">
        <v>80</v>
      </c>
      <c r="B81" t="s">
        <v>184</v>
      </c>
      <c r="C81" s="39" t="s">
        <v>352</v>
      </c>
      <c r="D81" s="39">
        <v>30000</v>
      </c>
      <c r="E81" s="26"/>
      <c r="F81" s="26"/>
      <c r="G81" s="26"/>
      <c r="H81" s="46" t="str">
        <f>DEC2HEX(I81)</f>
        <v>EA</v>
      </c>
      <c r="I81" s="27">
        <v>234</v>
      </c>
      <c r="J81" s="27" t="str">
        <f>CHAR(I81)</f>
        <v>ê</v>
      </c>
      <c r="K81" s="39">
        <v>1008</v>
      </c>
      <c r="Q81" s="40" t="str">
        <f>C81&amp;IF(ISBLANK(D81),"","=")&amp;D81</f>
        <v>MaxSpeed_Axis_X=30000</v>
      </c>
      <c r="S81" s="39">
        <v>30000</v>
      </c>
      <c r="T81" s="40" t="str">
        <f>C81&amp;IF(ISBLANK(S81),"","=")&amp;S81</f>
        <v>MaxSpeed_Axis_X=30000</v>
      </c>
      <c r="U81" s="39">
        <v>1000</v>
      </c>
      <c r="V81" s="40"/>
    </row>
    <row r="82" spans="1:25" x14ac:dyDescent="0.3">
      <c r="A82">
        <v>81</v>
      </c>
      <c r="B82" t="s">
        <v>184</v>
      </c>
      <c r="C82" s="39" t="s">
        <v>353</v>
      </c>
      <c r="D82" s="39">
        <v>15000</v>
      </c>
      <c r="E82" s="26"/>
      <c r="F82" s="26"/>
      <c r="G82" s="26"/>
      <c r="H82" s="46" t="str">
        <f>DEC2HEX(I82)</f>
        <v>EB</v>
      </c>
      <c r="I82" s="27">
        <v>235</v>
      </c>
      <c r="J82" s="27" t="str">
        <f>CHAR(I82)</f>
        <v>ë</v>
      </c>
      <c r="K82" s="39">
        <v>1004</v>
      </c>
      <c r="Q82" s="40" t="str">
        <f>C82&amp;IF(ISBLANK(D82),"","=")&amp;D82</f>
        <v>Accel_Axis_X=15000</v>
      </c>
      <c r="S82" s="39">
        <v>15000</v>
      </c>
      <c r="T82" s="40" t="str">
        <f>C82&amp;IF(ISBLANK(S82),"","=")&amp;S82</f>
        <v>Accel_Axis_X=15000</v>
      </c>
      <c r="U82" s="39">
        <v>1000</v>
      </c>
      <c r="V82" s="40"/>
    </row>
    <row r="83" spans="1:25" x14ac:dyDescent="0.3">
      <c r="A83">
        <v>82</v>
      </c>
      <c r="B83" t="s">
        <v>184</v>
      </c>
      <c r="C83" s="39" t="s">
        <v>354</v>
      </c>
      <c r="D83" s="39">
        <v>30000</v>
      </c>
      <c r="E83" s="26"/>
      <c r="F83" s="26"/>
      <c r="G83" s="26"/>
      <c r="H83" s="46" t="str">
        <f>DEC2HEX(I83)</f>
        <v>EA</v>
      </c>
      <c r="I83" s="27">
        <v>234</v>
      </c>
      <c r="J83" s="27" t="str">
        <f>CHAR(I83)</f>
        <v>ê</v>
      </c>
      <c r="K83" s="39">
        <v>1008</v>
      </c>
      <c r="Q83" s="40" t="str">
        <f>C83&amp;IF(ISBLANK(D83),"","=")&amp;D83</f>
        <v>MaxSpeed_Axis_M3=30000</v>
      </c>
      <c r="S83" s="39">
        <v>30000</v>
      </c>
      <c r="T83" s="40" t="str">
        <f>C83&amp;IF(ISBLANK(S83),"","=")&amp;S83</f>
        <v>MaxSpeed_Axis_M3=30000</v>
      </c>
      <c r="U83" s="39">
        <v>1000</v>
      </c>
      <c r="V83" s="40"/>
    </row>
    <row r="84" spans="1:25" x14ac:dyDescent="0.3">
      <c r="A84">
        <v>83</v>
      </c>
      <c r="B84" t="s">
        <v>184</v>
      </c>
      <c r="C84" s="39" t="s">
        <v>355</v>
      </c>
      <c r="D84" s="39">
        <v>15000</v>
      </c>
      <c r="E84" s="26"/>
      <c r="F84" s="26"/>
      <c r="G84" s="26"/>
      <c r="H84" s="46" t="str">
        <f>DEC2HEX(I84)</f>
        <v>EB</v>
      </c>
      <c r="I84" s="27">
        <v>235</v>
      </c>
      <c r="J84" s="27" t="str">
        <f>CHAR(I84)</f>
        <v>ë</v>
      </c>
      <c r="K84" s="39">
        <v>1012</v>
      </c>
      <c r="Q84" s="40" t="str">
        <f>C84&amp;IF(ISBLANK(D84),"","=")&amp;D84</f>
        <v>Accel_Axis_M3=15000</v>
      </c>
      <c r="S84" s="39">
        <v>15000</v>
      </c>
      <c r="T84" s="40" t="str">
        <f>C84&amp;IF(ISBLANK(S84),"","=")&amp;S84</f>
        <v>Accel_Axis_M3=15000</v>
      </c>
      <c r="U84" s="39">
        <v>1000</v>
      </c>
      <c r="V84" s="40"/>
    </row>
    <row r="85" spans="1:25" s="76" customFormat="1" x14ac:dyDescent="0.3">
      <c r="A85">
        <v>84</v>
      </c>
      <c r="B85" t="s">
        <v>184</v>
      </c>
      <c r="C85" s="39" t="s">
        <v>356</v>
      </c>
      <c r="D85" s="39">
        <v>30000</v>
      </c>
      <c r="E85" s="26"/>
      <c r="F85" s="26"/>
      <c r="G85" s="26"/>
      <c r="H85" s="46" t="str">
        <f>DEC2HEX(I85)</f>
        <v>EA</v>
      </c>
      <c r="I85" s="27">
        <v>234</v>
      </c>
      <c r="J85" s="27" t="str">
        <f>CHAR(I85)</f>
        <v>ê</v>
      </c>
      <c r="K85" s="39">
        <v>1016</v>
      </c>
      <c r="L85"/>
      <c r="M85" s="43"/>
      <c r="N85" s="51"/>
      <c r="O85" s="51"/>
      <c r="P85" s="51"/>
      <c r="Q85" s="40" t="str">
        <f>C85&amp;IF(ISBLANK(D85),"","=")&amp;D85</f>
        <v>MaxSpeed_Axis_M4=30000</v>
      </c>
      <c r="R85"/>
      <c r="S85" s="39">
        <v>30000</v>
      </c>
      <c r="T85" s="40" t="str">
        <f>C85&amp;IF(ISBLANK(S85),"","=")&amp;S85</f>
        <v>MaxSpeed_Axis_M4=30000</v>
      </c>
      <c r="U85" s="39">
        <v>1000</v>
      </c>
      <c r="V85" s="40"/>
      <c r="W85"/>
      <c r="X85"/>
      <c r="Y85"/>
    </row>
    <row r="86" spans="1:25" s="76" customFormat="1" x14ac:dyDescent="0.3">
      <c r="A86">
        <v>85</v>
      </c>
      <c r="B86" t="s">
        <v>184</v>
      </c>
      <c r="C86" s="39" t="s">
        <v>357</v>
      </c>
      <c r="D86" s="39">
        <v>15000</v>
      </c>
      <c r="E86" s="26"/>
      <c r="F86" s="26"/>
      <c r="G86" s="26"/>
      <c r="H86" s="46" t="str">
        <f>DEC2HEX(I86)</f>
        <v>EB</v>
      </c>
      <c r="I86" s="27">
        <v>235</v>
      </c>
      <c r="J86" s="27" t="str">
        <f>CHAR(I86)</f>
        <v>ë</v>
      </c>
      <c r="K86" s="39">
        <v>1020</v>
      </c>
      <c r="L86"/>
      <c r="M86" s="43"/>
      <c r="N86" s="51"/>
      <c r="O86" s="51"/>
      <c r="P86" s="51"/>
      <c r="Q86" s="40" t="str">
        <f>C86&amp;IF(ISBLANK(D86),"","=")&amp;D86</f>
        <v>Accel_Axis_M4=15000</v>
      </c>
      <c r="R86"/>
      <c r="S86" s="39">
        <v>15000</v>
      </c>
      <c r="T86" s="40" t="str">
        <f>C86&amp;IF(ISBLANK(S86),"","=")&amp;S86</f>
        <v>Accel_Axis_M4=15000</v>
      </c>
      <c r="U86" s="39">
        <v>1000</v>
      </c>
      <c r="V86" s="40"/>
      <c r="W86"/>
      <c r="X86"/>
      <c r="Y86"/>
    </row>
    <row r="87" spans="1:25" s="76" customFormat="1" x14ac:dyDescent="0.3">
      <c r="A87">
        <v>86</v>
      </c>
      <c r="B87"/>
      <c r="C87" s="39" t="s">
        <v>229</v>
      </c>
      <c r="D87" s="39"/>
      <c r="E87" s="26"/>
      <c r="F87" s="26"/>
      <c r="G87" s="26"/>
      <c r="H87" s="96"/>
      <c r="I87" s="26"/>
      <c r="J87" s="26"/>
      <c r="K87" s="39"/>
      <c r="L87"/>
      <c r="M87" s="43"/>
      <c r="N87" s="51"/>
      <c r="O87" s="51"/>
      <c r="P87" s="51"/>
      <c r="Q87" s="40" t="str">
        <f>C87&amp;IF(ISBLANK(D87),"","=")&amp;D87</f>
        <v>;</v>
      </c>
      <c r="R87"/>
      <c r="S87" s="39"/>
      <c r="T87" s="40" t="str">
        <f>C87&amp;IF(ISBLANK(S87),"","=")&amp;S87</f>
        <v>;</v>
      </c>
      <c r="U87" s="39"/>
      <c r="V87" s="40"/>
      <c r="W87"/>
      <c r="X87"/>
      <c r="Y87"/>
    </row>
    <row r="88" spans="1:25" s="29" customFormat="1" x14ac:dyDescent="0.3">
      <c r="A88">
        <v>87</v>
      </c>
      <c r="B88" s="76"/>
      <c r="C88" s="77" t="s">
        <v>286</v>
      </c>
      <c r="D88" s="77"/>
      <c r="E88" s="76"/>
      <c r="F88" s="76"/>
      <c r="G88" s="76"/>
      <c r="H88" s="78"/>
      <c r="I88" s="76"/>
      <c r="J88" s="76"/>
      <c r="K88" s="77"/>
      <c r="L88" s="76"/>
      <c r="M88" s="79"/>
      <c r="N88" s="76"/>
      <c r="O88" s="76"/>
      <c r="P88" s="76"/>
      <c r="Q88" s="76" t="str">
        <f>C88&amp;IF(ISBLANK(D88),"","=")&amp;D88</f>
        <v>[Main]</v>
      </c>
      <c r="R88" s="76"/>
      <c r="S88" s="77"/>
      <c r="T88" s="76" t="str">
        <f>C88&amp;IF(ISBLANK(S88),"","=")&amp;S88</f>
        <v>[Main]</v>
      </c>
      <c r="U88" s="77"/>
      <c r="V88" s="40"/>
      <c r="W88"/>
      <c r="X88"/>
      <c r="Y88"/>
    </row>
    <row r="89" spans="1:25" s="29" customFormat="1" x14ac:dyDescent="0.3">
      <c r="A89">
        <v>88</v>
      </c>
      <c r="B89"/>
      <c r="C89" s="39" t="s">
        <v>229</v>
      </c>
      <c r="D89" s="39"/>
      <c r="E89" s="26"/>
      <c r="F89" s="26"/>
      <c r="G89" s="26"/>
      <c r="H89" s="96"/>
      <c r="I89" s="26"/>
      <c r="J89" s="26"/>
      <c r="K89" s="39"/>
      <c r="L89"/>
      <c r="M89" s="43"/>
      <c r="N89" s="51"/>
      <c r="O89" s="51"/>
      <c r="P89" s="51"/>
      <c r="Q89" s="40" t="str">
        <f>C89&amp;IF(ISBLANK(D89),"","=")&amp;D89</f>
        <v>;</v>
      </c>
      <c r="R89"/>
      <c r="S89" s="39"/>
      <c r="T89" s="40" t="str">
        <f>C89&amp;IF(ISBLANK(S89),"","=")&amp;S89</f>
        <v>;</v>
      </c>
      <c r="U89" s="39"/>
      <c r="V89" s="40"/>
      <c r="W89"/>
      <c r="X89"/>
      <c r="Y89"/>
    </row>
    <row r="90" spans="1:25" s="29" customFormat="1" x14ac:dyDescent="0.3">
      <c r="A90">
        <v>89</v>
      </c>
      <c r="B90"/>
      <c r="C90" s="39" t="s">
        <v>638</v>
      </c>
      <c r="D90" s="39"/>
      <c r="E90" s="26"/>
      <c r="F90" s="26"/>
      <c r="G90" s="26"/>
      <c r="H90" s="96"/>
      <c r="I90" s="26"/>
      <c r="J90" s="26"/>
      <c r="K90" s="39"/>
      <c r="L90"/>
      <c r="M90" s="43"/>
      <c r="N90" s="51"/>
      <c r="O90" s="51"/>
      <c r="P90" s="51"/>
      <c r="Q90" s="40" t="str">
        <f>C90&amp;IF(ISBLANK(D90),"","=")&amp;D90</f>
        <v xml:space="preserve">; Settings shared between </v>
      </c>
      <c r="R90"/>
      <c r="S90" s="39"/>
      <c r="T90" s="40" t="str">
        <f>C90&amp;IF(ISBLANK(S90),"","=")&amp;S90</f>
        <v xml:space="preserve">; Settings shared between </v>
      </c>
      <c r="U90" s="39"/>
      <c r="V90"/>
      <c r="W90"/>
      <c r="X90"/>
      <c r="Y90"/>
    </row>
    <row r="91" spans="1:25" s="29" customFormat="1" x14ac:dyDescent="0.3">
      <c r="A91">
        <v>90</v>
      </c>
      <c r="B91"/>
      <c r="C91" s="39" t="s">
        <v>639</v>
      </c>
      <c r="D91" s="39"/>
      <c r="E91" s="26"/>
      <c r="F91" s="26"/>
      <c r="G91" s="26"/>
      <c r="H91" s="96"/>
      <c r="I91" s="26"/>
      <c r="J91" s="26"/>
      <c r="K91" s="39"/>
      <c r="L91"/>
      <c r="M91" s="43"/>
      <c r="N91" s="51"/>
      <c r="O91" s="51"/>
      <c r="P91" s="51"/>
      <c r="Q91" s="40" t="str">
        <f>C91&amp;IF(ISBLANK(D91),"","=")&amp;D91</f>
        <v>; Main,Sync, Recip, Rose, Greek Key, and Program pages</v>
      </c>
      <c r="R91"/>
      <c r="S91" s="39"/>
      <c r="T91" s="40" t="str">
        <f>C91&amp;IF(ISBLANK(S91),"","=")&amp;S91</f>
        <v>; Main,Sync, Recip, Rose, Greek Key, and Program pages</v>
      </c>
      <c r="U91" s="39"/>
      <c r="V91"/>
      <c r="W91"/>
      <c r="X91"/>
      <c r="Y91"/>
    </row>
    <row r="92" spans="1:25" x14ac:dyDescent="0.3">
      <c r="A92">
        <v>91</v>
      </c>
      <c r="C92" s="39" t="s">
        <v>493</v>
      </c>
      <c r="E92" s="26"/>
      <c r="F92" s="26"/>
      <c r="G92" s="26"/>
      <c r="H92" s="46"/>
      <c r="I92" s="26"/>
      <c r="J92" s="27"/>
      <c r="Q92" s="40" t="str">
        <f>C92&amp;IF(ISBLANK(D92),"","=")&amp;D92</f>
        <v>;Synchronize M3 and Spindle</v>
      </c>
      <c r="T92" s="40" t="str">
        <f>C92&amp;IF(ISBLANK(S92),"","=")&amp;S92</f>
        <v>;Synchronize M3 and Spindle</v>
      </c>
    </row>
    <row r="93" spans="1:25" s="29" customFormat="1" x14ac:dyDescent="0.3">
      <c r="A93">
        <v>92</v>
      </c>
      <c r="B93" t="s">
        <v>5</v>
      </c>
      <c r="C93" s="39" t="s">
        <v>497</v>
      </c>
      <c r="D93" s="39">
        <v>0</v>
      </c>
      <c r="E93" s="27">
        <v>4</v>
      </c>
      <c r="F93" s="27">
        <v>7</v>
      </c>
      <c r="G93" s="26"/>
      <c r="H93" s="46" t="str">
        <f>DEC2HEX(I93)</f>
        <v>B2</v>
      </c>
      <c r="I93" s="27">
        <v>178</v>
      </c>
      <c r="J93" s="27" t="str">
        <f>CHAR(I93)</f>
        <v>²</v>
      </c>
      <c r="K93" s="39"/>
      <c r="L93">
        <f>IF(ISBLANK(D93),IF(E93&gt;0,F93-E93+1,0),0)</f>
        <v>0</v>
      </c>
      <c r="M93" s="43">
        <f>IF(ISBLANK(D93),0,IF(G93=0,F93-E93+1,0))</f>
        <v>4</v>
      </c>
      <c r="N93" s="51"/>
      <c r="O93" s="51"/>
      <c r="P93" s="51"/>
      <c r="Q93" s="40" t="str">
        <f>C93&amp;IF(ISBLANK(D93),"","=")&amp;D93</f>
        <v>Synchro_M3_and_Spindle=0</v>
      </c>
      <c r="R93"/>
      <c r="S93" s="39">
        <v>0</v>
      </c>
      <c r="T93" s="40" t="str">
        <f>C93&amp;IF(ISBLANK(S93),"","=")&amp;S93</f>
        <v>Synchro_M3_and_Spindle=0</v>
      </c>
      <c r="U93" s="39">
        <v>1</v>
      </c>
      <c r="V93" s="40" t="str">
        <f>C93&amp;IF(ISBLANK(U93),"","=")&amp;U93</f>
        <v>Synchro_M3_and_Spindle=1</v>
      </c>
      <c r="W93"/>
      <c r="X93"/>
      <c r="Y93" s="30"/>
    </row>
    <row r="94" spans="1:25" x14ac:dyDescent="0.3">
      <c r="A94">
        <v>93</v>
      </c>
      <c r="B94" t="s">
        <v>5</v>
      </c>
      <c r="C94" s="39" t="s">
        <v>498</v>
      </c>
      <c r="D94" s="39">
        <v>100</v>
      </c>
      <c r="E94" s="26">
        <v>24</v>
      </c>
      <c r="F94" s="26">
        <v>31</v>
      </c>
      <c r="G94" s="26"/>
      <c r="H94" s="46" t="str">
        <f>DEC2HEX(I94)</f>
        <v>B3</v>
      </c>
      <c r="I94" s="27">
        <v>179</v>
      </c>
      <c r="J94" s="27" t="str">
        <f>CHAR(I94)</f>
        <v>³</v>
      </c>
      <c r="L94">
        <f>IF(ISBLANK(D94),IF(E94&gt;0,F94-E94+1,0),0)</f>
        <v>0</v>
      </c>
      <c r="M94" s="43">
        <f>IF(ISBLANK(D94),0,IF(G94=0,F94-E94+1,0))</f>
        <v>8</v>
      </c>
      <c r="Q94" s="40" t="str">
        <f>C94&amp;IF(ISBLANK(D94),"","=")&amp;D94</f>
        <v>Synchro_Percentage=100</v>
      </c>
      <c r="S94" s="39">
        <v>100</v>
      </c>
      <c r="T94" s="40" t="str">
        <f>C94&amp;IF(ISBLANK(S94),"","=")&amp;S94</f>
        <v>Synchro_Percentage=100</v>
      </c>
      <c r="U94" s="39">
        <v>11</v>
      </c>
      <c r="V94" s="40" t="str">
        <f>C94&amp;IF(ISBLANK(U94),"","=")&amp;U94</f>
        <v>Synchro_Percentage=11</v>
      </c>
    </row>
    <row r="95" spans="1:25" s="29" customFormat="1" x14ac:dyDescent="0.3">
      <c r="A95">
        <v>94</v>
      </c>
      <c r="B95"/>
      <c r="C95" s="39" t="s">
        <v>630</v>
      </c>
      <c r="D95" s="39"/>
      <c r="E95" s="26"/>
      <c r="F95" s="26"/>
      <c r="G95" s="26"/>
      <c r="H95" s="96"/>
      <c r="I95" s="26"/>
      <c r="J95" s="26"/>
      <c r="K95" s="39"/>
      <c r="L95"/>
      <c r="M95" s="43"/>
      <c r="N95" s="51"/>
      <c r="O95" s="51"/>
      <c r="P95" s="51"/>
      <c r="Q95" s="40" t="str">
        <f>C95&amp;IF(ISBLANK(D95),"","=")&amp;D95</f>
        <v>;Axis Ids: Spindle=0, Z=1, X=2, M3=3, M4=4</v>
      </c>
      <c r="R95"/>
      <c r="S95" s="39"/>
      <c r="T95" s="40" t="str">
        <f>C95&amp;IF(ISBLANK(S95),"","=")&amp;S95</f>
        <v>;Axis Ids: Spindle=0, Z=1, X=2, M3=3, M4=4</v>
      </c>
      <c r="U95" s="39"/>
      <c r="V95" s="40" t="str">
        <f>C95&amp;IF(ISBLANK(U95),"","=")&amp;U95</f>
        <v>;Axis Ids: Spindle=0, Z=1, X=2, M3=3, M4=4</v>
      </c>
      <c r="W95"/>
      <c r="X95"/>
      <c r="Y95"/>
    </row>
    <row r="96" spans="1:25" s="29" customFormat="1" x14ac:dyDescent="0.3">
      <c r="A96">
        <v>95</v>
      </c>
      <c r="B96" t="s">
        <v>5</v>
      </c>
      <c r="C96" s="39" t="s">
        <v>260</v>
      </c>
      <c r="D96" s="39">
        <v>1</v>
      </c>
      <c r="E96" s="26">
        <v>8</v>
      </c>
      <c r="F96" s="26">
        <v>11</v>
      </c>
      <c r="G96" s="26"/>
      <c r="H96" s="46" t="str">
        <f>DEC2HEX(I96)</f>
        <v>42</v>
      </c>
      <c r="I96" s="27">
        <v>66</v>
      </c>
      <c r="J96" s="27" t="str">
        <f>CHAR(I96)</f>
        <v>B</v>
      </c>
      <c r="K96" s="39"/>
      <c r="L96">
        <f>IF(ISBLANK(D96),IF(E96&gt;0,F96-E96+1,0),0)</f>
        <v>0</v>
      </c>
      <c r="M96" s="43">
        <f>IF(ISBLANK(D96),0,IF(G96=0,F96-E96+1,0))</f>
        <v>4</v>
      </c>
      <c r="N96" s="51"/>
      <c r="O96" s="51"/>
      <c r="P96" s="51"/>
      <c r="Q96" s="40" t="str">
        <f>C96&amp;IF(ISBLANK(D96),"","=")&amp;D96</f>
        <v>AxisId=1</v>
      </c>
      <c r="R96"/>
      <c r="S96" s="39">
        <v>2</v>
      </c>
      <c r="T96" s="40" t="str">
        <f>C96&amp;IF(ISBLANK(S96),"","=")&amp;S96</f>
        <v>AxisId=2</v>
      </c>
      <c r="U96" s="39">
        <v>3</v>
      </c>
      <c r="V96" s="40" t="str">
        <f>C96&amp;IF(ISBLANK(U96),"","=")&amp;U96</f>
        <v>AxisId=3</v>
      </c>
      <c r="W96"/>
      <c r="X96"/>
      <c r="Y96" s="30"/>
    </row>
    <row r="97" spans="1:25" s="29" customFormat="1" x14ac:dyDescent="0.3">
      <c r="A97">
        <v>96</v>
      </c>
      <c r="B97" s="30"/>
      <c r="C97" s="45" t="s">
        <v>288</v>
      </c>
      <c r="D97" s="45"/>
      <c r="E97" s="30"/>
      <c r="F97" s="30"/>
      <c r="G97" s="30"/>
      <c r="H97" s="92"/>
      <c r="I97" s="30"/>
      <c r="J97" s="30"/>
      <c r="K97" s="45"/>
      <c r="L97" s="30"/>
      <c r="M97" s="72"/>
      <c r="N97" s="30"/>
      <c r="O97" s="30"/>
      <c r="P97" s="30"/>
      <c r="Q97" s="30" t="str">
        <f>C97&amp;IF(ISBLANK(D97),"","=")&amp;D97</f>
        <v>;Spindle</v>
      </c>
      <c r="R97" s="30"/>
      <c r="S97" s="45"/>
      <c r="T97" s="30" t="str">
        <f>C97&amp;IF(ISBLANK(S97),"","=")&amp;S97</f>
        <v>;Spindle</v>
      </c>
      <c r="U97" s="45"/>
      <c r="V97" s="30"/>
      <c r="W97" s="30"/>
      <c r="X97" s="30"/>
      <c r="Y97"/>
    </row>
    <row r="98" spans="1:25" s="29" customFormat="1" x14ac:dyDescent="0.3">
      <c r="A98">
        <v>97</v>
      </c>
      <c r="B98" t="s">
        <v>5</v>
      </c>
      <c r="C98" s="39" t="s">
        <v>348</v>
      </c>
      <c r="D98" s="39">
        <v>15000</v>
      </c>
      <c r="E98" s="26"/>
      <c r="F98" s="26"/>
      <c r="G98" s="26"/>
      <c r="H98" s="46" t="str">
        <f>DEC2HEX(I98)</f>
        <v>3A</v>
      </c>
      <c r="I98" s="27">
        <v>58</v>
      </c>
      <c r="J98" s="27" t="str">
        <f>CHAR(I98)</f>
        <v>:</v>
      </c>
      <c r="K98" s="39"/>
      <c r="L98"/>
      <c r="M98" s="43"/>
      <c r="N98" s="51"/>
      <c r="O98" s="51"/>
      <c r="P98" s="51"/>
      <c r="Q98" s="40" t="str">
        <f>C98&amp;IF(ISBLANK(D98),"","=")&amp;D98</f>
        <v>MaxSpeed_Spindle=15000</v>
      </c>
      <c r="R98"/>
      <c r="S98" s="39">
        <v>30000</v>
      </c>
      <c r="T98" s="40" t="str">
        <f>C98&amp;IF(ISBLANK(S98),"","=")&amp;S98</f>
        <v>MaxSpeed_Spindle=30000</v>
      </c>
      <c r="U98" s="39">
        <v>1000</v>
      </c>
      <c r="V98" s="40" t="str">
        <f>C98&amp;IF(ISBLANK(U98),"","=")&amp;U98</f>
        <v>MaxSpeed_Spindle=1000</v>
      </c>
      <c r="W98"/>
      <c r="X98"/>
      <c r="Y98"/>
    </row>
    <row r="99" spans="1:25" s="29" customFormat="1" x14ac:dyDescent="0.3">
      <c r="A99">
        <v>98</v>
      </c>
      <c r="B99" t="s">
        <v>5</v>
      </c>
      <c r="C99" s="39" t="s">
        <v>349</v>
      </c>
      <c r="D99" s="39">
        <v>15001</v>
      </c>
      <c r="E99" s="26"/>
      <c r="F99" s="26"/>
      <c r="G99" s="26"/>
      <c r="H99" s="46" t="str">
        <f>DEC2HEX(I99)</f>
        <v>3B</v>
      </c>
      <c r="I99" s="27">
        <v>59</v>
      </c>
      <c r="J99" s="27" t="str">
        <f>CHAR(I99)</f>
        <v>;</v>
      </c>
      <c r="K99" s="39"/>
      <c r="L99"/>
      <c r="M99" s="43"/>
      <c r="N99" s="51"/>
      <c r="O99" s="51"/>
      <c r="P99" s="51"/>
      <c r="Q99" s="40" t="str">
        <f>C99&amp;IF(ISBLANK(D99),"","=")&amp;D99</f>
        <v>Accel_Spindle=15001</v>
      </c>
      <c r="R99"/>
      <c r="S99" s="39">
        <v>15000</v>
      </c>
      <c r="T99" s="40" t="str">
        <f>C99&amp;IF(ISBLANK(S99),"","=")&amp;S99</f>
        <v>Accel_Spindle=15000</v>
      </c>
      <c r="U99" s="39">
        <v>1000</v>
      </c>
      <c r="V99" s="40" t="str">
        <f>C99&amp;IF(ISBLANK(U99),"","=")&amp;U99</f>
        <v>Accel_Spindle=1000</v>
      </c>
      <c r="W99"/>
      <c r="X99"/>
      <c r="Y99"/>
    </row>
    <row r="100" spans="1:25" s="29" customFormat="1" x14ac:dyDescent="0.3">
      <c r="A100">
        <v>99</v>
      </c>
      <c r="B100" t="s">
        <v>5</v>
      </c>
      <c r="C100" s="39" t="s">
        <v>358</v>
      </c>
      <c r="D100" s="39">
        <v>51</v>
      </c>
      <c r="E100" s="26"/>
      <c r="F100" s="26"/>
      <c r="G100" s="26"/>
      <c r="H100" s="46" t="str">
        <f>DEC2HEX(I100)</f>
        <v>6E</v>
      </c>
      <c r="I100" s="27">
        <v>110</v>
      </c>
      <c r="J100" s="27" t="str">
        <f>CHAR(I100)</f>
        <v>n</v>
      </c>
      <c r="K100" s="39"/>
      <c r="L100"/>
      <c r="M100" s="43"/>
      <c r="N100" s="51"/>
      <c r="O100" s="51"/>
      <c r="P100" s="51"/>
      <c r="Q100" s="40" t="str">
        <f>C100&amp;IF(ISBLANK(D100),"","=")&amp;D100</f>
        <v>SpeedPercentage_Spindle=51</v>
      </c>
      <c r="R100"/>
      <c r="S100" s="39">
        <v>100</v>
      </c>
      <c r="T100" s="40" t="str">
        <f>C100&amp;IF(ISBLANK(S100),"","=")&amp;S100</f>
        <v>SpeedPercentage_Spindle=100</v>
      </c>
      <c r="U100" s="39">
        <v>11</v>
      </c>
      <c r="V100" s="40" t="str">
        <f>C100&amp;IF(ISBLANK(U100),"","=")&amp;U100</f>
        <v>SpeedPercentage_Spindle=11</v>
      </c>
      <c r="W100"/>
      <c r="X100"/>
      <c r="Y100" s="30"/>
    </row>
    <row r="101" spans="1:25" s="29" customFormat="1" x14ac:dyDescent="0.3">
      <c r="A101">
        <v>100</v>
      </c>
      <c r="B101" s="30"/>
      <c r="C101" s="45" t="s">
        <v>278</v>
      </c>
      <c r="D101" s="45"/>
      <c r="E101" s="30"/>
      <c r="F101" s="30"/>
      <c r="G101" s="30"/>
      <c r="H101" s="92"/>
      <c r="I101" s="30"/>
      <c r="J101" s="30"/>
      <c r="K101" s="45"/>
      <c r="L101" s="30"/>
      <c r="M101" s="72"/>
      <c r="N101" s="30"/>
      <c r="O101" s="30"/>
      <c r="P101" s="30"/>
      <c r="Q101" s="30" t="str">
        <f>C101&amp;IF(ISBLANK(D101),"","=")&amp;D101</f>
        <v>;Z Axis</v>
      </c>
      <c r="R101" s="30"/>
      <c r="S101" s="45"/>
      <c r="T101" s="30" t="str">
        <f>C101&amp;IF(ISBLANK(S101),"","=")&amp;S101</f>
        <v>;Z Axis</v>
      </c>
      <c r="U101" s="45"/>
      <c r="V101" s="30" t="str">
        <f>C101&amp;IF(ISBLANK(U101),"","=")&amp;U101</f>
        <v>;Z Axis</v>
      </c>
      <c r="W101" s="30"/>
      <c r="X101" s="30"/>
      <c r="Y101"/>
    </row>
    <row r="102" spans="1:25" s="29" customFormat="1" x14ac:dyDescent="0.3">
      <c r="A102">
        <v>101</v>
      </c>
      <c r="B102" t="s">
        <v>5</v>
      </c>
      <c r="C102" s="39" t="s">
        <v>359</v>
      </c>
      <c r="D102" s="39">
        <v>4001</v>
      </c>
      <c r="E102" s="26"/>
      <c r="F102" s="26"/>
      <c r="G102" s="26"/>
      <c r="H102" s="46" t="str">
        <f>DEC2HEX(I102)</f>
        <v>B9</v>
      </c>
      <c r="I102" s="27">
        <v>185</v>
      </c>
      <c r="J102" s="27" t="str">
        <f>CHAR(I102)</f>
        <v>¹</v>
      </c>
      <c r="K102" s="39"/>
      <c r="L102"/>
      <c r="M102" s="43"/>
      <c r="N102" s="51"/>
      <c r="O102" s="51"/>
      <c r="P102" s="51"/>
      <c r="Q102" s="40" t="str">
        <f>C102&amp;IF(ISBLANK(D102),"","=")&amp;D102</f>
        <v>MaxSpeed_Z=4001</v>
      </c>
      <c r="R102"/>
      <c r="S102" s="39">
        <v>30000</v>
      </c>
      <c r="T102" s="40" t="str">
        <f>C102&amp;IF(ISBLANK(S102),"","=")&amp;S102</f>
        <v>MaxSpeed_Z=30000</v>
      </c>
      <c r="U102" s="39">
        <v>1000</v>
      </c>
      <c r="V102" s="40" t="str">
        <f>C102&amp;IF(ISBLANK(U102),"","=")&amp;U102</f>
        <v>MaxSpeed_Z=1000</v>
      </c>
      <c r="W102"/>
      <c r="X102"/>
      <c r="Y102"/>
    </row>
    <row r="103" spans="1:25" s="29" customFormat="1" x14ac:dyDescent="0.3">
      <c r="A103">
        <v>102</v>
      </c>
      <c r="B103" t="s">
        <v>5</v>
      </c>
      <c r="C103" s="39" t="s">
        <v>360</v>
      </c>
      <c r="D103" s="39">
        <v>5002</v>
      </c>
      <c r="E103" s="26"/>
      <c r="F103" s="26"/>
      <c r="G103" s="26"/>
      <c r="H103" s="46" t="str">
        <f>DEC2HEX(I103)</f>
        <v>BA</v>
      </c>
      <c r="I103" s="27">
        <v>186</v>
      </c>
      <c r="J103" s="27" t="str">
        <f>CHAR(I103)</f>
        <v>º</v>
      </c>
      <c r="K103" s="39"/>
      <c r="L103"/>
      <c r="M103" s="43"/>
      <c r="N103" s="51"/>
      <c r="O103" s="51"/>
      <c r="P103" s="51"/>
      <c r="Q103" s="40" t="str">
        <f>C103&amp;IF(ISBLANK(D103),"","=")&amp;D103</f>
        <v>Accel_Z=5002</v>
      </c>
      <c r="R103"/>
      <c r="S103" s="39">
        <v>15000</v>
      </c>
      <c r="T103" s="40" t="str">
        <f>C103&amp;IF(ISBLANK(S103),"","=")&amp;S103</f>
        <v>Accel_Z=15000</v>
      </c>
      <c r="U103" s="39">
        <v>1000</v>
      </c>
      <c r="V103" s="40" t="str">
        <f>C103&amp;IF(ISBLANK(U103),"","=")&amp;U103</f>
        <v>Accel_Z=1000</v>
      </c>
      <c r="W103"/>
      <c r="X103"/>
      <c r="Y103"/>
    </row>
    <row r="104" spans="1:25" s="29" customFormat="1" x14ac:dyDescent="0.3">
      <c r="A104">
        <v>103</v>
      </c>
      <c r="B104" t="s">
        <v>5</v>
      </c>
      <c r="C104" s="39" t="s">
        <v>361</v>
      </c>
      <c r="D104" s="39">
        <v>53</v>
      </c>
      <c r="E104" s="26"/>
      <c r="F104" s="26"/>
      <c r="G104" s="26"/>
      <c r="H104" s="46" t="str">
        <f>DEC2HEX(I104)</f>
        <v>6F</v>
      </c>
      <c r="I104" s="26">
        <v>111</v>
      </c>
      <c r="J104" s="27" t="str">
        <f>CHAR(I104)</f>
        <v>o</v>
      </c>
      <c r="K104" s="39"/>
      <c r="L104"/>
      <c r="M104" s="43"/>
      <c r="N104" s="51"/>
      <c r="O104" s="51"/>
      <c r="P104" s="51"/>
      <c r="Q104" s="40" t="str">
        <f>C104&amp;IF(ISBLANK(D104),"","=")&amp;D104</f>
        <v>SpeedPercentage_Z=53</v>
      </c>
      <c r="R104"/>
      <c r="S104" s="39">
        <v>100</v>
      </c>
      <c r="T104" s="40" t="str">
        <f>C104&amp;IF(ISBLANK(S104),"","=")&amp;S104</f>
        <v>SpeedPercentage_Z=100</v>
      </c>
      <c r="U104" s="39">
        <v>11</v>
      </c>
      <c r="V104" s="40" t="str">
        <f>C104&amp;IF(ISBLANK(U104),"","=")&amp;U104</f>
        <v>SpeedPercentage_Z=11</v>
      </c>
      <c r="W104"/>
      <c r="X104"/>
      <c r="Y104" s="30"/>
    </row>
    <row r="105" spans="1:25" s="29" customFormat="1" x14ac:dyDescent="0.3">
      <c r="A105">
        <v>104</v>
      </c>
      <c r="B105" s="30"/>
      <c r="C105" s="45" t="s">
        <v>279</v>
      </c>
      <c r="D105" s="45"/>
      <c r="E105" s="30"/>
      <c r="F105" s="30"/>
      <c r="G105" s="30"/>
      <c r="H105" s="92"/>
      <c r="I105" s="30"/>
      <c r="J105" s="30"/>
      <c r="K105" s="45"/>
      <c r="L105" s="30"/>
      <c r="M105" s="72"/>
      <c r="N105" s="30"/>
      <c r="O105" s="30"/>
      <c r="P105" s="30"/>
      <c r="Q105" s="30" t="str">
        <f>C105&amp;IF(ISBLANK(D105),"","=")&amp;D105</f>
        <v>;X Axis</v>
      </c>
      <c r="R105" s="30"/>
      <c r="S105" s="45"/>
      <c r="T105" s="30" t="str">
        <f>C105&amp;IF(ISBLANK(S105),"","=")&amp;S105</f>
        <v>;X Axis</v>
      </c>
      <c r="U105" s="45"/>
      <c r="V105" s="30"/>
      <c r="W105" s="30"/>
      <c r="X105" s="30"/>
      <c r="Y105"/>
    </row>
    <row r="106" spans="1:25" x14ac:dyDescent="0.3">
      <c r="A106">
        <v>105</v>
      </c>
      <c r="B106" t="s">
        <v>5</v>
      </c>
      <c r="C106" s="39" t="s">
        <v>362</v>
      </c>
      <c r="D106" s="39">
        <v>4000</v>
      </c>
      <c r="E106" s="26"/>
      <c r="F106" s="26"/>
      <c r="G106" s="26"/>
      <c r="H106" s="46" t="str">
        <f>DEC2HEX(I106)</f>
        <v>B9</v>
      </c>
      <c r="I106" s="27">
        <v>185</v>
      </c>
      <c r="J106" s="27" t="str">
        <f>CHAR(I106)</f>
        <v>¹</v>
      </c>
      <c r="Q106" s="40" t="str">
        <f>C106&amp;IF(ISBLANK(D106),"","=")&amp;D106</f>
        <v>MaxSpeed_X=4000</v>
      </c>
      <c r="S106" s="39">
        <v>30000</v>
      </c>
      <c r="T106" s="40" t="str">
        <f>C106&amp;IF(ISBLANK(S106),"","=")&amp;S106</f>
        <v>MaxSpeed_X=30000</v>
      </c>
      <c r="U106" s="39">
        <v>1000</v>
      </c>
    </row>
    <row r="107" spans="1:25" s="29" customFormat="1" x14ac:dyDescent="0.3">
      <c r="A107">
        <v>106</v>
      </c>
      <c r="B107" t="s">
        <v>5</v>
      </c>
      <c r="C107" s="39" t="s">
        <v>363</v>
      </c>
      <c r="D107" s="39">
        <v>5005</v>
      </c>
      <c r="E107" s="26"/>
      <c r="F107" s="26"/>
      <c r="G107" s="26"/>
      <c r="H107" s="46" t="str">
        <f>DEC2HEX(I107)</f>
        <v>BA</v>
      </c>
      <c r="I107" s="27">
        <v>186</v>
      </c>
      <c r="J107" s="27" t="str">
        <f>CHAR(I107)</f>
        <v>º</v>
      </c>
      <c r="K107" s="39"/>
      <c r="L107"/>
      <c r="M107" s="43"/>
      <c r="N107" s="51"/>
      <c r="O107" s="51"/>
      <c r="P107" s="51"/>
      <c r="Q107" s="40" t="str">
        <f>C107&amp;IF(ISBLANK(D107),"","=")&amp;D107</f>
        <v>Accel_X=5005</v>
      </c>
      <c r="R107"/>
      <c r="S107" s="39">
        <v>15000</v>
      </c>
      <c r="T107" s="40" t="str">
        <f>C107&amp;IF(ISBLANK(S107),"","=")&amp;S107</f>
        <v>Accel_X=15000</v>
      </c>
      <c r="U107" s="39">
        <v>1000</v>
      </c>
      <c r="V107"/>
      <c r="W107"/>
      <c r="X107"/>
      <c r="Y107"/>
    </row>
    <row r="108" spans="1:25" s="29" customFormat="1" x14ac:dyDescent="0.3">
      <c r="A108">
        <v>107</v>
      </c>
      <c r="B108" t="s">
        <v>5</v>
      </c>
      <c r="C108" s="39" t="s">
        <v>364</v>
      </c>
      <c r="D108" s="39">
        <v>54</v>
      </c>
      <c r="E108" s="26"/>
      <c r="F108" s="26"/>
      <c r="G108" s="26"/>
      <c r="H108" s="46" t="str">
        <f>DEC2HEX(I108)</f>
        <v>6F</v>
      </c>
      <c r="I108" s="26">
        <v>111</v>
      </c>
      <c r="J108" s="27" t="str">
        <f>CHAR(I108)</f>
        <v>o</v>
      </c>
      <c r="K108" s="39"/>
      <c r="L108"/>
      <c r="M108" s="43"/>
      <c r="N108" s="51"/>
      <c r="O108" s="51"/>
      <c r="P108" s="51"/>
      <c r="Q108" s="40" t="str">
        <f>C108&amp;IF(ISBLANK(D108),"","=")&amp;D108</f>
        <v>SpeedPercentage_X=54</v>
      </c>
      <c r="R108"/>
      <c r="S108" s="39">
        <v>100</v>
      </c>
      <c r="T108" s="40" t="str">
        <f>C108&amp;IF(ISBLANK(S108),"","=")&amp;S108</f>
        <v>SpeedPercentage_X=100</v>
      </c>
      <c r="U108" s="39">
        <v>11</v>
      </c>
      <c r="V108"/>
      <c r="W108"/>
      <c r="X108"/>
      <c r="Y108" s="30"/>
    </row>
    <row r="109" spans="1:25" x14ac:dyDescent="0.3">
      <c r="A109">
        <v>108</v>
      </c>
      <c r="B109" s="30"/>
      <c r="C109" s="45" t="s">
        <v>281</v>
      </c>
      <c r="D109" s="45"/>
      <c r="E109" s="30"/>
      <c r="F109" s="30"/>
      <c r="G109" s="30"/>
      <c r="H109" s="92"/>
      <c r="I109" s="30"/>
      <c r="J109" s="30"/>
      <c r="K109" s="45"/>
      <c r="L109" s="30"/>
      <c r="M109" s="72"/>
      <c r="N109" s="30"/>
      <c r="O109" s="30"/>
      <c r="P109" s="30"/>
      <c r="Q109" s="30" t="str">
        <f>C109&amp;IF(ISBLANK(D109),"","=")&amp;D109</f>
        <v>;M3 Axis</v>
      </c>
      <c r="R109" s="30"/>
      <c r="S109" s="45"/>
      <c r="T109" s="30" t="str">
        <f>C109&amp;IF(ISBLANK(S109),"","=")&amp;S109</f>
        <v>;M3 Axis</v>
      </c>
      <c r="U109" s="45"/>
      <c r="V109" s="30"/>
      <c r="W109" s="30"/>
      <c r="X109" s="30"/>
    </row>
    <row r="110" spans="1:25" x14ac:dyDescent="0.3">
      <c r="A110">
        <v>109</v>
      </c>
      <c r="B110" t="s">
        <v>5</v>
      </c>
      <c r="C110" s="39" t="s">
        <v>365</v>
      </c>
      <c r="D110" s="39">
        <v>5007</v>
      </c>
      <c r="E110" s="26"/>
      <c r="F110" s="26"/>
      <c r="G110" s="26"/>
      <c r="H110" s="46" t="str">
        <f>DEC2HEX(I110)</f>
        <v>B9</v>
      </c>
      <c r="I110" s="27">
        <v>185</v>
      </c>
      <c r="J110" s="27" t="str">
        <f>CHAR(I110)</f>
        <v>¹</v>
      </c>
      <c r="Q110" s="40" t="str">
        <f>C110&amp;IF(ISBLANK(D110),"","=")&amp;D110</f>
        <v>MaxSpeed_M3 =5007</v>
      </c>
      <c r="S110" s="39">
        <v>30000</v>
      </c>
      <c r="T110" s="40" t="str">
        <f>C110&amp;IF(ISBLANK(S110),"","=")&amp;S110</f>
        <v>MaxSpeed_M3 =30000</v>
      </c>
      <c r="U110" s="39">
        <v>10001</v>
      </c>
    </row>
    <row r="111" spans="1:25" x14ac:dyDescent="0.3">
      <c r="A111">
        <v>110</v>
      </c>
      <c r="B111" t="s">
        <v>5</v>
      </c>
      <c r="C111" s="39" t="s">
        <v>366</v>
      </c>
      <c r="D111" s="39">
        <v>5008</v>
      </c>
      <c r="E111" s="26"/>
      <c r="F111" s="26"/>
      <c r="G111" s="26"/>
      <c r="H111" s="46" t="str">
        <f>DEC2HEX(I111)</f>
        <v>BA</v>
      </c>
      <c r="I111" s="27">
        <v>186</v>
      </c>
      <c r="J111" s="27" t="str">
        <f>CHAR(I111)</f>
        <v>º</v>
      </c>
      <c r="Q111" s="40" t="str">
        <f>C111&amp;IF(ISBLANK(D111),"","=")&amp;D111</f>
        <v>Accel_M3 =5008</v>
      </c>
      <c r="R111" s="110"/>
      <c r="S111" s="39">
        <v>15000</v>
      </c>
      <c r="T111" s="40" t="str">
        <f>C111&amp;IF(ISBLANK(S111),"","=")&amp;S111</f>
        <v>Accel_M3 =15000</v>
      </c>
      <c r="U111" s="39">
        <v>1000</v>
      </c>
    </row>
    <row r="112" spans="1:25" x14ac:dyDescent="0.3">
      <c r="A112">
        <v>111</v>
      </c>
      <c r="B112" t="s">
        <v>5</v>
      </c>
      <c r="C112" s="39" t="s">
        <v>367</v>
      </c>
      <c r="D112" s="39">
        <v>59</v>
      </c>
      <c r="E112" s="26"/>
      <c r="F112" s="26"/>
      <c r="G112" s="26"/>
      <c r="H112" s="46" t="str">
        <f>DEC2HEX(I112)</f>
        <v>6F</v>
      </c>
      <c r="I112" s="26">
        <v>111</v>
      </c>
      <c r="J112" s="27" t="str">
        <f>CHAR(I112)</f>
        <v>o</v>
      </c>
      <c r="Q112" s="40" t="str">
        <f>C112&amp;IF(ISBLANK(D112),"","=")&amp;D112</f>
        <v>SpeedPercentage_M3 =59</v>
      </c>
      <c r="S112" s="39">
        <v>100</v>
      </c>
      <c r="T112" s="40" t="str">
        <f>C112&amp;IF(ISBLANK(S112),"","=")&amp;S112</f>
        <v>SpeedPercentage_M3 =100</v>
      </c>
      <c r="U112" s="39">
        <v>10</v>
      </c>
    </row>
    <row r="113" spans="1:25" x14ac:dyDescent="0.3">
      <c r="A113">
        <v>112</v>
      </c>
      <c r="B113" s="30"/>
      <c r="C113" s="45" t="s">
        <v>282</v>
      </c>
      <c r="D113" s="45"/>
      <c r="E113" s="30"/>
      <c r="F113" s="30"/>
      <c r="G113" s="30"/>
      <c r="H113" s="92"/>
      <c r="I113" s="30"/>
      <c r="J113" s="30"/>
      <c r="K113" s="45"/>
      <c r="L113" s="30"/>
      <c r="M113" s="72"/>
      <c r="N113" s="30"/>
      <c r="O113" s="30"/>
      <c r="P113" s="30"/>
      <c r="Q113" s="30" t="str">
        <f>C113&amp;IF(ISBLANK(D113),"","=")&amp;D113</f>
        <v>;M4 Axis</v>
      </c>
      <c r="R113" s="30"/>
      <c r="S113" s="45"/>
      <c r="T113" s="30" t="str">
        <f>C113&amp;IF(ISBLANK(S113),"","=")&amp;S113</f>
        <v>;M4 Axis</v>
      </c>
      <c r="U113" s="45"/>
      <c r="V113" s="30"/>
      <c r="W113" s="30"/>
      <c r="X113" s="30"/>
    </row>
    <row r="114" spans="1:25" x14ac:dyDescent="0.3">
      <c r="A114">
        <v>113</v>
      </c>
      <c r="B114" t="s">
        <v>5</v>
      </c>
      <c r="C114" s="39" t="s">
        <v>368</v>
      </c>
      <c r="D114" s="39">
        <v>5007</v>
      </c>
      <c r="E114" s="26"/>
      <c r="F114" s="26"/>
      <c r="G114" s="26"/>
      <c r="H114" s="46" t="str">
        <f>DEC2HEX(I114)</f>
        <v>B9</v>
      </c>
      <c r="I114" s="27">
        <v>185</v>
      </c>
      <c r="J114" s="27" t="str">
        <f>CHAR(I114)</f>
        <v>¹</v>
      </c>
      <c r="Q114" s="40" t="str">
        <f>C114&amp;IF(ISBLANK(D114),"","=")&amp;D114</f>
        <v>MaxSpeed_M4 =5007</v>
      </c>
      <c r="S114" s="39">
        <v>30000</v>
      </c>
      <c r="T114" s="40" t="str">
        <f>C114&amp;IF(ISBLANK(S114),"","=")&amp;S114</f>
        <v>MaxSpeed_M4 =30000</v>
      </c>
      <c r="U114" s="39">
        <v>1000</v>
      </c>
    </row>
    <row r="115" spans="1:25" x14ac:dyDescent="0.3">
      <c r="A115">
        <v>114</v>
      </c>
      <c r="B115" t="s">
        <v>5</v>
      </c>
      <c r="C115" s="39" t="s">
        <v>369</v>
      </c>
      <c r="D115" s="39">
        <v>5008</v>
      </c>
      <c r="E115" s="26"/>
      <c r="F115" s="26"/>
      <c r="G115" s="26"/>
      <c r="H115" s="46" t="str">
        <f>DEC2HEX(I115)</f>
        <v>BA</v>
      </c>
      <c r="I115" s="27">
        <v>186</v>
      </c>
      <c r="J115" s="27" t="str">
        <f>CHAR(I115)</f>
        <v>º</v>
      </c>
      <c r="Q115" s="40" t="str">
        <f>C115&amp;IF(ISBLANK(D115),"","=")&amp;D115</f>
        <v>Accel_M4 =5008</v>
      </c>
      <c r="S115" s="39">
        <v>15000</v>
      </c>
      <c r="T115" s="40" t="str">
        <f>C115&amp;IF(ISBLANK(S115),"","=")&amp;S115</f>
        <v>Accel_M4 =15000</v>
      </c>
      <c r="U115" s="39">
        <v>1000</v>
      </c>
    </row>
    <row r="116" spans="1:25" x14ac:dyDescent="0.3">
      <c r="A116">
        <v>115</v>
      </c>
      <c r="B116" t="s">
        <v>5</v>
      </c>
      <c r="C116" s="39" t="s">
        <v>370</v>
      </c>
      <c r="D116" s="39">
        <v>60</v>
      </c>
      <c r="E116" s="26"/>
      <c r="F116" s="26"/>
      <c r="G116" s="26"/>
      <c r="H116" s="46" t="str">
        <f>DEC2HEX(I116)</f>
        <v>6F</v>
      </c>
      <c r="I116" s="26">
        <v>111</v>
      </c>
      <c r="J116" s="27" t="str">
        <f>CHAR(I116)</f>
        <v>o</v>
      </c>
      <c r="Q116" s="40" t="str">
        <f>C116&amp;IF(ISBLANK(D116),"","=")&amp;D116</f>
        <v>SpeedPercentage_M4 =60</v>
      </c>
      <c r="S116" s="39">
        <v>100</v>
      </c>
      <c r="T116" s="40" t="str">
        <f>C116&amp;IF(ISBLANK(S116),"","=")&amp;S116</f>
        <v>SpeedPercentage_M4 =100</v>
      </c>
      <c r="U116" s="39">
        <v>11</v>
      </c>
      <c r="Y116" s="30"/>
    </row>
    <row r="117" spans="1:25" x14ac:dyDescent="0.3">
      <c r="A117">
        <v>116</v>
      </c>
      <c r="C117" s="39" t="s">
        <v>229</v>
      </c>
      <c r="E117" s="26"/>
      <c r="F117" s="26"/>
      <c r="G117" s="26"/>
      <c r="H117" s="96"/>
      <c r="I117" s="26"/>
      <c r="J117" s="26"/>
      <c r="Q117" s="40" t="str">
        <f>C117&amp;IF(ISBLANK(D117),"","=")&amp;D117</f>
        <v>;</v>
      </c>
      <c r="T117" s="40" t="str">
        <f>C117&amp;IF(ISBLANK(S117),"","=")&amp;S117</f>
        <v>;</v>
      </c>
    </row>
    <row r="118" spans="1:25" x14ac:dyDescent="0.3">
      <c r="A118">
        <v>117</v>
      </c>
      <c r="B118" s="76"/>
      <c r="C118" s="77" t="s">
        <v>629</v>
      </c>
      <c r="D118" s="77"/>
      <c r="E118" s="76"/>
      <c r="F118" s="76"/>
      <c r="G118" s="76"/>
      <c r="H118" s="78"/>
      <c r="I118" s="76"/>
      <c r="J118" s="76"/>
      <c r="K118" s="77"/>
      <c r="L118" s="76"/>
      <c r="M118" s="79"/>
      <c r="N118" s="76"/>
      <c r="O118" s="76"/>
      <c r="P118" s="76"/>
      <c r="Q118" s="76" t="str">
        <f>C118&amp;IF(ISBLANK(D118),"","=")&amp;D118</f>
        <v>[Multi]</v>
      </c>
      <c r="R118" s="76"/>
      <c r="S118" s="77"/>
      <c r="T118" s="76" t="str">
        <f>C118&amp;IF(ISBLANK(S118),"","=")&amp;S118</f>
        <v>[Multi]</v>
      </c>
      <c r="U118" s="77"/>
    </row>
    <row r="119" spans="1:25" x14ac:dyDescent="0.3">
      <c r="A119">
        <v>118</v>
      </c>
      <c r="C119" s="39" t="s">
        <v>229</v>
      </c>
      <c r="E119" s="26"/>
      <c r="F119" s="26"/>
      <c r="G119" s="26"/>
      <c r="H119" s="96"/>
      <c r="I119" s="26"/>
      <c r="J119" s="26"/>
      <c r="Q119" s="40" t="str">
        <f>C119&amp;IF(ISBLANK(D119),"","=")&amp;D119</f>
        <v>;</v>
      </c>
      <c r="T119" s="40" t="str">
        <f>C119&amp;IF(ISBLANK(S119),"","=")&amp;S119</f>
        <v>;</v>
      </c>
    </row>
    <row r="120" spans="1:25" s="30" customFormat="1" x14ac:dyDescent="0.3">
      <c r="A120">
        <v>119</v>
      </c>
      <c r="B120" t="s">
        <v>236</v>
      </c>
      <c r="C120" s="39" t="s">
        <v>260</v>
      </c>
      <c r="D120" s="39">
        <v>1</v>
      </c>
      <c r="E120" s="26">
        <v>420</v>
      </c>
      <c r="F120" s="26">
        <v>423</v>
      </c>
      <c r="G120" s="26"/>
      <c r="H120" s="46" t="str">
        <f>DEC2HEX(I120)</f>
        <v>42</v>
      </c>
      <c r="I120" s="27">
        <v>66</v>
      </c>
      <c r="J120" s="27" t="str">
        <f>CHAR(I120)</f>
        <v>B</v>
      </c>
      <c r="K120" s="39"/>
      <c r="L120">
        <f>IF(ISBLANK(D120),IF(E120&gt;0,F120-E120+1,0),0)</f>
        <v>0</v>
      </c>
      <c r="M120" s="43">
        <f>IF(ISBLANK(D120),0,IF(G120=0,F120-E120+1,0))</f>
        <v>4</v>
      </c>
      <c r="N120" s="51"/>
      <c r="O120" s="51"/>
      <c r="P120" s="51"/>
      <c r="Q120" s="40" t="str">
        <f>C120&amp;IF(ISBLANK(D120),"","=")&amp;D120</f>
        <v>AxisId=1</v>
      </c>
      <c r="R120"/>
      <c r="S120" s="39"/>
      <c r="T120" s="40"/>
      <c r="U120" s="39"/>
      <c r="V120" s="40"/>
      <c r="W120"/>
      <c r="X120"/>
    </row>
    <row r="121" spans="1:25" x14ac:dyDescent="0.3">
      <c r="A121">
        <v>120</v>
      </c>
      <c r="C121" s="39" t="s">
        <v>446</v>
      </c>
      <c r="E121" s="26"/>
      <c r="F121" s="26"/>
      <c r="G121" s="26"/>
      <c r="H121" s="46"/>
      <c r="I121" s="27"/>
      <c r="J121" s="27"/>
      <c r="Q121" s="40" t="str">
        <f>C121&amp;IF(ISBLANK(D121),"","=")&amp;D121</f>
        <v>; MultiAxesRun and Direction values are ANDed together.</v>
      </c>
      <c r="T121" s="40" t="str">
        <f>C121&amp;IF(ISBLANK(S121),"","=")&amp;S121</f>
        <v>; MultiAxesRun and Direction values are ANDed together.</v>
      </c>
    </row>
    <row r="122" spans="1:25" x14ac:dyDescent="0.3">
      <c r="A122">
        <v>121</v>
      </c>
      <c r="B122" t="s">
        <v>236</v>
      </c>
      <c r="C122" s="39" t="s">
        <v>480</v>
      </c>
      <c r="D122" s="39">
        <v>0</v>
      </c>
      <c r="E122" s="26"/>
      <c r="F122" s="26"/>
      <c r="G122" s="26"/>
      <c r="H122" s="46" t="str">
        <f>DEC2HEX(I122)</f>
        <v>C8</v>
      </c>
      <c r="I122" s="27">
        <v>200</v>
      </c>
      <c r="J122" s="27" t="str">
        <f>CHAR(I122)</f>
        <v>È</v>
      </c>
      <c r="Q122" s="40" t="str">
        <f>C122&amp;IF(ISBLANK(D122),"","=")&amp;D122</f>
        <v>MultiAxesIDs=0</v>
      </c>
      <c r="S122" s="39">
        <v>0</v>
      </c>
      <c r="T122" s="40" t="str">
        <f>C122&amp;IF(ISBLANK(S122),"","=")&amp;S122</f>
        <v>MultiAxesIDs=0</v>
      </c>
      <c r="U122" s="39">
        <v>2</v>
      </c>
    </row>
    <row r="123" spans="1:25" s="30" customFormat="1" x14ac:dyDescent="0.3">
      <c r="A123">
        <v>122</v>
      </c>
      <c r="C123" s="45" t="s">
        <v>288</v>
      </c>
      <c r="D123" s="45"/>
      <c r="H123" s="92"/>
      <c r="K123" s="45"/>
      <c r="M123" s="72"/>
      <c r="Q123" s="30" t="str">
        <f>C123&amp;IF(ISBLANK(D123),"","=")&amp;D123</f>
        <v>;Spindle</v>
      </c>
      <c r="S123" s="45"/>
      <c r="T123" s="30" t="str">
        <f>C123&amp;IF(ISBLANK(S123),"","=")&amp;S123</f>
        <v>;Spindle</v>
      </c>
      <c r="U123" s="45"/>
      <c r="Y123"/>
    </row>
    <row r="124" spans="1:25" x14ac:dyDescent="0.3">
      <c r="A124">
        <v>123</v>
      </c>
      <c r="B124" t="s">
        <v>236</v>
      </c>
      <c r="C124" s="39" t="s">
        <v>348</v>
      </c>
      <c r="D124" s="39">
        <v>25060</v>
      </c>
      <c r="E124" s="26"/>
      <c r="F124" s="26"/>
      <c r="G124" s="26"/>
      <c r="H124" s="46" t="str">
        <f>DEC2HEX(I124)</f>
        <v>3A</v>
      </c>
      <c r="I124" s="27">
        <v>58</v>
      </c>
      <c r="J124" s="27" t="str">
        <f>CHAR(I124)</f>
        <v>:</v>
      </c>
      <c r="Q124" s="40" t="str">
        <f>C124&amp;IF(ISBLANK(D124),"","=")&amp;D124</f>
        <v>MaxSpeed_Spindle=25060</v>
      </c>
      <c r="S124" s="39">
        <v>30000</v>
      </c>
      <c r="T124" s="40" t="str">
        <f>C124&amp;IF(ISBLANK(S124),"","=")&amp;S124</f>
        <v>MaxSpeed_Spindle=30000</v>
      </c>
      <c r="U124" s="39">
        <v>1000</v>
      </c>
      <c r="Y124" s="30"/>
    </row>
    <row r="125" spans="1:25" x14ac:dyDescent="0.3">
      <c r="A125">
        <v>124</v>
      </c>
      <c r="B125" t="s">
        <v>236</v>
      </c>
      <c r="C125" s="39" t="s">
        <v>349</v>
      </c>
      <c r="D125" s="39">
        <v>20061</v>
      </c>
      <c r="E125" s="26"/>
      <c r="F125" s="26"/>
      <c r="G125" s="26"/>
      <c r="H125" s="46" t="str">
        <f>DEC2HEX(I125)</f>
        <v>3B</v>
      </c>
      <c r="I125" s="27">
        <v>59</v>
      </c>
      <c r="J125" s="27" t="str">
        <f>CHAR(I125)</f>
        <v>;</v>
      </c>
      <c r="Q125" s="40" t="str">
        <f>C125&amp;IF(ISBLANK(D125),"","=")&amp;D125</f>
        <v>Accel_Spindle=20061</v>
      </c>
      <c r="S125" s="39">
        <v>15000</v>
      </c>
      <c r="T125" s="40" t="str">
        <f>C125&amp;IF(ISBLANK(S125),"","=")&amp;S125</f>
        <v>Accel_Spindle=15000</v>
      </c>
      <c r="U125" s="39">
        <v>1000</v>
      </c>
    </row>
    <row r="126" spans="1:25" x14ac:dyDescent="0.3">
      <c r="A126">
        <v>125</v>
      </c>
      <c r="B126" t="s">
        <v>236</v>
      </c>
      <c r="C126" s="39" t="s">
        <v>358</v>
      </c>
      <c r="D126" s="39">
        <v>61</v>
      </c>
      <c r="E126" s="26"/>
      <c r="F126" s="26"/>
      <c r="G126" s="26"/>
      <c r="H126" s="46" t="str">
        <f>DEC2HEX(I126)</f>
        <v>6E</v>
      </c>
      <c r="I126" s="27">
        <v>110</v>
      </c>
      <c r="J126" s="27" t="str">
        <f>CHAR(I126)</f>
        <v>n</v>
      </c>
      <c r="Q126" s="40" t="str">
        <f>C126&amp;IF(ISBLANK(D126),"","=")&amp;D126</f>
        <v>SpeedPercentage_Spindle=61</v>
      </c>
      <c r="S126" s="39">
        <v>100</v>
      </c>
      <c r="T126" s="40" t="str">
        <f>C126&amp;IF(ISBLANK(S126),"","=")&amp;S126</f>
        <v>SpeedPercentage_Spindle=100</v>
      </c>
      <c r="U126" s="39">
        <v>11</v>
      </c>
    </row>
    <row r="127" spans="1:25" x14ac:dyDescent="0.3">
      <c r="A127">
        <v>126</v>
      </c>
      <c r="B127" t="s">
        <v>236</v>
      </c>
      <c r="C127" s="39" t="s">
        <v>437</v>
      </c>
      <c r="D127" s="39">
        <v>270</v>
      </c>
      <c r="E127" s="48"/>
      <c r="F127" s="48"/>
      <c r="G127" s="26"/>
      <c r="H127" s="46" t="str">
        <f>DEC2HEX(I127)</f>
        <v>7E</v>
      </c>
      <c r="I127" s="27">
        <v>126</v>
      </c>
      <c r="J127" s="27" t="str">
        <f>CHAR(I127)</f>
        <v>~</v>
      </c>
      <c r="Q127" s="40" t="str">
        <f>C127&amp;IF(ISBLANK(D127),"","=")&amp;D127</f>
        <v>TargetDistance_Spindle=270</v>
      </c>
      <c r="S127" s="39">
        <v>360</v>
      </c>
      <c r="T127" s="40" t="str">
        <f>C127&amp;IF(ISBLANK(S127),"","=")&amp;S127</f>
        <v>TargetDistance_Spindle=360</v>
      </c>
      <c r="U127" s="39">
        <v>11</v>
      </c>
      <c r="V127" s="40" t="str">
        <f>C127&amp;IF(ISBLANK(U127),"","=")&amp;U127</f>
        <v>TargetDistance_Spindle=11</v>
      </c>
    </row>
    <row r="128" spans="1:25" x14ac:dyDescent="0.3">
      <c r="A128">
        <v>127</v>
      </c>
      <c r="C128" s="39" t="s">
        <v>635</v>
      </c>
      <c r="E128" s="48"/>
      <c r="F128" s="48"/>
      <c r="G128" s="26"/>
      <c r="H128" s="46"/>
      <c r="I128" s="27"/>
      <c r="J128" s="27"/>
      <c r="Q128" s="40" t="str">
        <f>C128&amp;IF(ISBLANK(D128),"","=")&amp;D128</f>
        <v>; CW = 0, CCW = 1</v>
      </c>
      <c r="T128" s="40" t="str">
        <f>C128&amp;IF(ISBLANK(S128),"","=")&amp;S128</f>
        <v>; CW = 0, CCW = 1</v>
      </c>
      <c r="V128" s="40" t="str">
        <f>C128&amp;IF(ISBLANK(U128),"","=")&amp;U128</f>
        <v>; CW = 0, CCW = 1</v>
      </c>
      <c r="Y128" s="30"/>
    </row>
    <row r="129" spans="1:25" x14ac:dyDescent="0.3">
      <c r="A129">
        <v>128</v>
      </c>
      <c r="B129" t="s">
        <v>236</v>
      </c>
      <c r="C129" s="39" t="s">
        <v>545</v>
      </c>
      <c r="D129" s="39">
        <v>1</v>
      </c>
      <c r="E129" s="26"/>
      <c r="F129" s="26"/>
      <c r="G129" s="26"/>
      <c r="H129" s="46" t="str">
        <f>DEC2HEX(I129)</f>
        <v>C2</v>
      </c>
      <c r="I129" s="27">
        <v>194</v>
      </c>
      <c r="J129" s="27" t="str">
        <f>CHAR(I129)</f>
        <v>Â</v>
      </c>
      <c r="Q129" s="40" t="str">
        <f>C129&amp;IF(ISBLANK(D129),"","=")&amp;D129</f>
        <v>Direction_Spindle=1</v>
      </c>
      <c r="S129" s="39">
        <v>2</v>
      </c>
      <c r="T129" s="40" t="str">
        <f>C129&amp;IF(ISBLANK(S129),"","=")&amp;S129</f>
        <v>Direction_Spindle=2</v>
      </c>
      <c r="U129" s="39">
        <v>3</v>
      </c>
      <c r="V129" s="40" t="str">
        <f>C129&amp;IF(ISBLANK(U129),"","=")&amp;U129</f>
        <v>Direction_Spindle=3</v>
      </c>
    </row>
    <row r="130" spans="1:25" x14ac:dyDescent="0.3">
      <c r="A130">
        <v>129</v>
      </c>
      <c r="B130" s="30"/>
      <c r="C130" s="45" t="s">
        <v>278</v>
      </c>
      <c r="D130" s="45"/>
      <c r="E130" s="30"/>
      <c r="F130" s="30"/>
      <c r="G130" s="30"/>
      <c r="H130" s="92"/>
      <c r="I130" s="30"/>
      <c r="J130" s="30"/>
      <c r="K130" s="45"/>
      <c r="L130" s="30"/>
      <c r="M130" s="72"/>
      <c r="N130" s="30"/>
      <c r="O130" s="30"/>
      <c r="P130" s="30"/>
      <c r="Q130" s="30" t="str">
        <f>C130&amp;IF(ISBLANK(D130),"","=")&amp;D130</f>
        <v>;Z Axis</v>
      </c>
      <c r="R130" s="30"/>
      <c r="S130" s="45"/>
      <c r="T130" s="30" t="str">
        <f>C130&amp;IF(ISBLANK(S130),"","=")&amp;S130</f>
        <v>;Z Axis</v>
      </c>
      <c r="U130" s="45"/>
      <c r="V130" s="30" t="str">
        <f>C130&amp;IF(ISBLANK(U130),"","=")&amp;U130</f>
        <v>;Z Axis</v>
      </c>
      <c r="W130" s="30"/>
      <c r="X130" s="30"/>
    </row>
    <row r="131" spans="1:25" s="30" customFormat="1" x14ac:dyDescent="0.3">
      <c r="A131">
        <v>130</v>
      </c>
      <c r="B131" t="s">
        <v>236</v>
      </c>
      <c r="C131" s="39" t="s">
        <v>359</v>
      </c>
      <c r="D131" s="39">
        <v>5062</v>
      </c>
      <c r="E131" s="26"/>
      <c r="F131" s="26"/>
      <c r="G131" s="26"/>
      <c r="H131" s="46" t="str">
        <f>DEC2HEX(I131)</f>
        <v>B9</v>
      </c>
      <c r="I131" s="27">
        <v>185</v>
      </c>
      <c r="J131" s="27" t="str">
        <f>CHAR(I131)</f>
        <v>¹</v>
      </c>
      <c r="K131" s="39"/>
      <c r="L131"/>
      <c r="M131" s="43"/>
      <c r="N131" s="51"/>
      <c r="O131" s="51"/>
      <c r="P131" s="51"/>
      <c r="Q131" s="40" t="str">
        <f>C131&amp;IF(ISBLANK(D131),"","=")&amp;D131</f>
        <v>MaxSpeed_Z=5062</v>
      </c>
      <c r="R131"/>
      <c r="S131" s="39">
        <v>30000</v>
      </c>
      <c r="T131" s="40" t="str">
        <f>C131&amp;IF(ISBLANK(S131),"","=")&amp;S131</f>
        <v>MaxSpeed_Z=30000</v>
      </c>
      <c r="U131" s="39">
        <v>1000</v>
      </c>
      <c r="V131" s="40" t="str">
        <f>C131&amp;IF(ISBLANK(U131),"","=")&amp;U131</f>
        <v>MaxSpeed_Z=1000</v>
      </c>
      <c r="W131"/>
      <c r="X131"/>
      <c r="Y131"/>
    </row>
    <row r="132" spans="1:25" x14ac:dyDescent="0.3">
      <c r="A132">
        <v>131</v>
      </c>
      <c r="B132" t="s">
        <v>236</v>
      </c>
      <c r="C132" s="39" t="s">
        <v>360</v>
      </c>
      <c r="D132" s="39">
        <v>5063</v>
      </c>
      <c r="E132" s="26"/>
      <c r="F132" s="26"/>
      <c r="G132" s="26"/>
      <c r="H132" s="46" t="str">
        <f>DEC2HEX(I132)</f>
        <v>BA</v>
      </c>
      <c r="I132" s="27">
        <v>186</v>
      </c>
      <c r="J132" s="27" t="str">
        <f>CHAR(I132)</f>
        <v>º</v>
      </c>
      <c r="Q132" s="40" t="str">
        <f>C132&amp;IF(ISBLANK(D132),"","=")&amp;D132</f>
        <v>Accel_Z=5063</v>
      </c>
      <c r="R132" s="110"/>
      <c r="V132" s="40" t="str">
        <f>C132&amp;IF(ISBLANK(U132),"","=")&amp;U132</f>
        <v>Accel_Z</v>
      </c>
      <c r="W132" s="30"/>
      <c r="X132" s="30"/>
      <c r="Y132" s="30"/>
    </row>
    <row r="133" spans="1:25" x14ac:dyDescent="0.3">
      <c r="A133">
        <v>132</v>
      </c>
      <c r="B133" t="s">
        <v>236</v>
      </c>
      <c r="C133" s="39" t="s">
        <v>361</v>
      </c>
      <c r="D133" s="39">
        <v>64</v>
      </c>
      <c r="E133" s="26"/>
      <c r="F133" s="26"/>
      <c r="G133" s="26"/>
      <c r="H133" s="46" t="str">
        <f>DEC2HEX(I133)</f>
        <v>6F</v>
      </c>
      <c r="I133" s="26">
        <v>111</v>
      </c>
      <c r="J133" s="27" t="str">
        <f>CHAR(I133)</f>
        <v>o</v>
      </c>
      <c r="Q133" s="40" t="str">
        <f>C133&amp;IF(ISBLANK(D133),"","=")&amp;D133</f>
        <v>SpeedPercentage_Z=64</v>
      </c>
      <c r="S133" s="39">
        <v>100</v>
      </c>
      <c r="T133" s="40" t="str">
        <f>C133&amp;IF(ISBLANK(S133),"","=")&amp;S133</f>
        <v>SpeedPercentage_Z=100</v>
      </c>
      <c r="U133" s="39">
        <v>11</v>
      </c>
      <c r="V133" s="40" t="str">
        <f>C133&amp;IF(ISBLANK(U133),"","=")&amp;U133</f>
        <v>SpeedPercentage_Z=11</v>
      </c>
    </row>
    <row r="134" spans="1:25" x14ac:dyDescent="0.3">
      <c r="A134">
        <v>133</v>
      </c>
      <c r="B134" t="s">
        <v>236</v>
      </c>
      <c r="C134" s="39" t="s">
        <v>438</v>
      </c>
      <c r="D134" s="39">
        <v>2.1230000000000002</v>
      </c>
      <c r="E134" s="27"/>
      <c r="F134" s="27"/>
      <c r="G134" s="26"/>
      <c r="H134" s="46" t="str">
        <f>DEC2HEX(I134)</f>
        <v>67</v>
      </c>
      <c r="I134" s="27">
        <v>103</v>
      </c>
      <c r="J134" s="27" t="str">
        <f>CHAR(I134)</f>
        <v>g</v>
      </c>
      <c r="Q134" s="40" t="str">
        <f>C134&amp;IF(ISBLANK(D134),"","=")&amp;D134</f>
        <v>TargetDistance_Z=2.123</v>
      </c>
      <c r="S134" s="39">
        <v>0.2</v>
      </c>
      <c r="T134" s="40" t="str">
        <f>C134&amp;IF(ISBLANK(S134),"","=")&amp;S134</f>
        <v>TargetDistance_Z=0.2</v>
      </c>
      <c r="U134" s="39">
        <v>11</v>
      </c>
      <c r="V134" s="40" t="str">
        <f>C134&amp;IF(ISBLANK(U134),"","=")&amp;U134</f>
        <v>TargetDistance_Z=11</v>
      </c>
    </row>
    <row r="135" spans="1:25" s="30" customFormat="1" x14ac:dyDescent="0.3">
      <c r="A135">
        <v>134</v>
      </c>
      <c r="B135"/>
      <c r="C135" s="39" t="s">
        <v>636</v>
      </c>
      <c r="D135" s="39"/>
      <c r="E135" s="27"/>
      <c r="F135" s="27"/>
      <c r="G135" s="26"/>
      <c r="H135" s="46"/>
      <c r="I135" s="27"/>
      <c r="J135" s="27"/>
      <c r="K135" s="39"/>
      <c r="L135"/>
      <c r="M135" s="43"/>
      <c r="N135" s="51"/>
      <c r="O135" s="51"/>
      <c r="P135" s="51"/>
      <c r="Q135" s="40" t="str">
        <f>C135&amp;IF(ISBLANK(D135),"","=")&amp;D135</f>
        <v>; Right= 0, Left = 1</v>
      </c>
      <c r="R135"/>
      <c r="S135" s="39"/>
      <c r="T135" s="40" t="str">
        <f>C135&amp;IF(ISBLANK(S135),"","=")&amp;S135</f>
        <v>; Right= 0, Left = 1</v>
      </c>
      <c r="U135" s="39"/>
      <c r="V135" s="40" t="str">
        <f>C135&amp;IF(ISBLANK(U135),"","=")&amp;U135</f>
        <v>; Right= 0, Left = 1</v>
      </c>
      <c r="W135"/>
      <c r="X135"/>
      <c r="Y135"/>
    </row>
    <row r="136" spans="1:25" x14ac:dyDescent="0.3">
      <c r="A136">
        <v>135</v>
      </c>
      <c r="B136" t="s">
        <v>236</v>
      </c>
      <c r="C136" s="39" t="s">
        <v>546</v>
      </c>
      <c r="D136" s="39">
        <v>0</v>
      </c>
      <c r="E136" s="26"/>
      <c r="F136" s="26"/>
      <c r="G136" s="26"/>
      <c r="H136" s="46" t="str">
        <f>DEC2HEX(I136)</f>
        <v>C2</v>
      </c>
      <c r="I136" s="27">
        <v>194</v>
      </c>
      <c r="J136" s="27" t="str">
        <f>CHAR(I136)</f>
        <v>Â</v>
      </c>
      <c r="Q136" s="40" t="str">
        <f>C136&amp;IF(ISBLANK(D136),"","=")&amp;D136</f>
        <v>Direction_Z=0</v>
      </c>
      <c r="S136" s="39">
        <v>2</v>
      </c>
      <c r="T136" s="40" t="str">
        <f>C136&amp;IF(ISBLANK(S136),"","=")&amp;S136</f>
        <v>Direction_Z=2</v>
      </c>
      <c r="U136" s="39">
        <v>3</v>
      </c>
      <c r="V136" s="40" t="str">
        <f>C136&amp;IF(ISBLANK(U136),"","=")&amp;U136</f>
        <v>Direction_Z=3</v>
      </c>
    </row>
    <row r="137" spans="1:25" x14ac:dyDescent="0.3">
      <c r="A137">
        <v>136</v>
      </c>
      <c r="B137" s="30"/>
      <c r="C137" s="45" t="s">
        <v>279</v>
      </c>
      <c r="D137" s="45"/>
      <c r="E137" s="30"/>
      <c r="F137" s="30"/>
      <c r="G137" s="30"/>
      <c r="H137" s="92"/>
      <c r="I137" s="30"/>
      <c r="J137" s="30"/>
      <c r="K137" s="45"/>
      <c r="L137" s="30"/>
      <c r="M137" s="72"/>
      <c r="N137" s="30"/>
      <c r="O137" s="30"/>
      <c r="P137" s="30"/>
      <c r="Q137" s="30" t="str">
        <f>C137&amp;IF(ISBLANK(D137),"","=")&amp;D137</f>
        <v>;X Axis</v>
      </c>
      <c r="R137" s="30"/>
      <c r="S137" s="45"/>
      <c r="T137" s="30" t="str">
        <f>C137&amp;IF(ISBLANK(S137),"","=")&amp;S137</f>
        <v>;X Axis</v>
      </c>
      <c r="U137" s="45"/>
      <c r="V137" s="30" t="str">
        <f>C137&amp;IF(ISBLANK(U137),"","=")&amp;U137</f>
        <v>;X Axis</v>
      </c>
      <c r="W137" s="30"/>
      <c r="X137" s="30"/>
    </row>
    <row r="138" spans="1:25" x14ac:dyDescent="0.3">
      <c r="A138">
        <v>137</v>
      </c>
      <c r="B138" t="s">
        <v>236</v>
      </c>
      <c r="C138" s="39" t="s">
        <v>362</v>
      </c>
      <c r="D138" s="39">
        <v>5065</v>
      </c>
      <c r="E138" s="26"/>
      <c r="F138" s="26"/>
      <c r="G138" s="26"/>
      <c r="H138" s="46" t="str">
        <f>DEC2HEX(I138)</f>
        <v>B9</v>
      </c>
      <c r="I138" s="27">
        <v>185</v>
      </c>
      <c r="J138" s="27" t="str">
        <f>CHAR(I138)</f>
        <v>¹</v>
      </c>
      <c r="Q138" s="40" t="str">
        <f>C138&amp;IF(ISBLANK(D138),"","=")&amp;D138</f>
        <v>MaxSpeed_X=5065</v>
      </c>
      <c r="S138" s="39">
        <v>30000</v>
      </c>
      <c r="T138" s="40" t="str">
        <f>C138&amp;IF(ISBLANK(S138),"","=")&amp;S138</f>
        <v>MaxSpeed_X=30000</v>
      </c>
      <c r="U138" s="39">
        <v>10001</v>
      </c>
      <c r="V138" s="40" t="str">
        <f>C138&amp;IF(ISBLANK(U138),"","=")&amp;U138</f>
        <v>MaxSpeed_X=10001</v>
      </c>
    </row>
    <row r="139" spans="1:25" x14ac:dyDescent="0.3">
      <c r="A139">
        <v>138</v>
      </c>
      <c r="B139" t="s">
        <v>236</v>
      </c>
      <c r="C139" s="39" t="s">
        <v>363</v>
      </c>
      <c r="D139" s="39">
        <v>5066</v>
      </c>
      <c r="E139" s="26"/>
      <c r="F139" s="26"/>
      <c r="G139" s="26"/>
      <c r="H139" s="46" t="str">
        <f>DEC2HEX(I139)</f>
        <v>BA</v>
      </c>
      <c r="I139" s="27">
        <v>186</v>
      </c>
      <c r="J139" s="27" t="str">
        <f>CHAR(I139)</f>
        <v>º</v>
      </c>
      <c r="Q139" s="40" t="str">
        <f>C139&amp;IF(ISBLANK(D139),"","=")&amp;D139</f>
        <v>Accel_X=5066</v>
      </c>
      <c r="R139" s="110"/>
      <c r="S139" s="39">
        <v>20000</v>
      </c>
      <c r="T139" s="40" t="str">
        <f>C139&amp;IF(ISBLANK(S139),"","=")&amp;S139</f>
        <v>Accel_X=20000</v>
      </c>
      <c r="U139" s="39">
        <v>1000</v>
      </c>
      <c r="V139" s="40" t="str">
        <f>C139&amp;IF(ISBLANK(U139),"","=")&amp;U139</f>
        <v>Accel_X=1000</v>
      </c>
    </row>
    <row r="140" spans="1:25" x14ac:dyDescent="0.3">
      <c r="A140">
        <v>139</v>
      </c>
      <c r="B140" t="s">
        <v>236</v>
      </c>
      <c r="C140" s="39" t="s">
        <v>364</v>
      </c>
      <c r="D140" s="39">
        <v>67</v>
      </c>
      <c r="E140" s="26"/>
      <c r="F140" s="26"/>
      <c r="G140" s="26"/>
      <c r="H140" s="46" t="str">
        <f>DEC2HEX(I140)</f>
        <v>6F</v>
      </c>
      <c r="I140" s="26">
        <v>111</v>
      </c>
      <c r="J140" s="27" t="str">
        <f>CHAR(I140)</f>
        <v>o</v>
      </c>
      <c r="Q140" s="40" t="str">
        <f>C140&amp;IF(ISBLANK(D140),"","=")&amp;D140</f>
        <v>SpeedPercentage_X=67</v>
      </c>
      <c r="S140" s="39">
        <v>100</v>
      </c>
      <c r="T140" s="40" t="str">
        <f>C140&amp;IF(ISBLANK(S140),"","=")&amp;S140</f>
        <v>SpeedPercentage_X=100</v>
      </c>
      <c r="U140" s="39">
        <v>11</v>
      </c>
      <c r="V140" s="40" t="str">
        <f>C140&amp;IF(ISBLANK(U140),"","=")&amp;U140</f>
        <v>SpeedPercentage_X=11</v>
      </c>
    </row>
    <row r="141" spans="1:25" s="30" customFormat="1" x14ac:dyDescent="0.3">
      <c r="A141">
        <v>140</v>
      </c>
      <c r="B141" t="s">
        <v>236</v>
      </c>
      <c r="C141" s="39" t="s">
        <v>439</v>
      </c>
      <c r="D141" s="39">
        <v>1.02</v>
      </c>
      <c r="E141" s="26"/>
      <c r="F141" s="26"/>
      <c r="G141" s="26"/>
      <c r="H141" s="46" t="str">
        <f>DEC2HEX(I141)</f>
        <v>68</v>
      </c>
      <c r="I141" s="27">
        <v>104</v>
      </c>
      <c r="J141" s="27" t="str">
        <f>CHAR(I141)</f>
        <v>h</v>
      </c>
      <c r="K141" s="39"/>
      <c r="L141"/>
      <c r="M141" s="43"/>
      <c r="N141" s="51"/>
      <c r="O141" s="51"/>
      <c r="P141" s="51"/>
      <c r="Q141" s="40" t="str">
        <f>C141&amp;IF(ISBLANK(D141),"","=")&amp;D141</f>
        <v>TargetDistance_X=1.02</v>
      </c>
      <c r="R141"/>
      <c r="S141" s="39">
        <v>0.2</v>
      </c>
      <c r="T141" s="40" t="str">
        <f>C141&amp;IF(ISBLANK(S141),"","=")&amp;S141</f>
        <v>TargetDistance_X=0.2</v>
      </c>
      <c r="U141" s="39">
        <v>11</v>
      </c>
      <c r="V141" s="40" t="str">
        <f>C141&amp;IF(ISBLANK(U141),"","=")&amp;U141</f>
        <v>TargetDistance_X=11</v>
      </c>
      <c r="W141"/>
      <c r="X141"/>
      <c r="Y141"/>
    </row>
    <row r="142" spans="1:25" x14ac:dyDescent="0.3">
      <c r="A142">
        <v>141</v>
      </c>
      <c r="C142" s="39" t="s">
        <v>636</v>
      </c>
      <c r="E142" s="26"/>
      <c r="F142" s="26"/>
      <c r="G142" s="26"/>
      <c r="H142" s="46"/>
      <c r="I142" s="27"/>
      <c r="J142" s="27"/>
      <c r="Q142" s="40" t="str">
        <f>C142&amp;IF(ISBLANK(D142),"","=")&amp;D142</f>
        <v>; Right= 0, Left = 1</v>
      </c>
      <c r="T142" s="40" t="str">
        <f>C142&amp;IF(ISBLANK(S142),"","=")&amp;S142</f>
        <v>; Right= 0, Left = 1</v>
      </c>
      <c r="V142" s="40" t="str">
        <f>C142&amp;IF(ISBLANK(U142),"","=")&amp;U142</f>
        <v>; Right= 0, Left = 1</v>
      </c>
      <c r="Y142" s="30"/>
    </row>
    <row r="143" spans="1:25" x14ac:dyDescent="0.3">
      <c r="A143">
        <v>142</v>
      </c>
      <c r="B143" t="s">
        <v>236</v>
      </c>
      <c r="C143" s="39" t="s">
        <v>547</v>
      </c>
      <c r="D143" s="39">
        <v>1</v>
      </c>
      <c r="E143" s="48"/>
      <c r="F143" s="48"/>
      <c r="G143" s="26"/>
      <c r="H143" s="46" t="str">
        <f>DEC2HEX(I143)</f>
        <v>C2</v>
      </c>
      <c r="I143" s="27">
        <v>194</v>
      </c>
      <c r="J143" s="27" t="str">
        <f>CHAR(I143)</f>
        <v>Â</v>
      </c>
      <c r="Q143" s="40" t="str">
        <f>C143&amp;IF(ISBLANK(D143),"","=")&amp;D143</f>
        <v>Direction_X=1</v>
      </c>
      <c r="S143" s="39">
        <v>3</v>
      </c>
      <c r="T143" s="40" t="str">
        <f>C143&amp;IF(ISBLANK(S143),"","=")&amp;S143</f>
        <v>Direction_X=3</v>
      </c>
      <c r="U143" s="39">
        <v>2</v>
      </c>
      <c r="V143" s="40" t="str">
        <f>C143&amp;IF(ISBLANK(U143),"","=")&amp;U143</f>
        <v>Direction_X=2</v>
      </c>
    </row>
    <row r="144" spans="1:25" x14ac:dyDescent="0.3">
      <c r="A144">
        <v>143</v>
      </c>
      <c r="B144" s="30"/>
      <c r="C144" s="45" t="s">
        <v>281</v>
      </c>
      <c r="D144" s="45"/>
      <c r="E144" s="30"/>
      <c r="F144" s="30"/>
      <c r="G144" s="30"/>
      <c r="H144" s="92"/>
      <c r="I144" s="30"/>
      <c r="J144" s="30"/>
      <c r="K144" s="45"/>
      <c r="L144" s="30"/>
      <c r="M144" s="72"/>
      <c r="N144" s="30"/>
      <c r="O144" s="30"/>
      <c r="P144" s="30"/>
      <c r="Q144" s="30" t="str">
        <f>C144&amp;IF(ISBLANK(D144),"","=")&amp;D144</f>
        <v>;M3 Axis</v>
      </c>
      <c r="R144" s="30"/>
      <c r="S144" s="45"/>
      <c r="T144" s="30" t="str">
        <f>C144&amp;IF(ISBLANK(S144),"","=")&amp;S144</f>
        <v>;M3 Axis</v>
      </c>
      <c r="U144" s="45"/>
      <c r="V144" s="30" t="str">
        <f>C144&amp;IF(ISBLANK(U144),"","=")&amp;U144</f>
        <v>;M3 Axis</v>
      </c>
      <c r="W144" s="30"/>
      <c r="X144" s="30"/>
    </row>
    <row r="145" spans="1:25" x14ac:dyDescent="0.3">
      <c r="A145">
        <v>144</v>
      </c>
      <c r="B145" t="s">
        <v>236</v>
      </c>
      <c r="C145" s="39" t="s">
        <v>371</v>
      </c>
      <c r="D145" s="39">
        <v>5068</v>
      </c>
      <c r="E145" s="26"/>
      <c r="F145" s="27"/>
      <c r="G145" s="26"/>
      <c r="H145" s="46" t="str">
        <f>DEC2HEX(I145)</f>
        <v>B9</v>
      </c>
      <c r="I145" s="27">
        <v>185</v>
      </c>
      <c r="J145" s="27" t="str">
        <f>CHAR(I145)</f>
        <v>¹</v>
      </c>
      <c r="Q145" s="40" t="str">
        <f>C145&amp;IF(ISBLANK(D145),"","=")&amp;D145</f>
        <v>MaxSpeed_M3=5068</v>
      </c>
      <c r="S145" s="39">
        <v>30000</v>
      </c>
      <c r="T145" s="40" t="str">
        <f>C145&amp;IF(ISBLANK(S145),"","=")&amp;S145</f>
        <v>MaxSpeed_M3=30000</v>
      </c>
      <c r="U145" s="39">
        <v>1000</v>
      </c>
      <c r="V145" s="40" t="str">
        <f>C145&amp;IF(ISBLANK(U145),"","=")&amp;U145</f>
        <v>MaxSpeed_M3=1000</v>
      </c>
    </row>
    <row r="146" spans="1:25" x14ac:dyDescent="0.3">
      <c r="A146">
        <v>145</v>
      </c>
      <c r="B146" t="s">
        <v>236</v>
      </c>
      <c r="C146" s="39" t="s">
        <v>372</v>
      </c>
      <c r="D146" s="39">
        <v>5069</v>
      </c>
      <c r="E146" s="26"/>
      <c r="F146" s="26"/>
      <c r="G146" s="26"/>
      <c r="H146" s="46" t="str">
        <f>DEC2HEX(I146)</f>
        <v>BA</v>
      </c>
      <c r="I146" s="27">
        <v>186</v>
      </c>
      <c r="J146" s="27" t="str">
        <f>CHAR(I146)</f>
        <v>º</v>
      </c>
      <c r="Q146" s="40" t="str">
        <f>C146&amp;IF(ISBLANK(D146),"","=")&amp;D146</f>
        <v>Accel_M3=5069</v>
      </c>
      <c r="R146" s="110"/>
      <c r="S146" s="39">
        <v>20000</v>
      </c>
      <c r="T146" s="40" t="str">
        <f>C146&amp;IF(ISBLANK(S146),"","=")&amp;S146</f>
        <v>Accel_M3=20000</v>
      </c>
      <c r="U146" s="39">
        <v>1000</v>
      </c>
      <c r="V146" s="40" t="str">
        <f>C146&amp;IF(ISBLANK(U146),"","=")&amp;U146</f>
        <v>Accel_M3=1000</v>
      </c>
    </row>
    <row r="147" spans="1:25" x14ac:dyDescent="0.3">
      <c r="A147">
        <v>146</v>
      </c>
      <c r="B147" t="s">
        <v>236</v>
      </c>
      <c r="C147" s="39" t="s">
        <v>373</v>
      </c>
      <c r="D147" s="39">
        <v>70</v>
      </c>
      <c r="E147" s="26"/>
      <c r="F147" s="26"/>
      <c r="G147" s="26"/>
      <c r="H147" s="46" t="str">
        <f>DEC2HEX(I147)</f>
        <v>6F</v>
      </c>
      <c r="I147" s="26">
        <v>111</v>
      </c>
      <c r="J147" s="27" t="str">
        <f>CHAR(I147)</f>
        <v>o</v>
      </c>
      <c r="Q147" s="40" t="str">
        <f>C147&amp;IF(ISBLANK(D147),"","=")&amp;D147</f>
        <v>SpeedPercentage_M3=70</v>
      </c>
      <c r="S147" s="39">
        <v>100</v>
      </c>
      <c r="T147" s="40" t="str">
        <f>C147&amp;IF(ISBLANK(S147),"","=")&amp;S147</f>
        <v>SpeedPercentage_M3=100</v>
      </c>
      <c r="U147" s="39">
        <v>11</v>
      </c>
      <c r="V147" s="40" t="str">
        <f>C147&amp;IF(ISBLANK(U147),"","=")&amp;U147</f>
        <v>SpeedPercentage_M3=11</v>
      </c>
    </row>
    <row r="148" spans="1:25" s="30" customFormat="1" x14ac:dyDescent="0.3">
      <c r="A148">
        <v>147</v>
      </c>
      <c r="B148" t="s">
        <v>236</v>
      </c>
      <c r="C148" s="39" t="s">
        <v>440</v>
      </c>
      <c r="D148" s="39">
        <v>360</v>
      </c>
      <c r="E148" s="26"/>
      <c r="F148" s="26"/>
      <c r="G148" s="26"/>
      <c r="H148" s="46" t="str">
        <f>DEC2HEX(I148)</f>
        <v>6A</v>
      </c>
      <c r="I148" s="27">
        <v>106</v>
      </c>
      <c r="J148" s="27" t="str">
        <f>CHAR(I148)</f>
        <v>j</v>
      </c>
      <c r="K148" s="39"/>
      <c r="L148"/>
      <c r="M148" s="43"/>
      <c r="N148" s="51"/>
      <c r="O148" s="51"/>
      <c r="P148" s="51"/>
      <c r="Q148" s="40" t="str">
        <f>C148&amp;IF(ISBLANK(D148),"","=")&amp;D148</f>
        <v>TargetDistance_M3=360</v>
      </c>
      <c r="R148"/>
      <c r="S148" s="39">
        <v>360</v>
      </c>
      <c r="T148" s="40" t="str">
        <f>C148&amp;IF(ISBLANK(S148),"","=")&amp;S148</f>
        <v>TargetDistance_M3=360</v>
      </c>
      <c r="U148" s="39">
        <v>11</v>
      </c>
      <c r="V148" s="40" t="str">
        <f>C148&amp;IF(ISBLANK(U148),"","=")&amp;U148</f>
        <v>TargetDistance_M3=11</v>
      </c>
      <c r="W148"/>
      <c r="X148"/>
      <c r="Y148"/>
    </row>
    <row r="149" spans="1:25" s="76" customFormat="1" x14ac:dyDescent="0.3">
      <c r="A149">
        <v>148</v>
      </c>
      <c r="B149"/>
      <c r="C149" s="39" t="s">
        <v>637</v>
      </c>
      <c r="D149" s="39"/>
      <c r="E149" s="26"/>
      <c r="F149" s="26"/>
      <c r="G149" s="26"/>
      <c r="H149" s="46"/>
      <c r="I149" s="27"/>
      <c r="J149" s="27"/>
      <c r="K149" s="39"/>
      <c r="L149"/>
      <c r="M149" s="43"/>
      <c r="N149" s="51"/>
      <c r="O149" s="51"/>
      <c r="P149" s="51"/>
      <c r="Q149" s="40" t="str">
        <f>C149&amp;IF(ISBLANK(D149),"","=")&amp;D149</f>
        <v>; Right and CW = 0, Left and CCW = 1</v>
      </c>
      <c r="R149"/>
      <c r="S149" s="39"/>
      <c r="T149" s="40" t="str">
        <f>C149&amp;IF(ISBLANK(S149),"","=")&amp;S149</f>
        <v>; Right and CW = 0, Left and CCW = 1</v>
      </c>
      <c r="U149" s="39"/>
      <c r="V149" s="40" t="str">
        <f>C149&amp;IF(ISBLANK(U149),"","=")&amp;U149</f>
        <v>; Right and CW = 0, Left and CCW = 1</v>
      </c>
      <c r="W149"/>
      <c r="X149"/>
      <c r="Y149" s="30"/>
    </row>
    <row r="150" spans="1:25" x14ac:dyDescent="0.3">
      <c r="A150">
        <v>149</v>
      </c>
      <c r="B150" t="s">
        <v>236</v>
      </c>
      <c r="C150" s="39" t="s">
        <v>548</v>
      </c>
      <c r="D150" s="39">
        <v>0</v>
      </c>
      <c r="E150" s="27"/>
      <c r="F150" s="27"/>
      <c r="G150" s="26"/>
      <c r="H150" s="46" t="str">
        <f>DEC2HEX(I150)</f>
        <v>C2</v>
      </c>
      <c r="I150" s="27">
        <v>194</v>
      </c>
      <c r="J150" s="27" t="str">
        <f>CHAR(I150)</f>
        <v>Â</v>
      </c>
      <c r="Q150" s="40" t="str">
        <f>C150&amp;IF(ISBLANK(D150),"","=")&amp;D150</f>
        <v>Direction_M3=0</v>
      </c>
      <c r="S150" s="39">
        <v>2</v>
      </c>
      <c r="T150" s="40" t="str">
        <f>C150&amp;IF(ISBLANK(S150),"","=")&amp;S150</f>
        <v>Direction_M3=2</v>
      </c>
      <c r="U150" s="39">
        <v>3</v>
      </c>
      <c r="V150" s="40" t="str">
        <f>C150&amp;IF(ISBLANK(U150),"","=")&amp;U150</f>
        <v>Direction_M3=3</v>
      </c>
    </row>
    <row r="151" spans="1:25" x14ac:dyDescent="0.3">
      <c r="A151">
        <v>150</v>
      </c>
      <c r="B151" s="30"/>
      <c r="C151" s="45" t="s">
        <v>291</v>
      </c>
      <c r="D151" s="45"/>
      <c r="E151" s="30"/>
      <c r="F151" s="30"/>
      <c r="G151" s="30"/>
      <c r="H151" s="92"/>
      <c r="I151" s="30"/>
      <c r="J151" s="30"/>
      <c r="K151" s="45"/>
      <c r="L151" s="30"/>
      <c r="M151" s="72"/>
      <c r="N151" s="30"/>
      <c r="O151" s="30"/>
      <c r="P151" s="30"/>
      <c r="Q151" s="30" t="str">
        <f>C151&amp;IF(ISBLANK(D151),"","=")&amp;D151</f>
        <v>; M4</v>
      </c>
      <c r="R151" s="30"/>
      <c r="S151" s="45"/>
      <c r="T151" s="30" t="str">
        <f>C151&amp;IF(ISBLANK(S151),"","=")&amp;S151</f>
        <v>; M4</v>
      </c>
      <c r="U151" s="45"/>
      <c r="V151" s="30" t="str">
        <f>C151&amp;IF(ISBLANK(U151),"","=")&amp;U151</f>
        <v>; M4</v>
      </c>
      <c r="W151" s="30"/>
      <c r="X151" s="30"/>
    </row>
    <row r="152" spans="1:25" x14ac:dyDescent="0.3">
      <c r="A152">
        <v>151</v>
      </c>
      <c r="B152" t="s">
        <v>236</v>
      </c>
      <c r="C152" s="39" t="s">
        <v>374</v>
      </c>
      <c r="D152" s="39">
        <v>5068</v>
      </c>
      <c r="E152" s="27"/>
      <c r="F152" s="27"/>
      <c r="G152" s="27"/>
      <c r="H152" s="46" t="str">
        <f>DEC2HEX(I152)</f>
        <v>B9</v>
      </c>
      <c r="I152" s="27">
        <v>185</v>
      </c>
      <c r="J152" s="27" t="str">
        <f>CHAR(I152)</f>
        <v>¹</v>
      </c>
      <c r="Q152" s="40" t="str">
        <f>C152&amp;IF(ISBLANK(D152),"","=")&amp;D152</f>
        <v>MaxSpeed_M4=5068</v>
      </c>
      <c r="S152" s="39">
        <v>30000</v>
      </c>
      <c r="T152" s="40" t="str">
        <f>C152&amp;IF(ISBLANK(S152),"","=")&amp;S152</f>
        <v>MaxSpeed_M4=30000</v>
      </c>
      <c r="U152" s="39">
        <v>1000</v>
      </c>
    </row>
    <row r="153" spans="1:25" x14ac:dyDescent="0.3">
      <c r="A153">
        <v>152</v>
      </c>
      <c r="B153" t="s">
        <v>236</v>
      </c>
      <c r="C153" s="39" t="s">
        <v>375</v>
      </c>
      <c r="D153" s="39">
        <v>5069</v>
      </c>
      <c r="E153" s="27"/>
      <c r="F153" s="27"/>
      <c r="G153" s="27"/>
      <c r="H153" s="46" t="str">
        <f>DEC2HEX(I153)</f>
        <v>BA</v>
      </c>
      <c r="I153" s="27">
        <v>186</v>
      </c>
      <c r="J153" s="27" t="str">
        <f>CHAR(I153)</f>
        <v>º</v>
      </c>
      <c r="Q153" s="40" t="str">
        <f>C153&amp;IF(ISBLANK(D153),"","=")&amp;D153</f>
        <v>Accel_M4=5069</v>
      </c>
      <c r="S153" s="39">
        <v>20000</v>
      </c>
      <c r="T153" s="40" t="str">
        <f>C153&amp;IF(ISBLANK(S153),"","=")&amp;S153</f>
        <v>Accel_M4=20000</v>
      </c>
      <c r="U153" s="39">
        <v>1000</v>
      </c>
    </row>
    <row r="154" spans="1:25" x14ac:dyDescent="0.3">
      <c r="A154">
        <v>153</v>
      </c>
      <c r="B154" t="s">
        <v>236</v>
      </c>
      <c r="C154" s="39" t="s">
        <v>376</v>
      </c>
      <c r="D154" s="39">
        <v>70</v>
      </c>
      <c r="E154" s="26"/>
      <c r="F154" s="26"/>
      <c r="G154" s="26"/>
      <c r="H154" s="46" t="str">
        <f>DEC2HEX(I154)</f>
        <v>6F</v>
      </c>
      <c r="I154" s="26">
        <v>111</v>
      </c>
      <c r="J154" s="27" t="str">
        <f>CHAR(I154)</f>
        <v>o</v>
      </c>
      <c r="Q154" s="40" t="str">
        <f>C154&amp;IF(ISBLANK(D154),"","=")&amp;D154</f>
        <v>SpeedPercentage_M4=70</v>
      </c>
      <c r="S154" s="39">
        <v>100</v>
      </c>
      <c r="T154" s="40" t="str">
        <f>C154&amp;IF(ISBLANK(S154),"","=")&amp;S154</f>
        <v>SpeedPercentage_M4=100</v>
      </c>
      <c r="U154" s="39">
        <v>11</v>
      </c>
    </row>
    <row r="155" spans="1:25" x14ac:dyDescent="0.3">
      <c r="A155">
        <v>154</v>
      </c>
      <c r="B155" t="s">
        <v>236</v>
      </c>
      <c r="C155" s="39" t="s">
        <v>441</v>
      </c>
      <c r="D155" s="39">
        <v>0.47799999999999998</v>
      </c>
      <c r="E155" s="26"/>
      <c r="F155" s="26"/>
      <c r="G155" s="26"/>
      <c r="H155" s="46" t="str">
        <f>DEC2HEX(I155)</f>
        <v>C7</v>
      </c>
      <c r="I155" s="27">
        <v>199</v>
      </c>
      <c r="J155" s="27" t="str">
        <f>CHAR(I155)</f>
        <v>Ç</v>
      </c>
      <c r="Q155" s="40" t="str">
        <f>C155&amp;IF(ISBLANK(D155),"","=")&amp;D155</f>
        <v>TargetDistance_M4=0.478</v>
      </c>
      <c r="S155" s="39">
        <v>0.02</v>
      </c>
      <c r="T155" s="40" t="str">
        <f>C155&amp;IF(ISBLANK(S155),"","=")&amp;S155</f>
        <v>TargetDistance_M4=0.02</v>
      </c>
      <c r="U155" s="39">
        <v>11</v>
      </c>
    </row>
    <row r="156" spans="1:25" x14ac:dyDescent="0.3">
      <c r="A156">
        <v>155</v>
      </c>
      <c r="C156" s="39" t="s">
        <v>637</v>
      </c>
      <c r="E156" s="26"/>
      <c r="F156" s="26"/>
      <c r="G156" s="26"/>
      <c r="H156" s="46"/>
      <c r="I156" s="27"/>
      <c r="J156" s="27"/>
      <c r="Q156" s="40" t="str">
        <f>C156&amp;IF(ISBLANK(D156),"","=")&amp;D156</f>
        <v>; Right and CW = 0, Left and CCW = 1</v>
      </c>
      <c r="T156" s="40" t="str">
        <f>C156&amp;IF(ISBLANK(S156),"","=")&amp;S156</f>
        <v>; Right and CW = 0, Left and CCW = 1</v>
      </c>
      <c r="Y156" s="30"/>
    </row>
    <row r="157" spans="1:25" s="30" customFormat="1" x14ac:dyDescent="0.3">
      <c r="A157">
        <v>156</v>
      </c>
      <c r="B157" t="s">
        <v>236</v>
      </c>
      <c r="C157" s="39" t="s">
        <v>549</v>
      </c>
      <c r="D157" s="39">
        <v>1</v>
      </c>
      <c r="E157" s="26"/>
      <c r="F157" s="26"/>
      <c r="G157" s="26"/>
      <c r="H157" s="46" t="str">
        <f>DEC2HEX(I157)</f>
        <v>C2</v>
      </c>
      <c r="I157" s="27">
        <v>194</v>
      </c>
      <c r="J157" s="27" t="str">
        <f>CHAR(I157)</f>
        <v>Â</v>
      </c>
      <c r="K157" s="39"/>
      <c r="L157"/>
      <c r="M157" s="43"/>
      <c r="N157" s="51"/>
      <c r="O157" s="51"/>
      <c r="P157" s="51"/>
      <c r="Q157" s="40" t="str">
        <f>C157&amp;IF(ISBLANK(D157),"","=")&amp;D157</f>
        <v>Direction_M4=1</v>
      </c>
      <c r="R157"/>
      <c r="S157" s="39">
        <v>3</v>
      </c>
      <c r="T157" s="40" t="str">
        <f>C157&amp;IF(ISBLANK(S157),"","=")&amp;S157</f>
        <v>Direction_M4=3</v>
      </c>
      <c r="U157" s="39">
        <v>2</v>
      </c>
      <c r="V157"/>
      <c r="W157"/>
      <c r="X157"/>
      <c r="Y157"/>
    </row>
    <row r="158" spans="1:25" x14ac:dyDescent="0.3">
      <c r="A158">
        <v>157</v>
      </c>
      <c r="C158" s="39" t="s">
        <v>229</v>
      </c>
      <c r="E158" s="26"/>
      <c r="F158" s="26"/>
      <c r="G158" s="26"/>
      <c r="H158" s="96"/>
      <c r="I158" s="26"/>
      <c r="J158" s="26"/>
      <c r="Q158" s="40" t="str">
        <f>C158&amp;IF(ISBLANK(D158),"","=")&amp;D158</f>
        <v>;</v>
      </c>
      <c r="T158" s="40" t="str">
        <f>C158&amp;IF(ISBLANK(S158),"","=")&amp;S158</f>
        <v>;</v>
      </c>
    </row>
    <row r="159" spans="1:25" x14ac:dyDescent="0.3">
      <c r="A159">
        <v>158</v>
      </c>
      <c r="B159" s="76"/>
      <c r="C159" s="77" t="s">
        <v>289</v>
      </c>
      <c r="D159" s="77"/>
      <c r="E159" s="76"/>
      <c r="F159" s="76"/>
      <c r="G159" s="76"/>
      <c r="H159" s="78"/>
      <c r="I159" s="76"/>
      <c r="J159" s="76"/>
      <c r="K159" s="77"/>
      <c r="L159" s="76"/>
      <c r="M159" s="79"/>
      <c r="N159" s="76"/>
      <c r="O159" s="76"/>
      <c r="P159" s="76"/>
      <c r="Q159" s="76" t="str">
        <f>C159&amp;IF(ISBLANK(D159),"","=")&amp;D159</f>
        <v>[Index]</v>
      </c>
      <c r="R159" s="76"/>
      <c r="S159" s="77"/>
      <c r="T159" s="76" t="str">
        <f>C159&amp;IF(ISBLANK(S159),"","=")&amp;S159</f>
        <v>[Index]</v>
      </c>
      <c r="U159" s="77"/>
    </row>
    <row r="160" spans="1:25" x14ac:dyDescent="0.3">
      <c r="A160">
        <v>159</v>
      </c>
      <c r="C160" s="39" t="s">
        <v>229</v>
      </c>
      <c r="E160" s="26"/>
      <c r="F160" s="26"/>
      <c r="G160" s="26"/>
      <c r="H160" s="96"/>
      <c r="I160" s="26"/>
      <c r="J160" s="26"/>
      <c r="Q160" s="40" t="str">
        <f>C160&amp;IF(ISBLANK(D160),"","=")&amp;D160</f>
        <v>;</v>
      </c>
      <c r="T160" s="40" t="str">
        <f>C160&amp;IF(ISBLANK(S160),"","=")&amp;S160</f>
        <v>;</v>
      </c>
    </row>
    <row r="161" spans="1:25" s="30" customFormat="1" x14ac:dyDescent="0.3">
      <c r="A161">
        <v>160</v>
      </c>
      <c r="B161" t="s">
        <v>0</v>
      </c>
      <c r="C161" s="39" t="s">
        <v>260</v>
      </c>
      <c r="D161" s="39">
        <v>0</v>
      </c>
      <c r="E161" s="26">
        <v>44</v>
      </c>
      <c r="F161" s="26">
        <v>47</v>
      </c>
      <c r="G161" s="26"/>
      <c r="H161" s="46" t="str">
        <f>DEC2HEX(I161)</f>
        <v>42</v>
      </c>
      <c r="I161" s="27">
        <v>66</v>
      </c>
      <c r="J161" s="27" t="str">
        <f>CHAR(I161)</f>
        <v>B</v>
      </c>
      <c r="K161" s="39"/>
      <c r="L161">
        <f>IF(ISBLANK(D161),IF(E161&gt;0,F161-E161+1,0),0)</f>
        <v>0</v>
      </c>
      <c r="M161" s="43">
        <f>IF(ISBLANK(D161),0,IF(G161=0,F161-E161+1,0))</f>
        <v>4</v>
      </c>
      <c r="N161" s="51"/>
      <c r="O161" s="51"/>
      <c r="P161" s="51"/>
      <c r="Q161" s="40" t="str">
        <f>C161&amp;IF(ISBLANK(D161),"","=")&amp;D161</f>
        <v>AxisId=0</v>
      </c>
      <c r="R161"/>
      <c r="S161" s="39"/>
      <c r="T161"/>
      <c r="U161" s="39"/>
      <c r="V161" s="1" t="str">
        <f>C161&amp;IF(ISBLANK(U161),"","=")&amp;U161</f>
        <v>AxisId</v>
      </c>
      <c r="W161" s="1"/>
      <c r="X161" s="1"/>
      <c r="Y161"/>
    </row>
    <row r="162" spans="1:25" x14ac:dyDescent="0.3">
      <c r="A162">
        <v>161</v>
      </c>
      <c r="B162" t="s">
        <v>0</v>
      </c>
      <c r="C162" s="39" t="s">
        <v>34</v>
      </c>
      <c r="D162" s="39">
        <v>1</v>
      </c>
      <c r="E162" s="26">
        <v>104</v>
      </c>
      <c r="F162" s="26">
        <v>107</v>
      </c>
      <c r="G162" s="26"/>
      <c r="H162" s="46" t="str">
        <f>DEC2HEX(I162)</f>
        <v>F6</v>
      </c>
      <c r="I162" s="27">
        <v>246</v>
      </c>
      <c r="J162" s="27" t="str">
        <f>CHAR(I162)</f>
        <v>ö</v>
      </c>
      <c r="L162">
        <f>IF(ISBLANK(D162),IF(E162&gt;0,F162-E162+1,0),0)</f>
        <v>0</v>
      </c>
      <c r="M162" s="43">
        <f>IF(ISBLANK(D162),0,IF(G162=0,F162-E162+1,0))</f>
        <v>4</v>
      </c>
      <c r="Q162" s="40" t="str">
        <f>C162&amp;IF(ISBLANK(D162),"","=")&amp;D162</f>
        <v>IndexId=1</v>
      </c>
      <c r="S162" s="39">
        <v>1</v>
      </c>
      <c r="T162" s="40" t="str">
        <f>C162&amp;IF(ISBLANK(S162),"","=")&amp;S162</f>
        <v>IndexId=1</v>
      </c>
      <c r="U162" s="39">
        <v>3</v>
      </c>
    </row>
    <row r="163" spans="1:25" x14ac:dyDescent="0.3">
      <c r="A163">
        <v>162</v>
      </c>
      <c r="C163" s="39" t="s">
        <v>493</v>
      </c>
      <c r="E163" s="27"/>
      <c r="F163" s="27"/>
      <c r="G163" s="26"/>
      <c r="H163" s="46"/>
      <c r="I163" s="27"/>
      <c r="J163" s="27"/>
      <c r="Q163" s="40" t="str">
        <f>C163&amp;IF(ISBLANK(D163),"","=")&amp;D163</f>
        <v>;Synchronize M3 and Spindle</v>
      </c>
      <c r="T163" s="40" t="str">
        <f>C163&amp;IF(ISBLANK(S163),"","=")&amp;S163</f>
        <v>;Synchronize M3 and Spindle</v>
      </c>
      <c r="V163" s="40" t="str">
        <f>C163&amp;IF(ISBLANK(U163),"","=")&amp;U163</f>
        <v>;Synchronize M3 and Spindle</v>
      </c>
      <c r="Y163" s="30"/>
    </row>
    <row r="164" spans="1:25" x14ac:dyDescent="0.3">
      <c r="A164">
        <v>163</v>
      </c>
      <c r="B164" t="s">
        <v>0</v>
      </c>
      <c r="C164" s="39" t="s">
        <v>497</v>
      </c>
      <c r="D164" s="39">
        <v>0</v>
      </c>
      <c r="E164" s="26">
        <v>156</v>
      </c>
      <c r="F164" s="26">
        <v>159</v>
      </c>
      <c r="G164" s="26"/>
      <c r="H164" s="46" t="str">
        <f>DEC2HEX(I164)</f>
        <v>CF</v>
      </c>
      <c r="I164" s="27">
        <v>207</v>
      </c>
      <c r="J164" s="27" t="str">
        <f>CHAR(I164)</f>
        <v>Ï</v>
      </c>
      <c r="L164">
        <f>IF(ISBLANK(D164),IF(E164&gt;0,F164-E164+1,0),0)</f>
        <v>0</v>
      </c>
      <c r="M164" s="43">
        <f>IF(ISBLANK(D164),0,IF(G164=0,F164-E164+1,0))</f>
        <v>4</v>
      </c>
      <c r="Q164" s="40" t="str">
        <f>C164&amp;IF(ISBLANK(D164),"","=")&amp;D164</f>
        <v>Synchro_M3_and_Spindle=0</v>
      </c>
      <c r="S164" s="39">
        <v>0</v>
      </c>
      <c r="T164" s="40" t="str">
        <f>C164&amp;IF(ISBLANK(S164),"","=")&amp;S164</f>
        <v>Synchro_M3_and_Spindle=0</v>
      </c>
      <c r="U164" s="39">
        <v>1</v>
      </c>
      <c r="V164" s="40" t="str">
        <f>C164&amp;IF(ISBLANK(U164),"","=")&amp;U164</f>
        <v>Synchro_M3_and_Spindle=1</v>
      </c>
    </row>
    <row r="165" spans="1:25" x14ac:dyDescent="0.3">
      <c r="A165">
        <v>164</v>
      </c>
      <c r="B165" t="s">
        <v>0</v>
      </c>
      <c r="C165" s="39" t="s">
        <v>498</v>
      </c>
      <c r="D165" s="39">
        <v>100</v>
      </c>
      <c r="E165" s="27">
        <v>180</v>
      </c>
      <c r="F165" s="27">
        <v>187</v>
      </c>
      <c r="G165" s="26"/>
      <c r="H165" s="46" t="str">
        <f>DEC2HEX(I165)</f>
        <v>D0</v>
      </c>
      <c r="I165" s="27">
        <v>208</v>
      </c>
      <c r="J165" s="27" t="str">
        <f>CHAR(I165)</f>
        <v>Ð</v>
      </c>
      <c r="L165">
        <f>IF(ISBLANK(D165),IF(E165&gt;0,F165-E165+1,0),0)</f>
        <v>0</v>
      </c>
      <c r="M165" s="43">
        <f>IF(ISBLANK(D165),0,IF(G165=0,F165-E165+1,0))</f>
        <v>8</v>
      </c>
      <c r="Q165" s="40" t="str">
        <f>C165&amp;IF(ISBLANK(D165),"","=")&amp;D165</f>
        <v>Synchro_Percentage=100</v>
      </c>
      <c r="S165" s="39">
        <v>100</v>
      </c>
      <c r="T165" s="40" t="str">
        <f>C165&amp;IF(ISBLANK(S165),"","=")&amp;S165</f>
        <v>Synchro_Percentage=100</v>
      </c>
      <c r="U165" s="39">
        <v>111</v>
      </c>
      <c r="V165" s="40" t="str">
        <f>C165&amp;IF(ISBLANK(U165),"","=")&amp;U165</f>
        <v>Synchro_Percentage=111</v>
      </c>
    </row>
    <row r="166" spans="1:25" x14ac:dyDescent="0.3">
      <c r="A166">
        <v>165</v>
      </c>
      <c r="B166" s="30"/>
      <c r="C166" s="45" t="s">
        <v>277</v>
      </c>
      <c r="D166" s="45"/>
      <c r="E166" s="30"/>
      <c r="F166" s="30"/>
      <c r="G166" s="30"/>
      <c r="H166" s="92"/>
      <c r="I166" s="30"/>
      <c r="J166" s="30"/>
      <c r="K166" s="45"/>
      <c r="L166" s="30"/>
      <c r="M166" s="72"/>
      <c r="N166" s="30"/>
      <c r="O166" s="30"/>
      <c r="P166" s="30"/>
      <c r="Q166" s="30" t="str">
        <f>C166&amp;IF(ISBLANK(D166),"","=")&amp;D166</f>
        <v>; Spindle</v>
      </c>
      <c r="R166" s="30"/>
      <c r="S166" s="45"/>
      <c r="T166" s="30" t="str">
        <f>C166&amp;IF(ISBLANK(S166),"","=")&amp;S166</f>
        <v>; Spindle</v>
      </c>
      <c r="U166" s="45"/>
      <c r="V166" s="30" t="str">
        <f>C166&amp;IF(ISBLANK(U166),"","=")&amp;U166</f>
        <v>; Spindle</v>
      </c>
      <c r="W166" s="30"/>
      <c r="X166" s="30"/>
    </row>
    <row r="167" spans="1:25" x14ac:dyDescent="0.3">
      <c r="A167">
        <v>166</v>
      </c>
      <c r="B167" t="s">
        <v>0</v>
      </c>
      <c r="C167" s="39" t="s">
        <v>348</v>
      </c>
      <c r="D167" s="39">
        <v>5070</v>
      </c>
      <c r="E167" s="26"/>
      <c r="F167" s="26"/>
      <c r="G167" s="26"/>
      <c r="H167" s="46" t="str">
        <f>DEC2HEX(I167)</f>
        <v>3A</v>
      </c>
      <c r="I167" s="27">
        <v>58</v>
      </c>
      <c r="J167" s="27" t="str">
        <f>CHAR(I167)</f>
        <v>:</v>
      </c>
      <c r="Q167" s="40" t="str">
        <f>C167&amp;IF(ISBLANK(D167),"","=")&amp;D167</f>
        <v>MaxSpeed_Spindle=5070</v>
      </c>
      <c r="S167" s="39">
        <v>30000</v>
      </c>
      <c r="T167" s="40" t="str">
        <f>C167&amp;IF(ISBLANK(S167),"","=")&amp;S167</f>
        <v>MaxSpeed_Spindle=30000</v>
      </c>
      <c r="U167" s="39">
        <v>1000</v>
      </c>
      <c r="V167" s="40" t="str">
        <f>C167&amp;IF(ISBLANK(U167),"","=")&amp;U167</f>
        <v>MaxSpeed_Spindle=1000</v>
      </c>
    </row>
    <row r="168" spans="1:25" x14ac:dyDescent="0.3">
      <c r="A168">
        <v>167</v>
      </c>
      <c r="B168" t="s">
        <v>0</v>
      </c>
      <c r="C168" s="39" t="s">
        <v>349</v>
      </c>
      <c r="D168" s="39">
        <v>5071</v>
      </c>
      <c r="E168" s="26"/>
      <c r="F168" s="26"/>
      <c r="G168" s="26"/>
      <c r="H168" s="46" t="str">
        <f>DEC2HEX(I168)</f>
        <v>3B</v>
      </c>
      <c r="I168" s="27">
        <v>59</v>
      </c>
      <c r="J168" s="27" t="str">
        <f>CHAR(I168)</f>
        <v>;</v>
      </c>
      <c r="Q168" s="40" t="str">
        <f>C168&amp;IF(ISBLANK(D168),"","=")&amp;D168</f>
        <v>Accel_Spindle=5071</v>
      </c>
      <c r="S168" s="39">
        <v>20000</v>
      </c>
      <c r="T168" s="40" t="str">
        <f>C168&amp;IF(ISBLANK(S168),"","=")&amp;S168</f>
        <v>Accel_Spindle=20000</v>
      </c>
      <c r="U168" s="39">
        <v>1000</v>
      </c>
      <c r="V168" s="40" t="str">
        <f>C168&amp;IF(ISBLANK(U168),"","=")&amp;U168</f>
        <v>Accel_Spindle=1000</v>
      </c>
    </row>
    <row r="169" spans="1:25" x14ac:dyDescent="0.3">
      <c r="A169">
        <v>168</v>
      </c>
      <c r="B169" t="s">
        <v>0</v>
      </c>
      <c r="C169" s="39" t="s">
        <v>358</v>
      </c>
      <c r="D169" s="39">
        <v>72</v>
      </c>
      <c r="E169" s="26"/>
      <c r="F169" s="26"/>
      <c r="G169" s="26"/>
      <c r="H169" s="46" t="str">
        <f>DEC2HEX(I169)</f>
        <v>6E</v>
      </c>
      <c r="I169" s="27">
        <v>110</v>
      </c>
      <c r="J169" s="27" t="str">
        <f>CHAR(I169)</f>
        <v>n</v>
      </c>
      <c r="Q169" s="40" t="str">
        <f>C169&amp;IF(ISBLANK(D169),"","=")&amp;D169</f>
        <v>SpeedPercentage_Spindle=72</v>
      </c>
      <c r="S169" s="39">
        <v>100</v>
      </c>
      <c r="T169" s="40" t="str">
        <f>C169&amp;IF(ISBLANK(S169),"","=")&amp;S169</f>
        <v>SpeedPercentage_Spindle=100</v>
      </c>
      <c r="U169" s="39">
        <v>11</v>
      </c>
      <c r="V169" s="40" t="str">
        <f>C169&amp;IF(ISBLANK(U169),"","=")&amp;U169</f>
        <v>SpeedPercentage_Spindle=11</v>
      </c>
      <c r="Y169" s="30"/>
    </row>
    <row r="170" spans="1:25" s="76" customFormat="1" x14ac:dyDescent="0.3">
      <c r="A170">
        <v>169</v>
      </c>
      <c r="B170" s="30"/>
      <c r="C170" s="45" t="s">
        <v>290</v>
      </c>
      <c r="D170" s="45"/>
      <c r="E170" s="30"/>
      <c r="F170" s="30"/>
      <c r="G170" s="30"/>
      <c r="H170" s="92"/>
      <c r="I170" s="30"/>
      <c r="J170" s="30"/>
      <c r="K170" s="45"/>
      <c r="L170" s="30"/>
      <c r="M170" s="72"/>
      <c r="N170" s="30"/>
      <c r="O170" s="30"/>
      <c r="P170" s="30"/>
      <c r="Q170" s="30" t="str">
        <f>C170&amp;IF(ISBLANK(D170),"","=")&amp;D170</f>
        <v>; M3</v>
      </c>
      <c r="R170" s="30"/>
      <c r="S170" s="45"/>
      <c r="T170" s="30" t="str">
        <f>C170&amp;IF(ISBLANK(S170),"","=")&amp;S170</f>
        <v>; M3</v>
      </c>
      <c r="U170" s="45"/>
      <c r="V170" s="30" t="str">
        <f>C170&amp;IF(ISBLANK(U170),"","=")&amp;U170</f>
        <v>; M3</v>
      </c>
      <c r="W170" s="30"/>
      <c r="X170" s="30"/>
      <c r="Y170"/>
    </row>
    <row r="171" spans="1:25" x14ac:dyDescent="0.3">
      <c r="A171">
        <v>170</v>
      </c>
      <c r="B171" t="s">
        <v>0</v>
      </c>
      <c r="C171" s="39" t="s">
        <v>371</v>
      </c>
      <c r="D171" s="39">
        <v>5072</v>
      </c>
      <c r="E171" s="26"/>
      <c r="F171" s="26"/>
      <c r="G171" s="26"/>
      <c r="H171" s="46" t="str">
        <f>DEC2HEX(I171)</f>
        <v>B9</v>
      </c>
      <c r="I171" s="27">
        <v>185</v>
      </c>
      <c r="J171" s="27" t="str">
        <f>CHAR(I171)</f>
        <v>¹</v>
      </c>
      <c r="Q171" s="40" t="str">
        <f>C171&amp;IF(ISBLANK(D171),"","=")&amp;D171</f>
        <v>MaxSpeed_M3=5072</v>
      </c>
      <c r="S171" s="39">
        <v>30000</v>
      </c>
      <c r="T171" s="40" t="str">
        <f>C171&amp;IF(ISBLANK(S171),"","=")&amp;S171</f>
        <v>MaxSpeed_M3=30000</v>
      </c>
      <c r="U171" s="39">
        <v>1000</v>
      </c>
      <c r="V171" s="40" t="str">
        <f>C171&amp;IF(ISBLANK(U171),"","=")&amp;U171</f>
        <v>MaxSpeed_M3=1000</v>
      </c>
    </row>
    <row r="172" spans="1:25" x14ac:dyDescent="0.3">
      <c r="A172">
        <v>171</v>
      </c>
      <c r="B172" t="s">
        <v>0</v>
      </c>
      <c r="C172" s="39" t="s">
        <v>372</v>
      </c>
      <c r="D172" s="39">
        <v>5073</v>
      </c>
      <c r="E172" s="26"/>
      <c r="F172" s="26"/>
      <c r="G172" s="26"/>
      <c r="H172" s="46" t="str">
        <f>DEC2HEX(I172)</f>
        <v>BA</v>
      </c>
      <c r="I172" s="27">
        <v>186</v>
      </c>
      <c r="J172" s="27" t="str">
        <f>CHAR(I172)</f>
        <v>º</v>
      </c>
      <c r="Q172" s="40" t="str">
        <f>C172&amp;IF(ISBLANK(D172),"","=")&amp;D172</f>
        <v>Accel_M3=5073</v>
      </c>
      <c r="S172" s="39">
        <v>20000</v>
      </c>
      <c r="T172" s="40" t="str">
        <f>C172&amp;IF(ISBLANK(S172),"","=")&amp;S172</f>
        <v>Accel_M3=20000</v>
      </c>
      <c r="U172" s="39">
        <v>10001</v>
      </c>
      <c r="V172" s="40" t="str">
        <f>C172&amp;IF(ISBLANK(U172),"","=")&amp;U172</f>
        <v>Accel_M3=10001</v>
      </c>
    </row>
    <row r="173" spans="1:25" x14ac:dyDescent="0.3">
      <c r="A173">
        <v>172</v>
      </c>
      <c r="B173" t="s">
        <v>0</v>
      </c>
      <c r="C173" s="39" t="s">
        <v>373</v>
      </c>
      <c r="D173" s="39">
        <v>73</v>
      </c>
      <c r="E173" s="26"/>
      <c r="F173" s="26"/>
      <c r="G173" s="26"/>
      <c r="H173" s="46" t="str">
        <f>DEC2HEX(I173)</f>
        <v>6F</v>
      </c>
      <c r="I173" s="26">
        <v>111</v>
      </c>
      <c r="J173" s="27" t="str">
        <f>CHAR(I173)</f>
        <v>o</v>
      </c>
      <c r="Q173" s="40" t="str">
        <f>C173&amp;IF(ISBLANK(D173),"","=")&amp;D173</f>
        <v>SpeedPercentage_M3=73</v>
      </c>
      <c r="S173" s="39">
        <v>100</v>
      </c>
      <c r="T173" s="40" t="str">
        <f>C173&amp;IF(ISBLANK(S173),"","=")&amp;S173</f>
        <v>SpeedPercentage_M3=100</v>
      </c>
      <c r="U173" s="39">
        <v>11</v>
      </c>
      <c r="V173" s="40" t="str">
        <f>C173&amp;IF(ISBLANK(U173),"","=")&amp;U173</f>
        <v>SpeedPercentage_M3=11</v>
      </c>
    </row>
    <row r="174" spans="1:25" x14ac:dyDescent="0.3">
      <c r="A174">
        <v>173</v>
      </c>
      <c r="B174" s="30"/>
      <c r="C174" s="45" t="s">
        <v>291</v>
      </c>
      <c r="D174" s="45"/>
      <c r="E174" s="30"/>
      <c r="F174" s="30"/>
      <c r="G174" s="30"/>
      <c r="H174" s="92"/>
      <c r="I174" s="30"/>
      <c r="J174" s="30"/>
      <c r="K174" s="45"/>
      <c r="L174" s="30"/>
      <c r="M174" s="72"/>
      <c r="N174" s="30"/>
      <c r="O174" s="30"/>
      <c r="P174" s="30"/>
      <c r="Q174" s="30" t="str">
        <f>C174&amp;IF(ISBLANK(D174),"","=")&amp;D174</f>
        <v>; M4</v>
      </c>
      <c r="R174" s="30"/>
      <c r="S174" s="45"/>
      <c r="T174" s="30" t="str">
        <f>C174&amp;IF(ISBLANK(S174),"","=")&amp;S174</f>
        <v>; M4</v>
      </c>
      <c r="U174" s="45"/>
      <c r="V174" s="30" t="str">
        <f>C174&amp;IF(ISBLANK(U174),"","=")&amp;U174</f>
        <v>; M4</v>
      </c>
      <c r="W174" s="30"/>
      <c r="X174" s="30"/>
    </row>
    <row r="175" spans="1:25" x14ac:dyDescent="0.3">
      <c r="A175">
        <v>174</v>
      </c>
      <c r="B175" t="s">
        <v>0</v>
      </c>
      <c r="C175" s="39" t="s">
        <v>374</v>
      </c>
      <c r="D175" s="39">
        <v>5072</v>
      </c>
      <c r="E175" s="26"/>
      <c r="F175" s="26"/>
      <c r="G175" s="26"/>
      <c r="H175" s="46" t="str">
        <f>DEC2HEX(I175)</f>
        <v>B9</v>
      </c>
      <c r="I175" s="27">
        <v>185</v>
      </c>
      <c r="J175" s="27" t="str">
        <f>CHAR(I175)</f>
        <v>¹</v>
      </c>
      <c r="Q175" s="40" t="str">
        <f>C175&amp;IF(ISBLANK(D175),"","=")&amp;D175</f>
        <v>MaxSpeed_M4=5072</v>
      </c>
      <c r="S175" s="39">
        <v>30000</v>
      </c>
      <c r="T175" s="40" t="str">
        <f>C175&amp;IF(ISBLANK(S175),"","=")&amp;S175</f>
        <v>MaxSpeed_M4=30000</v>
      </c>
      <c r="U175" s="39">
        <v>1000</v>
      </c>
      <c r="V175" s="40" t="str">
        <f>C175&amp;IF(ISBLANK(U175),"","=")&amp;U175</f>
        <v>MaxSpeed_M4=1000</v>
      </c>
    </row>
    <row r="176" spans="1:25" x14ac:dyDescent="0.3">
      <c r="A176">
        <v>175</v>
      </c>
      <c r="B176" t="s">
        <v>0</v>
      </c>
      <c r="C176" s="39" t="s">
        <v>375</v>
      </c>
      <c r="D176" s="39">
        <v>5073</v>
      </c>
      <c r="E176" s="26"/>
      <c r="F176" s="26"/>
      <c r="G176" s="26"/>
      <c r="H176" s="46" t="str">
        <f>DEC2HEX(I176)</f>
        <v>BA</v>
      </c>
      <c r="I176" s="27">
        <v>186</v>
      </c>
      <c r="J176" s="27" t="str">
        <f>CHAR(I176)</f>
        <v>º</v>
      </c>
      <c r="Q176" s="40" t="str">
        <f>C176&amp;IF(ISBLANK(D176),"","=")&amp;D176</f>
        <v>Accel_M4=5073</v>
      </c>
      <c r="S176" s="39">
        <v>20000</v>
      </c>
      <c r="T176" s="40" t="str">
        <f>C176&amp;IF(ISBLANK(S176),"","=")&amp;S176</f>
        <v>Accel_M4=20000</v>
      </c>
      <c r="U176" s="39">
        <v>1000</v>
      </c>
      <c r="V176" s="40" t="str">
        <f>C176&amp;IF(ISBLANK(U176),"","=")&amp;U176</f>
        <v>Accel_M4=1000</v>
      </c>
    </row>
    <row r="177" spans="1:25" x14ac:dyDescent="0.3">
      <c r="A177">
        <v>176</v>
      </c>
      <c r="B177" t="s">
        <v>0</v>
      </c>
      <c r="C177" s="39" t="s">
        <v>376</v>
      </c>
      <c r="D177" s="39">
        <v>85</v>
      </c>
      <c r="E177" s="26"/>
      <c r="F177" s="26"/>
      <c r="G177" s="26"/>
      <c r="H177" s="46" t="str">
        <f>DEC2HEX(I177)</f>
        <v>6F</v>
      </c>
      <c r="I177" s="26">
        <v>111</v>
      </c>
      <c r="J177" s="27" t="str">
        <f>CHAR(I177)</f>
        <v>o</v>
      </c>
      <c r="Q177" s="40" t="str">
        <f>C177&amp;IF(ISBLANK(D177),"","=")&amp;D177</f>
        <v>SpeedPercentage_M4=85</v>
      </c>
      <c r="S177" s="39">
        <v>100</v>
      </c>
      <c r="T177" s="40" t="str">
        <f>C177&amp;IF(ISBLANK(S177),"","=")&amp;S177</f>
        <v>SpeedPercentage_M4=100</v>
      </c>
      <c r="U177" s="39">
        <v>11</v>
      </c>
      <c r="V177" s="40" t="str">
        <f>C177&amp;IF(ISBLANK(U177),"","=")&amp;U177</f>
        <v>SpeedPercentage_M4=11</v>
      </c>
    </row>
    <row r="178" spans="1:25" x14ac:dyDescent="0.3">
      <c r="A178">
        <v>177</v>
      </c>
      <c r="C178" s="39" t="s">
        <v>287</v>
      </c>
      <c r="E178" s="26"/>
      <c r="F178" s="26"/>
      <c r="G178" s="26"/>
      <c r="H178" s="96"/>
      <c r="I178" s="26"/>
      <c r="J178" s="26"/>
      <c r="Q178" s="40" t="str">
        <f>C178&amp;IF(ISBLANK(D178),"","=")&amp;D178</f>
        <v>;-----------------</v>
      </c>
      <c r="T178" s="40" t="str">
        <f>C178&amp;IF(ISBLANK(S178),"","=")&amp;S178</f>
        <v>;-----------------</v>
      </c>
    </row>
    <row r="179" spans="1:25" s="29" customFormat="1" x14ac:dyDescent="0.3">
      <c r="A179">
        <v>178</v>
      </c>
      <c r="B179" s="104"/>
      <c r="C179" s="105" t="s">
        <v>293</v>
      </c>
      <c r="D179" s="39"/>
      <c r="E179" s="26"/>
      <c r="F179" s="26"/>
      <c r="G179" s="26"/>
      <c r="H179" s="96"/>
      <c r="I179" s="26"/>
      <c r="J179" s="26"/>
      <c r="K179" s="39"/>
      <c r="L179"/>
      <c r="M179" s="43"/>
      <c r="N179" s="51"/>
      <c r="O179" s="51"/>
      <c r="P179" s="51"/>
      <c r="Q179" s="40" t="str">
        <f>C179&amp;IF(ISBLANK(D179),"","=")&amp;D179</f>
        <v>;Index 1</v>
      </c>
      <c r="R179"/>
      <c r="S179" s="39"/>
      <c r="T179" s="40" t="str">
        <f>C179&amp;IF(ISBLANK(S179),"","=")&amp;S179</f>
        <v>;Index 1</v>
      </c>
      <c r="U179" s="39"/>
      <c r="V179" s="40" t="str">
        <f>C179&amp;IF(ISBLANK(U179),"","=")&amp;U179</f>
        <v>;Index 1</v>
      </c>
      <c r="W179"/>
      <c r="X179"/>
      <c r="Y179"/>
    </row>
    <row r="180" spans="1:25" s="30" customFormat="1" x14ac:dyDescent="0.3">
      <c r="A180">
        <v>179</v>
      </c>
      <c r="B180"/>
      <c r="C180" s="39" t="s">
        <v>555</v>
      </c>
      <c r="D180" s="39"/>
      <c r="E180" s="26"/>
      <c r="F180" s="26"/>
      <c r="G180" s="26"/>
      <c r="H180" s="96"/>
      <c r="I180" s="26"/>
      <c r="J180" s="26"/>
      <c r="K180" s="39"/>
      <c r="L180"/>
      <c r="M180" s="43"/>
      <c r="N180" s="51"/>
      <c r="O180" s="51"/>
      <c r="P180" s="51"/>
      <c r="Q180" s="40" t="str">
        <f>C180&amp;IF(ISBLANK(D180),"","=")&amp;D180</f>
        <v>;Division:0  Degrees:1</v>
      </c>
      <c r="R180"/>
      <c r="S180" s="39"/>
      <c r="T180" s="40" t="str">
        <f>C180&amp;IF(ISBLANK(S180),"","=")&amp;S180</f>
        <v>;Division:0  Degrees:1</v>
      </c>
      <c r="U180" s="39"/>
      <c r="V180" s="40" t="str">
        <f>C180&amp;IF(ISBLANK(U180),"","=")&amp;U180</f>
        <v>;Division:0  Degrees:1</v>
      </c>
      <c r="W180"/>
      <c r="X180"/>
      <c r="Y180"/>
    </row>
    <row r="181" spans="1:25" x14ac:dyDescent="0.3">
      <c r="A181">
        <v>180</v>
      </c>
      <c r="B181" t="s">
        <v>0</v>
      </c>
      <c r="C181" s="39" t="s">
        <v>377</v>
      </c>
      <c r="D181" s="39">
        <v>1</v>
      </c>
      <c r="E181" s="26">
        <v>500</v>
      </c>
      <c r="F181" s="26">
        <v>503</v>
      </c>
      <c r="G181" s="26"/>
      <c r="H181" s="46" t="str">
        <f>DEC2HEX(I181)</f>
        <v>45</v>
      </c>
      <c r="I181" s="27">
        <v>69</v>
      </c>
      <c r="J181" s="27" t="str">
        <f>CHAR(I181)</f>
        <v>E</v>
      </c>
      <c r="L181">
        <f>IF(ISBLANK(D181),IF(E181&gt;0,F181-E181+1,0),0)</f>
        <v>0</v>
      </c>
      <c r="M181" s="43">
        <f>IF(ISBLANK(D181),0,IF(G181=0,F181-E181+1,0))</f>
        <v>4</v>
      </c>
      <c r="Q181" s="40" t="str">
        <f>C181&amp;IF(ISBLANK(D181),"","=")&amp;D181</f>
        <v>DivisionsOrDegrees_1=1</v>
      </c>
      <c r="S181" s="39">
        <v>1</v>
      </c>
      <c r="T181" s="40" t="str">
        <f>C181&amp;IF(ISBLANK(S181),"","=")&amp;S181</f>
        <v>DivisionsOrDegrees_1=1</v>
      </c>
      <c r="U181" s="39">
        <v>0</v>
      </c>
      <c r="V181" s="40" t="str">
        <f>C181&amp;IF(ISBLANK(U181),"","=")&amp;U181</f>
        <v>DivisionsOrDegrees_1=0</v>
      </c>
    </row>
    <row r="182" spans="1:25" s="29" customFormat="1" x14ac:dyDescent="0.3">
      <c r="A182">
        <v>181</v>
      </c>
      <c r="B182"/>
      <c r="C182" s="39" t="s">
        <v>292</v>
      </c>
      <c r="D182" s="39"/>
      <c r="E182" s="26"/>
      <c r="F182" s="26"/>
      <c r="G182" s="26"/>
      <c r="H182" s="96"/>
      <c r="I182" s="26"/>
      <c r="J182" s="26"/>
      <c r="K182" s="39"/>
      <c r="L182"/>
      <c r="M182" s="43"/>
      <c r="N182" s="51"/>
      <c r="O182" s="51"/>
      <c r="P182" s="51"/>
      <c r="Q182" s="40" t="str">
        <f>C182&amp;IF(ISBLANK(D182),"","=")&amp;D182</f>
        <v>;Fixed:0  File:1</v>
      </c>
      <c r="R182"/>
      <c r="S182" s="39"/>
      <c r="T182" s="40" t="str">
        <f>C182&amp;IF(ISBLANK(S182),"","=")&amp;S182</f>
        <v>;Fixed:0  File:1</v>
      </c>
      <c r="U182" s="39"/>
      <c r="V182" s="40" t="str">
        <f>C182&amp;IF(ISBLANK(U182),"","=")&amp;U182</f>
        <v>;Fixed:0  File:1</v>
      </c>
      <c r="W182"/>
      <c r="X182"/>
      <c r="Y182"/>
    </row>
    <row r="183" spans="1:25" x14ac:dyDescent="0.3">
      <c r="A183">
        <v>182</v>
      </c>
      <c r="B183" t="s">
        <v>0</v>
      </c>
      <c r="C183" s="39" t="s">
        <v>378</v>
      </c>
      <c r="D183" s="39">
        <v>0</v>
      </c>
      <c r="E183" s="26">
        <v>580</v>
      </c>
      <c r="F183" s="26">
        <v>583</v>
      </c>
      <c r="G183" s="26"/>
      <c r="H183" s="46" t="str">
        <f>DEC2HEX(I183)</f>
        <v>C4</v>
      </c>
      <c r="I183" s="27">
        <v>196</v>
      </c>
      <c r="J183" s="27" t="str">
        <f>CHAR(I183)</f>
        <v>Ä</v>
      </c>
      <c r="L183">
        <f>IF(ISBLANK(D183),IF(E183&gt;0,F183-E183+1,0),0)</f>
        <v>0</v>
      </c>
      <c r="M183" s="43">
        <f>IF(ISBLANK(D183),0,IF(G183=0,F183-E183+1,0))</f>
        <v>4</v>
      </c>
      <c r="Q183" s="40" t="str">
        <f>C183&amp;IF(ISBLANK(D183),"","=")&amp;D183</f>
        <v>FixedOrFile_1=0</v>
      </c>
      <c r="S183" s="39">
        <v>0</v>
      </c>
      <c r="T183" s="40" t="str">
        <f>C183&amp;IF(ISBLANK(S183),"","=")&amp;S183</f>
        <v>FixedOrFile_1=0</v>
      </c>
      <c r="U183" s="39">
        <v>1</v>
      </c>
      <c r="V183" s="40" t="str">
        <f>C183&amp;IF(ISBLANK(U183),"","=")&amp;U183</f>
        <v>FixedOrFile_1=1</v>
      </c>
    </row>
    <row r="184" spans="1:25" x14ac:dyDescent="0.3">
      <c r="A184">
        <v>183</v>
      </c>
      <c r="B184" t="s">
        <v>0</v>
      </c>
      <c r="C184" s="39" t="s">
        <v>379</v>
      </c>
      <c r="D184" s="39">
        <v>60.35</v>
      </c>
      <c r="E184" s="26"/>
      <c r="F184" s="26"/>
      <c r="G184" s="26"/>
      <c r="H184" s="46" t="str">
        <f>DEC2HEX(I184)</f>
        <v>BF</v>
      </c>
      <c r="I184" s="27">
        <v>191</v>
      </c>
      <c r="J184" s="27" t="str">
        <f>CHAR(I184)</f>
        <v>¿</v>
      </c>
      <c r="Q184" s="40" t="str">
        <f>C184&amp;IF(ISBLANK(D184),"","=")&amp;D184</f>
        <v>Size_1=60.35</v>
      </c>
      <c r="S184" s="39">
        <v>60</v>
      </c>
      <c r="T184" s="40" t="str">
        <f>C184&amp;IF(ISBLANK(S184),"","=")&amp;S184</f>
        <v>Size_1=60</v>
      </c>
      <c r="U184" s="39">
        <v>11</v>
      </c>
      <c r="V184" s="40" t="str">
        <f>C184&amp;IF(ISBLANK(U184),"","=")&amp;U184</f>
        <v>Size_1=11</v>
      </c>
      <c r="Y184" s="30"/>
    </row>
    <row r="185" spans="1:25" x14ac:dyDescent="0.3">
      <c r="A185">
        <v>184</v>
      </c>
      <c r="B185" s="104"/>
      <c r="C185" s="105" t="s">
        <v>294</v>
      </c>
      <c r="E185" s="26"/>
      <c r="F185" s="26"/>
      <c r="G185" s="26"/>
      <c r="H185" s="96"/>
      <c r="I185" s="26"/>
      <c r="J185" s="26"/>
      <c r="Q185" s="40" t="str">
        <f>C185&amp;IF(ISBLANK(D185),"","=")&amp;D185</f>
        <v>;Index 2</v>
      </c>
      <c r="T185" s="40" t="str">
        <f>C185&amp;IF(ISBLANK(S185),"","=")&amp;S185</f>
        <v>;Index 2</v>
      </c>
      <c r="V185" s="40" t="str">
        <f>C185&amp;IF(ISBLANK(U185),"","=")&amp;U185</f>
        <v>;Index 2</v>
      </c>
    </row>
    <row r="186" spans="1:25" x14ac:dyDescent="0.3">
      <c r="A186">
        <v>185</v>
      </c>
      <c r="B186" t="s">
        <v>0</v>
      </c>
      <c r="C186" s="39" t="s">
        <v>380</v>
      </c>
      <c r="D186" s="39">
        <v>1</v>
      </c>
      <c r="E186" s="26">
        <v>504</v>
      </c>
      <c r="F186" s="26">
        <v>507</v>
      </c>
      <c r="G186" s="26"/>
      <c r="H186" s="46" t="str">
        <f>DEC2HEX(I186)</f>
        <v>45</v>
      </c>
      <c r="I186" s="27">
        <v>69</v>
      </c>
      <c r="J186" s="27" t="str">
        <f>CHAR(I186)</f>
        <v>E</v>
      </c>
      <c r="L186">
        <f>IF(ISBLANK(D186),IF(E186&gt;0,F186-E186+1,0),0)</f>
        <v>0</v>
      </c>
      <c r="M186" s="43">
        <f>IF(ISBLANK(D186),0,IF(G186=0,F186-E186+1,0))</f>
        <v>4</v>
      </c>
      <c r="Q186" s="40" t="str">
        <f>C186&amp;IF(ISBLANK(D186),"","=")&amp;D186</f>
        <v>DivisionsOrDegrees_2=1</v>
      </c>
      <c r="S186" s="39">
        <v>1</v>
      </c>
      <c r="T186" s="40" t="str">
        <f>C186&amp;IF(ISBLANK(S186),"","=")&amp;S186</f>
        <v>DivisionsOrDegrees_2=1</v>
      </c>
      <c r="U186" s="39">
        <v>0</v>
      </c>
      <c r="V186" s="40" t="str">
        <f>C186&amp;IF(ISBLANK(U186),"","=")&amp;U186</f>
        <v>DivisionsOrDegrees_2=0</v>
      </c>
    </row>
    <row r="187" spans="1:25" x14ac:dyDescent="0.3">
      <c r="A187">
        <v>186</v>
      </c>
      <c r="B187" t="s">
        <v>0</v>
      </c>
      <c r="C187" s="39" t="s">
        <v>381</v>
      </c>
      <c r="D187" s="39">
        <v>0</v>
      </c>
      <c r="E187" s="26">
        <v>584</v>
      </c>
      <c r="F187" s="26">
        <v>587</v>
      </c>
      <c r="G187" s="26"/>
      <c r="H187" s="46" t="str">
        <f>DEC2HEX(I187)</f>
        <v>C4</v>
      </c>
      <c r="I187" s="27">
        <v>196</v>
      </c>
      <c r="J187" s="27" t="str">
        <f>CHAR(I187)</f>
        <v>Ä</v>
      </c>
      <c r="L187">
        <f>IF(ISBLANK(D187),IF(E187&gt;0,F187-E187+1,0),0)</f>
        <v>0</v>
      </c>
      <c r="M187" s="43">
        <f>IF(ISBLANK(D187),0,IF(G187=0,F187-E187+1,0))</f>
        <v>4</v>
      </c>
      <c r="Q187" s="40" t="str">
        <f>C187&amp;IF(ISBLANK(D187),"","=")&amp;D187</f>
        <v>FixedOrFile_2=0</v>
      </c>
      <c r="S187" s="39">
        <v>0</v>
      </c>
      <c r="T187" s="40" t="str">
        <f>C187&amp;IF(ISBLANK(S187),"","=")&amp;S187</f>
        <v>FixedOrFile_2=0</v>
      </c>
      <c r="U187" s="39">
        <v>1</v>
      </c>
    </row>
    <row r="188" spans="1:25" x14ac:dyDescent="0.3">
      <c r="A188">
        <v>187</v>
      </c>
      <c r="B188" t="s">
        <v>0</v>
      </c>
      <c r="C188" s="39" t="s">
        <v>382</v>
      </c>
      <c r="D188" s="39">
        <v>22.5</v>
      </c>
      <c r="E188" s="26"/>
      <c r="F188" s="26"/>
      <c r="G188" s="26"/>
      <c r="H188" s="46" t="str">
        <f>DEC2HEX(I188)</f>
        <v>BF</v>
      </c>
      <c r="I188" s="27">
        <v>191</v>
      </c>
      <c r="J188" s="27" t="str">
        <f>CHAR(I188)</f>
        <v>¿</v>
      </c>
      <c r="Q188" s="40" t="str">
        <f>C188&amp;IF(ISBLANK(D188),"","=")&amp;D188</f>
        <v>Size_2=22.5</v>
      </c>
      <c r="S188" s="39">
        <v>180</v>
      </c>
      <c r="T188" s="40" t="str">
        <f>C188&amp;IF(ISBLANK(S188),"","=")&amp;S188</f>
        <v>Size_2=180</v>
      </c>
      <c r="U188" s="39">
        <v>180</v>
      </c>
      <c r="Y188" s="30"/>
    </row>
    <row r="189" spans="1:25" x14ac:dyDescent="0.3">
      <c r="A189">
        <v>188</v>
      </c>
      <c r="B189" s="104"/>
      <c r="C189" s="105" t="s">
        <v>295</v>
      </c>
      <c r="E189" s="26"/>
      <c r="F189" s="26"/>
      <c r="G189" s="26"/>
      <c r="H189" s="96"/>
      <c r="I189" s="26"/>
      <c r="J189" s="26"/>
      <c r="K189" s="110"/>
      <c r="Q189" s="40" t="str">
        <f>C189&amp;IF(ISBLANK(D189),"","=")&amp;D189</f>
        <v>;Index 3</v>
      </c>
      <c r="T189" s="40" t="str">
        <f>C189&amp;IF(ISBLANK(S189),"","=")&amp;S189</f>
        <v>;Index 3</v>
      </c>
      <c r="V189" s="40" t="str">
        <f>C189&amp;IF(ISBLANK(U189),"","=")&amp;U189</f>
        <v>;Index 3</v>
      </c>
    </row>
    <row r="190" spans="1:25" x14ac:dyDescent="0.3">
      <c r="A190">
        <v>189</v>
      </c>
      <c r="B190" t="s">
        <v>0</v>
      </c>
      <c r="C190" s="39" t="s">
        <v>383</v>
      </c>
      <c r="D190" s="39">
        <v>1</v>
      </c>
      <c r="E190" s="26">
        <v>508</v>
      </c>
      <c r="F190" s="26">
        <v>511</v>
      </c>
      <c r="G190" s="26"/>
      <c r="H190" s="46" t="str">
        <f>DEC2HEX(I190)</f>
        <v>45</v>
      </c>
      <c r="I190" s="27">
        <v>69</v>
      </c>
      <c r="J190" s="27" t="str">
        <f>CHAR(I190)</f>
        <v>E</v>
      </c>
      <c r="L190">
        <f>IF(ISBLANK(D190),IF(E190&gt;0,F190-E190+1,0),0)</f>
        <v>0</v>
      </c>
      <c r="M190" s="43">
        <f>IF(ISBLANK(D190),0,IF(G190=0,F190-E190+1,0))</f>
        <v>4</v>
      </c>
      <c r="Q190" s="40" t="str">
        <f>C190&amp;IF(ISBLANK(D190),"","=")&amp;D190</f>
        <v>DivisionsOrDegrees_3=1</v>
      </c>
      <c r="S190" s="39">
        <v>1</v>
      </c>
      <c r="T190" s="40" t="str">
        <f>C190&amp;IF(ISBLANK(S190),"","=")&amp;S190</f>
        <v>DivisionsOrDegrees_3=1</v>
      </c>
      <c r="U190" s="39">
        <v>0</v>
      </c>
      <c r="V190" s="40" t="str">
        <f>C190&amp;IF(ISBLANK(U190),"","=")&amp;U190</f>
        <v>DivisionsOrDegrees_3=0</v>
      </c>
    </row>
    <row r="191" spans="1:25" s="30" customFormat="1" x14ac:dyDescent="0.3">
      <c r="A191">
        <v>190</v>
      </c>
      <c r="B191" t="s">
        <v>0</v>
      </c>
      <c r="C191" s="39" t="s">
        <v>384</v>
      </c>
      <c r="D191" s="39">
        <v>0</v>
      </c>
      <c r="E191" s="26">
        <v>588</v>
      </c>
      <c r="F191" s="26">
        <v>591</v>
      </c>
      <c r="G191" s="26"/>
      <c r="H191" s="46" t="str">
        <f>DEC2HEX(I191)</f>
        <v>C4</v>
      </c>
      <c r="I191" s="27">
        <v>196</v>
      </c>
      <c r="J191" s="27" t="str">
        <f>CHAR(I191)</f>
        <v>Ä</v>
      </c>
      <c r="K191" s="110"/>
      <c r="L191">
        <f>IF(ISBLANK(D191),IF(E191&gt;0,F191-E191+1,0),0)</f>
        <v>0</v>
      </c>
      <c r="M191" s="43">
        <f>IF(ISBLANK(D191),0,IF(G191=0,F191-E191+1,0))</f>
        <v>4</v>
      </c>
      <c r="N191" s="51"/>
      <c r="O191" s="51"/>
      <c r="P191" s="51"/>
      <c r="Q191" s="40" t="str">
        <f>C191&amp;IF(ISBLANK(D191),"","=")&amp;D191</f>
        <v>FixedOrFile_3=0</v>
      </c>
      <c r="R191"/>
      <c r="S191" s="39">
        <v>0</v>
      </c>
      <c r="T191" s="40" t="str">
        <f>C191&amp;IF(ISBLANK(S191),"","=")&amp;S191</f>
        <v>FixedOrFile_3=0</v>
      </c>
      <c r="U191" s="39">
        <v>1</v>
      </c>
      <c r="V191" s="40" t="str">
        <f>C191&amp;IF(ISBLANK(U191),"","=")&amp;U191</f>
        <v>FixedOrFile_3=1</v>
      </c>
      <c r="W191"/>
      <c r="X191"/>
      <c r="Y191"/>
    </row>
    <row r="192" spans="1:25" x14ac:dyDescent="0.3">
      <c r="A192">
        <v>191</v>
      </c>
      <c r="B192" t="s">
        <v>0</v>
      </c>
      <c r="C192" s="110" t="s">
        <v>385</v>
      </c>
      <c r="D192" s="39">
        <v>11.24</v>
      </c>
      <c r="E192" s="26"/>
      <c r="F192" s="26"/>
      <c r="G192" s="26"/>
      <c r="H192" s="46" t="str">
        <f>DEC2HEX(I192)</f>
        <v>BF</v>
      </c>
      <c r="I192" s="27">
        <v>191</v>
      </c>
      <c r="J192" s="27" t="str">
        <f>CHAR(I192)</f>
        <v>¿</v>
      </c>
      <c r="Q192" s="40" t="str">
        <f>C192&amp;IF(ISBLANK(D192),"","=")&amp;D192</f>
        <v>Size_3=11.24</v>
      </c>
      <c r="S192" s="39">
        <v>45</v>
      </c>
      <c r="T192" s="40" t="str">
        <f>C192&amp;IF(ISBLANK(S192),"","=")&amp;S192</f>
        <v>Size_3=45</v>
      </c>
      <c r="U192" s="39">
        <v>11</v>
      </c>
      <c r="V192" s="40" t="str">
        <f>C192&amp;IF(ISBLANK(U192),"","=")&amp;U192</f>
        <v>Size_3=11</v>
      </c>
      <c r="Y192" s="30"/>
    </row>
    <row r="193" spans="1:25" x14ac:dyDescent="0.3">
      <c r="A193">
        <v>192</v>
      </c>
      <c r="B193" s="104"/>
      <c r="C193" s="105" t="s">
        <v>296</v>
      </c>
      <c r="E193" s="26"/>
      <c r="F193" s="26"/>
      <c r="G193" s="26"/>
      <c r="H193" s="96"/>
      <c r="I193" s="26"/>
      <c r="J193" s="26"/>
      <c r="Q193" s="40" t="str">
        <f>C193&amp;IF(ISBLANK(D193),"","=")&amp;D193</f>
        <v>;Index 4</v>
      </c>
      <c r="T193" s="40" t="str">
        <f>C193&amp;IF(ISBLANK(S193),"","=")&amp;S193</f>
        <v>;Index 4</v>
      </c>
      <c r="V193" s="40" t="str">
        <f>C193&amp;IF(ISBLANK(U193),"","=")&amp;U193</f>
        <v>;Index 4</v>
      </c>
    </row>
    <row r="194" spans="1:25" x14ac:dyDescent="0.3">
      <c r="A194">
        <v>193</v>
      </c>
      <c r="B194" t="s">
        <v>0</v>
      </c>
      <c r="C194" s="39" t="s">
        <v>386</v>
      </c>
      <c r="D194" s="39">
        <v>0</v>
      </c>
      <c r="E194" s="26">
        <v>536</v>
      </c>
      <c r="F194" s="26">
        <v>539</v>
      </c>
      <c r="G194" s="26"/>
      <c r="H194" s="46" t="str">
        <f>DEC2HEX(I194)</f>
        <v>45</v>
      </c>
      <c r="I194" s="27">
        <v>69</v>
      </c>
      <c r="J194" s="27" t="str">
        <f>CHAR(I194)</f>
        <v>E</v>
      </c>
      <c r="L194">
        <f>IF(ISBLANK(D194),IF(E194&gt;0,F194-E194+1,0),0)</f>
        <v>0</v>
      </c>
      <c r="M194" s="43">
        <f>IF(ISBLANK(D194),0,IF(G194=0,F194-E194+1,0))</f>
        <v>4</v>
      </c>
      <c r="Q194" s="40" t="str">
        <f>C194&amp;IF(ISBLANK(D194),"","=")&amp;D194</f>
        <v>DivisionsOrDegrees_4=0</v>
      </c>
      <c r="S194" s="39">
        <v>0</v>
      </c>
      <c r="T194" s="40" t="str">
        <f>C194&amp;IF(ISBLANK(S194),"","=")&amp;S194</f>
        <v>DivisionsOrDegrees_4=0</v>
      </c>
      <c r="U194" s="39">
        <v>1</v>
      </c>
      <c r="V194" s="40" t="str">
        <f>C194&amp;IF(ISBLANK(U194),"","=")&amp;U194</f>
        <v>DivisionsOrDegrees_4=1</v>
      </c>
    </row>
    <row r="195" spans="1:25" x14ac:dyDescent="0.3">
      <c r="A195">
        <v>194</v>
      </c>
      <c r="B195" t="s">
        <v>0</v>
      </c>
      <c r="C195" s="39" t="s">
        <v>387</v>
      </c>
      <c r="D195" s="39">
        <v>0</v>
      </c>
      <c r="E195" s="26">
        <v>592</v>
      </c>
      <c r="F195" s="26">
        <v>595</v>
      </c>
      <c r="G195" s="26"/>
      <c r="H195" s="46" t="str">
        <f>DEC2HEX(I195)</f>
        <v>C4</v>
      </c>
      <c r="I195" s="27">
        <v>196</v>
      </c>
      <c r="J195" s="27" t="str">
        <f>CHAR(I195)</f>
        <v>Ä</v>
      </c>
      <c r="L195">
        <f>IF(ISBLANK(D195),IF(E195&gt;0,F195-E195+1,0),0)</f>
        <v>0</v>
      </c>
      <c r="M195" s="43">
        <f>IF(ISBLANK(D195),0,IF(G195=0,F195-E195+1,0))</f>
        <v>4</v>
      </c>
      <c r="Q195" s="40" t="str">
        <f>C195&amp;IF(ISBLANK(D195),"","=")&amp;D195</f>
        <v>FixedOrFile_4=0</v>
      </c>
      <c r="S195" s="39">
        <v>0</v>
      </c>
      <c r="T195" s="40" t="str">
        <f>C195&amp;IF(ISBLANK(S195),"","=")&amp;S195</f>
        <v>FixedOrFile_4=0</v>
      </c>
      <c r="U195" s="39">
        <v>1</v>
      </c>
      <c r="V195" s="40" t="str">
        <f>C195&amp;IF(ISBLANK(U195),"","=")&amp;U195</f>
        <v>FixedOrFile_4=1</v>
      </c>
    </row>
    <row r="196" spans="1:25" x14ac:dyDescent="0.3">
      <c r="A196">
        <v>195</v>
      </c>
      <c r="B196" t="s">
        <v>0</v>
      </c>
      <c r="C196" s="39" t="s">
        <v>388</v>
      </c>
      <c r="D196" s="39">
        <v>180</v>
      </c>
      <c r="E196" s="26"/>
      <c r="F196" s="26"/>
      <c r="G196" s="26"/>
      <c r="H196" s="46" t="str">
        <f>DEC2HEX(I196)</f>
        <v>BF</v>
      </c>
      <c r="I196" s="27">
        <v>191</v>
      </c>
      <c r="J196" s="27" t="str">
        <f>CHAR(I196)</f>
        <v>¿</v>
      </c>
      <c r="Q196" s="40" t="str">
        <f>C196&amp;IF(ISBLANK(D196),"","=")&amp;D196</f>
        <v>Size_4=180</v>
      </c>
      <c r="S196" s="39">
        <v>4</v>
      </c>
      <c r="T196" s="40" t="str">
        <f>C196&amp;IF(ISBLANK(S196),"","=")&amp;S196</f>
        <v>Size_4=4</v>
      </c>
      <c r="U196" s="39">
        <v>11</v>
      </c>
      <c r="V196" s="40" t="str">
        <f>C196&amp;IF(ISBLANK(U196),"","=")&amp;U196</f>
        <v>Size_4=11</v>
      </c>
    </row>
    <row r="197" spans="1:25" x14ac:dyDescent="0.3">
      <c r="A197">
        <v>196</v>
      </c>
      <c r="B197" s="104"/>
      <c r="C197" s="105" t="s">
        <v>297</v>
      </c>
      <c r="E197" s="26"/>
      <c r="F197" s="26"/>
      <c r="G197" s="26"/>
      <c r="H197" s="96"/>
      <c r="I197" s="26"/>
      <c r="J197" s="26"/>
      <c r="Q197" s="40" t="str">
        <f>C197&amp;IF(ISBLANK(D197),"","=")&amp;D197</f>
        <v>;Index 5</v>
      </c>
      <c r="T197" s="40" t="str">
        <f>C197&amp;IF(ISBLANK(S197),"","=")&amp;S197</f>
        <v>;Index 5</v>
      </c>
      <c r="V197" s="40" t="str">
        <f>C197&amp;IF(ISBLANK(U197),"","=")&amp;U197</f>
        <v>;Index 5</v>
      </c>
    </row>
    <row r="198" spans="1:25" x14ac:dyDescent="0.3">
      <c r="A198">
        <v>197</v>
      </c>
      <c r="B198" t="s">
        <v>0</v>
      </c>
      <c r="C198" s="39" t="s">
        <v>389</v>
      </c>
      <c r="D198" s="39">
        <v>0</v>
      </c>
      <c r="E198" s="26">
        <v>540</v>
      </c>
      <c r="F198" s="26">
        <v>543</v>
      </c>
      <c r="G198" s="26"/>
      <c r="H198" s="46" t="str">
        <f>DEC2HEX(I198)</f>
        <v>45</v>
      </c>
      <c r="I198" s="27">
        <v>69</v>
      </c>
      <c r="J198" s="27" t="str">
        <f>CHAR(I198)</f>
        <v>E</v>
      </c>
      <c r="K198" s="110"/>
      <c r="L198">
        <f>IF(ISBLANK(D198),IF(E198&gt;0,F198-E198+1,0),0)</f>
        <v>0</v>
      </c>
      <c r="M198" s="43">
        <f>IF(ISBLANK(D198),0,IF(G198=0,F198-E198+1,0))</f>
        <v>4</v>
      </c>
      <c r="Q198" s="40" t="str">
        <f>C198&amp;IF(ISBLANK(D198),"","=")&amp;D198</f>
        <v>DivisionsOrDegrees_5=0</v>
      </c>
      <c r="S198" s="39">
        <v>0</v>
      </c>
      <c r="T198" s="40" t="str">
        <f>C198&amp;IF(ISBLANK(S198),"","=")&amp;S198</f>
        <v>DivisionsOrDegrees_5=0</v>
      </c>
      <c r="U198" s="39">
        <v>1</v>
      </c>
      <c r="V198" s="40" t="str">
        <f>C198&amp;IF(ISBLANK(U198),"","=")&amp;U198</f>
        <v>DivisionsOrDegrees_5=1</v>
      </c>
    </row>
    <row r="199" spans="1:25" x14ac:dyDescent="0.3">
      <c r="A199">
        <v>198</v>
      </c>
      <c r="B199" t="s">
        <v>0</v>
      </c>
      <c r="C199" s="39" t="s">
        <v>390</v>
      </c>
      <c r="D199" s="39">
        <v>0</v>
      </c>
      <c r="E199" s="26">
        <v>596</v>
      </c>
      <c r="F199" s="26">
        <v>599</v>
      </c>
      <c r="G199" s="26"/>
      <c r="H199" s="46" t="str">
        <f>DEC2HEX(I199)</f>
        <v>C4</v>
      </c>
      <c r="I199" s="27">
        <v>196</v>
      </c>
      <c r="J199" s="27" t="str">
        <f>CHAR(I199)</f>
        <v>Ä</v>
      </c>
      <c r="L199">
        <f>IF(ISBLANK(D199),IF(E199&gt;0,F199-E199+1,0),0)</f>
        <v>0</v>
      </c>
      <c r="M199" s="43">
        <f>IF(ISBLANK(D199),0,IF(G199=0,F199-E199+1,0))</f>
        <v>4</v>
      </c>
      <c r="Q199" s="40" t="str">
        <f>C199&amp;IF(ISBLANK(D199),"","=")&amp;D199</f>
        <v>FixedOrFile_5=0</v>
      </c>
      <c r="S199" s="39">
        <v>0</v>
      </c>
      <c r="T199" s="40" t="str">
        <f>C199&amp;IF(ISBLANK(S199),"","=")&amp;S199</f>
        <v>FixedOrFile_5=0</v>
      </c>
      <c r="U199" s="39">
        <v>1</v>
      </c>
      <c r="V199" s="40" t="str">
        <f>C199&amp;IF(ISBLANK(U199),"","=")&amp;U199</f>
        <v>FixedOrFile_5=1</v>
      </c>
    </row>
    <row r="200" spans="1:25" x14ac:dyDescent="0.3">
      <c r="A200">
        <v>199</v>
      </c>
      <c r="B200" t="s">
        <v>0</v>
      </c>
      <c r="C200" s="39" t="s">
        <v>391</v>
      </c>
      <c r="D200" s="39">
        <v>45</v>
      </c>
      <c r="E200" s="26"/>
      <c r="F200" s="26"/>
      <c r="G200" s="26"/>
      <c r="H200" s="46" t="str">
        <f>DEC2HEX(I200)</f>
        <v>BF</v>
      </c>
      <c r="I200" s="27">
        <v>191</v>
      </c>
      <c r="J200" s="27" t="str">
        <f>CHAR(I200)</f>
        <v>¿</v>
      </c>
      <c r="Q200" s="40" t="str">
        <f>C200&amp;IF(ISBLANK(D200),"","=")&amp;D200</f>
        <v>Size_5=45</v>
      </c>
      <c r="S200" s="39">
        <v>5</v>
      </c>
      <c r="T200" s="40" t="str">
        <f>C200&amp;IF(ISBLANK(S200),"","=")&amp;S200</f>
        <v>Size_5=5</v>
      </c>
      <c r="U200" s="39">
        <v>111</v>
      </c>
      <c r="V200" s="40" t="str">
        <f>C200&amp;IF(ISBLANK(U200),"","=")&amp;U200</f>
        <v>Size_5=111</v>
      </c>
    </row>
    <row r="201" spans="1:25" x14ac:dyDescent="0.3">
      <c r="A201">
        <v>200</v>
      </c>
      <c r="C201" s="39" t="s">
        <v>229</v>
      </c>
      <c r="E201" s="26"/>
      <c r="F201" s="26"/>
      <c r="G201" s="26"/>
      <c r="H201" s="96"/>
      <c r="I201" s="26"/>
      <c r="J201" s="26"/>
      <c r="Q201" s="40" t="str">
        <f>C201&amp;IF(ISBLANK(D201),"","=")&amp;D201</f>
        <v>;</v>
      </c>
      <c r="T201" s="40" t="str">
        <f>C201&amp;IF(ISBLANK(S201),"","=")&amp;S201</f>
        <v>;</v>
      </c>
      <c r="V201" s="40" t="str">
        <f>C201&amp;IF(ISBLANK(U201),"","=")&amp;U201</f>
        <v>;</v>
      </c>
    </row>
    <row r="202" spans="1:25" s="30" customFormat="1" x14ac:dyDescent="0.3">
      <c r="A202">
        <v>201</v>
      </c>
      <c r="B202" s="76"/>
      <c r="C202" s="77" t="s">
        <v>298</v>
      </c>
      <c r="D202" s="77"/>
      <c r="E202" s="76"/>
      <c r="F202" s="76"/>
      <c r="G202" s="76"/>
      <c r="H202" s="78"/>
      <c r="I202" s="76"/>
      <c r="J202" s="76"/>
      <c r="K202" s="77"/>
      <c r="L202" s="76"/>
      <c r="M202" s="79"/>
      <c r="N202" s="76"/>
      <c r="O202" s="76"/>
      <c r="P202" s="76"/>
      <c r="Q202" s="76" t="str">
        <f>C202&amp;IF(ISBLANK(D202),"","=")&amp;D202</f>
        <v>[Move]</v>
      </c>
      <c r="R202" s="76"/>
      <c r="S202" s="77"/>
      <c r="T202" s="76" t="str">
        <f>C202&amp;IF(ISBLANK(S202),"","=")&amp;S202</f>
        <v>[Move]</v>
      </c>
      <c r="U202" s="77"/>
      <c r="V202" s="40" t="str">
        <f>C202&amp;IF(ISBLANK(U202),"","=")&amp;U202</f>
        <v>[Move]</v>
      </c>
      <c r="W202"/>
      <c r="X202"/>
      <c r="Y202"/>
    </row>
    <row r="203" spans="1:25" x14ac:dyDescent="0.3">
      <c r="A203">
        <v>202</v>
      </c>
      <c r="C203" s="39" t="s">
        <v>229</v>
      </c>
      <c r="E203" s="26"/>
      <c r="F203" s="26"/>
      <c r="G203" s="26"/>
      <c r="H203" s="96"/>
      <c r="I203" s="26"/>
      <c r="J203" s="26"/>
      <c r="Q203" s="40" t="str">
        <f>C203&amp;IF(ISBLANK(D203),"","=")&amp;D203</f>
        <v>;</v>
      </c>
      <c r="T203" s="40" t="str">
        <f>C203&amp;IF(ISBLANK(S203),"","=")&amp;S203</f>
        <v>;</v>
      </c>
    </row>
    <row r="204" spans="1:25" x14ac:dyDescent="0.3">
      <c r="A204">
        <v>203</v>
      </c>
      <c r="B204" t="s">
        <v>42</v>
      </c>
      <c r="C204" s="39" t="s">
        <v>260</v>
      </c>
      <c r="D204" s="39">
        <v>1</v>
      </c>
      <c r="E204" s="26">
        <v>436</v>
      </c>
      <c r="F204" s="26">
        <v>439</v>
      </c>
      <c r="G204" s="26"/>
      <c r="H204" s="46" t="str">
        <f>DEC2HEX(I204)</f>
        <v>42</v>
      </c>
      <c r="I204" s="27">
        <v>66</v>
      </c>
      <c r="J204" s="27" t="str">
        <f>CHAR(I204)</f>
        <v>B</v>
      </c>
      <c r="L204">
        <f>IF(ISBLANK(D204),IF(E204&gt;0,F204-E204+1,0),0)</f>
        <v>0</v>
      </c>
      <c r="M204" s="43">
        <f>IF(ISBLANK(D204),0,IF(G204=0,F204-E204+1,0))</f>
        <v>4</v>
      </c>
      <c r="Q204" s="40" t="str">
        <f>C204&amp;IF(ISBLANK(D204),"","=")&amp;D204</f>
        <v>AxisId=1</v>
      </c>
      <c r="S204" s="39">
        <v>1</v>
      </c>
      <c r="T204" s="40" t="str">
        <f>C204&amp;IF(ISBLANK(S204),"","=")&amp;S204</f>
        <v>AxisId=1</v>
      </c>
      <c r="U204" s="39">
        <v>3</v>
      </c>
      <c r="V204" s="40" t="str">
        <f>C204&amp;IF(ISBLANK(U204),"","=")&amp;U204</f>
        <v>AxisId=3</v>
      </c>
    </row>
    <row r="205" spans="1:25" s="30" customFormat="1" x14ac:dyDescent="0.3">
      <c r="A205">
        <v>204</v>
      </c>
      <c r="C205" s="112" t="s">
        <v>278</v>
      </c>
      <c r="D205" s="112"/>
      <c r="H205" s="112"/>
      <c r="K205" s="45"/>
      <c r="M205" s="72"/>
      <c r="Q205" s="30" t="str">
        <f>C205&amp;IF(ISBLANK(D205),"","=")&amp;D205</f>
        <v>;Z Axis</v>
      </c>
      <c r="S205" s="45"/>
      <c r="T205" s="30" t="str">
        <f>C205&amp;IF(ISBLANK(S205),"","=")&amp;S205</f>
        <v>;Z Axis</v>
      </c>
      <c r="U205" s="112"/>
      <c r="V205" s="30" t="str">
        <f>C205&amp;IF(ISBLANK(U205),"","=")&amp;U205</f>
        <v>;Z Axis</v>
      </c>
      <c r="Y205"/>
    </row>
    <row r="206" spans="1:25" x14ac:dyDescent="0.3">
      <c r="A206">
        <v>205</v>
      </c>
      <c r="B206" t="s">
        <v>42</v>
      </c>
      <c r="C206" s="39" t="s">
        <v>359</v>
      </c>
      <c r="D206" s="39">
        <v>5080</v>
      </c>
      <c r="E206" s="26"/>
      <c r="F206" s="26"/>
      <c r="G206" s="26"/>
      <c r="H206" s="46" t="str">
        <f>DEC2HEX(I206)</f>
        <v>B9</v>
      </c>
      <c r="I206" s="27">
        <v>185</v>
      </c>
      <c r="J206" s="27" t="str">
        <f>CHAR(I206)</f>
        <v>¹</v>
      </c>
      <c r="Q206" s="40" t="str">
        <f>C206&amp;IF(ISBLANK(D206),"","=")&amp;D206</f>
        <v>MaxSpeed_Z=5080</v>
      </c>
      <c r="S206" s="39">
        <v>30000</v>
      </c>
      <c r="T206" s="40" t="str">
        <f>C206&amp;IF(ISBLANK(S206),"","=")&amp;S206</f>
        <v>MaxSpeed_Z=30000</v>
      </c>
      <c r="U206" s="39">
        <v>1000</v>
      </c>
      <c r="V206" s="40" t="str">
        <f>C206&amp;IF(ISBLANK(U206),"","=")&amp;U206</f>
        <v>MaxSpeed_Z=1000</v>
      </c>
    </row>
    <row r="207" spans="1:25" x14ac:dyDescent="0.3">
      <c r="A207">
        <v>206</v>
      </c>
      <c r="B207" t="s">
        <v>42</v>
      </c>
      <c r="C207" s="39" t="s">
        <v>360</v>
      </c>
      <c r="D207" s="39">
        <v>5081</v>
      </c>
      <c r="E207" s="26"/>
      <c r="F207" s="26"/>
      <c r="G207" s="26"/>
      <c r="H207" s="46" t="str">
        <f>DEC2HEX(I207)</f>
        <v>BA</v>
      </c>
      <c r="I207" s="27">
        <v>186</v>
      </c>
      <c r="J207" s="27" t="str">
        <f>CHAR(I207)</f>
        <v>º</v>
      </c>
      <c r="Q207" s="40" t="str">
        <f>C207&amp;IF(ISBLANK(D207),"","=")&amp;D207</f>
        <v>Accel_Z=5081</v>
      </c>
      <c r="S207" s="39">
        <v>20000</v>
      </c>
      <c r="T207" s="40" t="str">
        <f>C207&amp;IF(ISBLANK(S207),"","=")&amp;S207</f>
        <v>Accel_Z=20000</v>
      </c>
      <c r="U207" s="39">
        <v>1000</v>
      </c>
      <c r="V207" s="40" t="str">
        <f>C207&amp;IF(ISBLANK(U207),"","=")&amp;U207</f>
        <v>Accel_Z=1000</v>
      </c>
    </row>
    <row r="208" spans="1:25" x14ac:dyDescent="0.3">
      <c r="A208">
        <v>207</v>
      </c>
      <c r="B208" t="s">
        <v>42</v>
      </c>
      <c r="C208" s="39" t="s">
        <v>361</v>
      </c>
      <c r="D208" s="39">
        <v>82</v>
      </c>
      <c r="E208" s="26"/>
      <c r="F208" s="26"/>
      <c r="G208" s="26"/>
      <c r="H208" s="46" t="str">
        <f>DEC2HEX(I208)</f>
        <v>6F</v>
      </c>
      <c r="I208" s="26">
        <v>111</v>
      </c>
      <c r="J208" s="27" t="str">
        <f>CHAR(I208)</f>
        <v>o</v>
      </c>
      <c r="Q208" s="40" t="str">
        <f>C208&amp;IF(ISBLANK(D208),"","=")&amp;D208</f>
        <v>SpeedPercentage_Z=82</v>
      </c>
      <c r="R208" s="110"/>
      <c r="S208" s="39">
        <v>100</v>
      </c>
      <c r="T208" s="40" t="str">
        <f>C208&amp;IF(ISBLANK(S208),"","=")&amp;S208</f>
        <v>SpeedPercentage_Z=100</v>
      </c>
      <c r="U208" s="39">
        <v>11</v>
      </c>
      <c r="V208" s="40" t="str">
        <f>C208&amp;IF(ISBLANK(U208),"","=")&amp;U208</f>
        <v>SpeedPercentage_Z=11</v>
      </c>
    </row>
    <row r="209" spans="1:25" x14ac:dyDescent="0.3">
      <c r="A209">
        <v>208</v>
      </c>
      <c r="B209" t="s">
        <v>42</v>
      </c>
      <c r="C209" s="39" t="s">
        <v>392</v>
      </c>
      <c r="D209" s="39">
        <v>4.125</v>
      </c>
      <c r="E209" s="26"/>
      <c r="F209" s="26"/>
      <c r="G209" s="26"/>
      <c r="H209" s="46" t="str">
        <f>DEC2HEX(I209)</f>
        <v>B5</v>
      </c>
      <c r="I209" s="27">
        <v>181</v>
      </c>
      <c r="J209" s="27" t="str">
        <f>CHAR(I209)</f>
        <v>µ</v>
      </c>
      <c r="Q209" s="40" t="str">
        <f>C209&amp;IF(ISBLANK(D209),"","=")&amp;D209</f>
        <v>Distance_Z1=4.125</v>
      </c>
      <c r="S209" s="39">
        <v>0.2</v>
      </c>
      <c r="T209" s="40" t="str">
        <f>C209&amp;IF(ISBLANK(S209),"","=")&amp;S209</f>
        <v>Distance_Z1=0.2</v>
      </c>
      <c r="U209" s="39">
        <v>11</v>
      </c>
      <c r="V209" s="40" t="str">
        <f>C209&amp;IF(ISBLANK(U209),"","=")&amp;U209</f>
        <v>Distance_Z1=11</v>
      </c>
    </row>
    <row r="210" spans="1:25" x14ac:dyDescent="0.3">
      <c r="A210">
        <v>209</v>
      </c>
      <c r="B210" t="s">
        <v>42</v>
      </c>
      <c r="C210" s="39" t="s">
        <v>393</v>
      </c>
      <c r="D210" s="39">
        <v>3.1</v>
      </c>
      <c r="E210" s="26"/>
      <c r="F210" s="26"/>
      <c r="G210" s="26"/>
      <c r="H210" s="46" t="str">
        <f>DEC2HEX(I210)</f>
        <v>B5</v>
      </c>
      <c r="I210" s="27">
        <v>181</v>
      </c>
      <c r="J210" s="27" t="str">
        <f>CHAR(I210)</f>
        <v>µ</v>
      </c>
      <c r="Q210" s="40" t="str">
        <f>C210&amp;IF(ISBLANK(D210),"","=")&amp;D210</f>
        <v>Distance_Z2=3.1</v>
      </c>
      <c r="R210" s="110"/>
      <c r="S210" s="39">
        <v>0.1</v>
      </c>
      <c r="T210" s="40" t="str">
        <f>C210&amp;IF(ISBLANK(S210),"","=")&amp;S210</f>
        <v>Distance_Z2=0.1</v>
      </c>
      <c r="U210" s="39">
        <v>11</v>
      </c>
      <c r="V210" s="40" t="str">
        <f>C210&amp;IF(ISBLANK(U210),"","=")&amp;U210</f>
        <v>Distance_Z2=11</v>
      </c>
    </row>
    <row r="211" spans="1:25" x14ac:dyDescent="0.3">
      <c r="A211">
        <v>210</v>
      </c>
      <c r="B211" s="30"/>
      <c r="C211" s="45" t="s">
        <v>279</v>
      </c>
      <c r="D211" s="45"/>
      <c r="E211" s="30"/>
      <c r="F211" s="30"/>
      <c r="G211" s="30"/>
      <c r="H211" s="92"/>
      <c r="I211" s="30"/>
      <c r="J211" s="30"/>
      <c r="K211" s="45"/>
      <c r="L211" s="30"/>
      <c r="M211" s="72"/>
      <c r="N211" s="30"/>
      <c r="O211" s="30"/>
      <c r="P211" s="30"/>
      <c r="Q211" s="30" t="str">
        <f>C211&amp;IF(ISBLANK(D211),"","=")&amp;D211</f>
        <v>;X Axis</v>
      </c>
      <c r="R211" s="30"/>
      <c r="S211" s="45"/>
      <c r="T211" s="30" t="str">
        <f>C211&amp;IF(ISBLANK(S211),"","=")&amp;S211</f>
        <v>;X Axis</v>
      </c>
      <c r="U211" s="45"/>
      <c r="V211" s="30" t="str">
        <f>C211&amp;IF(ISBLANK(U211),"","=")&amp;U211</f>
        <v>;X Axis</v>
      </c>
      <c r="W211" s="30"/>
      <c r="X211" s="30"/>
    </row>
    <row r="212" spans="1:25" x14ac:dyDescent="0.3">
      <c r="A212">
        <v>211</v>
      </c>
      <c r="B212" t="s">
        <v>42</v>
      </c>
      <c r="C212" s="110" t="s">
        <v>362</v>
      </c>
      <c r="D212" s="110">
        <v>5083</v>
      </c>
      <c r="E212" s="26"/>
      <c r="F212" s="26"/>
      <c r="G212" s="26"/>
      <c r="H212" s="46" t="str">
        <f>DEC2HEX(I212)</f>
        <v>B9</v>
      </c>
      <c r="I212" s="27">
        <v>185</v>
      </c>
      <c r="J212" s="27" t="str">
        <f>CHAR(I212)</f>
        <v>¹</v>
      </c>
      <c r="Q212" s="40" t="str">
        <f>C212&amp;IF(ISBLANK(D212),"","=")&amp;D212</f>
        <v>MaxSpeed_X=5083</v>
      </c>
      <c r="S212" s="39">
        <v>30000</v>
      </c>
      <c r="T212" s="40" t="str">
        <f>C212&amp;IF(ISBLANK(S212),"","=")&amp;S212</f>
        <v>MaxSpeed_X=30000</v>
      </c>
      <c r="U212" s="110">
        <v>1000</v>
      </c>
      <c r="V212" s="40" t="str">
        <f>C212&amp;IF(ISBLANK(U212),"","=")&amp;U212</f>
        <v>MaxSpeed_X=1000</v>
      </c>
    </row>
    <row r="213" spans="1:25" x14ac:dyDescent="0.3">
      <c r="A213">
        <v>212</v>
      </c>
      <c r="B213" t="s">
        <v>42</v>
      </c>
      <c r="C213" s="39" t="s">
        <v>363</v>
      </c>
      <c r="D213" s="39">
        <v>5084</v>
      </c>
      <c r="E213" s="26"/>
      <c r="F213" s="26"/>
      <c r="G213" s="26"/>
      <c r="H213" s="46" t="str">
        <f>DEC2HEX(I213)</f>
        <v>BA</v>
      </c>
      <c r="I213" s="27">
        <v>186</v>
      </c>
      <c r="J213" s="27" t="str">
        <f>CHAR(I213)</f>
        <v>º</v>
      </c>
      <c r="Q213" s="40" t="str">
        <f>C213&amp;IF(ISBLANK(D213),"","=")&amp;D213</f>
        <v>Accel_X=5084</v>
      </c>
      <c r="R213" s="110"/>
      <c r="S213" s="39">
        <v>20000</v>
      </c>
      <c r="T213" s="40" t="str">
        <f>C213&amp;IF(ISBLANK(S213),"","=")&amp;S213</f>
        <v>Accel_X=20000</v>
      </c>
      <c r="U213" s="39">
        <v>1000</v>
      </c>
      <c r="V213" s="40" t="str">
        <f>C213&amp;IF(ISBLANK(U213),"","=")&amp;U213</f>
        <v>Accel_X=1000</v>
      </c>
    </row>
    <row r="214" spans="1:25" x14ac:dyDescent="0.3">
      <c r="A214">
        <v>213</v>
      </c>
      <c r="B214" t="s">
        <v>42</v>
      </c>
      <c r="C214" s="39" t="s">
        <v>364</v>
      </c>
      <c r="D214" s="39">
        <v>85</v>
      </c>
      <c r="E214" s="26"/>
      <c r="F214" s="26"/>
      <c r="G214" s="26"/>
      <c r="H214" s="46" t="str">
        <f>DEC2HEX(I214)</f>
        <v>6F</v>
      </c>
      <c r="I214" s="26">
        <v>111</v>
      </c>
      <c r="J214" s="27" t="str">
        <f>CHAR(I214)</f>
        <v>o</v>
      </c>
      <c r="Q214" s="40" t="str">
        <f>C214&amp;IF(ISBLANK(D214),"","=")&amp;D214</f>
        <v>SpeedPercentage_X=85</v>
      </c>
      <c r="S214" s="39">
        <v>100</v>
      </c>
      <c r="T214" s="40" t="str">
        <f>C214&amp;IF(ISBLANK(S214),"","=")&amp;S214</f>
        <v>SpeedPercentage_X=100</v>
      </c>
      <c r="U214" s="39">
        <v>11</v>
      </c>
    </row>
    <row r="215" spans="1:25" x14ac:dyDescent="0.3">
      <c r="A215">
        <v>214</v>
      </c>
      <c r="B215" t="s">
        <v>42</v>
      </c>
      <c r="C215" s="39" t="s">
        <v>394</v>
      </c>
      <c r="D215" s="39">
        <v>5.75</v>
      </c>
      <c r="E215" s="26"/>
      <c r="F215" s="26"/>
      <c r="G215" s="26"/>
      <c r="H215" s="46" t="str">
        <f>DEC2HEX(I215)</f>
        <v>B5</v>
      </c>
      <c r="I215" s="27">
        <v>181</v>
      </c>
      <c r="J215" s="27" t="str">
        <f>CHAR(I215)</f>
        <v>µ</v>
      </c>
      <c r="Q215" s="40" t="str">
        <f>C215&amp;IF(ISBLANK(D215),"","=")&amp;D215</f>
        <v>Distance_X1=5.75</v>
      </c>
      <c r="S215" s="39">
        <v>0.2</v>
      </c>
      <c r="T215" s="40" t="str">
        <f>C215&amp;IF(ISBLANK(S215),"","=")&amp;S215</f>
        <v>Distance_X1=0.2</v>
      </c>
      <c r="U215" s="39">
        <v>11</v>
      </c>
    </row>
    <row r="216" spans="1:25" x14ac:dyDescent="0.3">
      <c r="A216">
        <v>215</v>
      </c>
      <c r="B216" t="s">
        <v>42</v>
      </c>
      <c r="C216" s="39" t="s">
        <v>395</v>
      </c>
      <c r="D216" s="39">
        <v>5.76</v>
      </c>
      <c r="E216" s="26"/>
      <c r="F216" s="26"/>
      <c r="G216" s="26"/>
      <c r="H216" s="114" t="str">
        <f>DEC2HEX(I216)</f>
        <v>B5</v>
      </c>
      <c r="I216" s="27">
        <v>181</v>
      </c>
      <c r="J216" s="27" t="str">
        <f>CHAR(I216)</f>
        <v>µ</v>
      </c>
      <c r="Q216" s="40" t="str">
        <f>C216&amp;IF(ISBLANK(D216),"","=")&amp;D216</f>
        <v>Distance_X2=5.76</v>
      </c>
      <c r="S216" s="39">
        <v>0.1</v>
      </c>
      <c r="T216" s="40" t="str">
        <f>C216&amp;IF(ISBLANK(S216),"","=")&amp;S216</f>
        <v>Distance_X2=0.1</v>
      </c>
      <c r="U216" s="39">
        <v>11</v>
      </c>
    </row>
    <row r="217" spans="1:25" x14ac:dyDescent="0.3">
      <c r="A217">
        <v>216</v>
      </c>
      <c r="B217" s="30"/>
      <c r="C217" s="45" t="s">
        <v>281</v>
      </c>
      <c r="D217" s="45"/>
      <c r="E217" s="30"/>
      <c r="F217" s="30"/>
      <c r="G217" s="30"/>
      <c r="H217" s="92"/>
      <c r="I217" s="30"/>
      <c r="J217" s="30"/>
      <c r="K217" s="45"/>
      <c r="L217" s="30"/>
      <c r="M217" s="72"/>
      <c r="N217" s="30"/>
      <c r="O217" s="30"/>
      <c r="P217" s="30"/>
      <c r="Q217" s="30" t="str">
        <f>C217&amp;IF(ISBLANK(D217),"","=")&amp;D217</f>
        <v>;M3 Axis</v>
      </c>
      <c r="R217" s="30"/>
      <c r="S217" s="45"/>
      <c r="T217" s="30" t="str">
        <f>C217&amp;IF(ISBLANK(S217),"","=")&amp;S217</f>
        <v>;M3 Axis</v>
      </c>
      <c r="U217" s="45"/>
      <c r="V217" s="30"/>
      <c r="W217" s="30"/>
      <c r="X217" s="30"/>
    </row>
    <row r="218" spans="1:25" x14ac:dyDescent="0.3">
      <c r="A218">
        <v>217</v>
      </c>
      <c r="B218" t="s">
        <v>42</v>
      </c>
      <c r="C218" s="39" t="s">
        <v>371</v>
      </c>
      <c r="D218" s="39">
        <v>5086</v>
      </c>
      <c r="E218" s="26"/>
      <c r="F218" s="26"/>
      <c r="G218" s="26"/>
      <c r="H218" s="46" t="str">
        <f>DEC2HEX(I218)</f>
        <v>B9</v>
      </c>
      <c r="I218" s="27">
        <v>185</v>
      </c>
      <c r="J218" s="27" t="str">
        <f>CHAR(I218)</f>
        <v>¹</v>
      </c>
      <c r="Q218" s="40" t="str">
        <f>C218&amp;IF(ISBLANK(D218),"","=")&amp;D218</f>
        <v>MaxSpeed_M3=5086</v>
      </c>
      <c r="S218" s="39">
        <v>30000</v>
      </c>
      <c r="T218" s="40" t="str">
        <f>C218&amp;IF(ISBLANK(S218),"","=")&amp;S218</f>
        <v>MaxSpeed_M3=30000</v>
      </c>
      <c r="U218" s="39">
        <v>1000</v>
      </c>
      <c r="V218" s="27"/>
      <c r="W218" s="27"/>
      <c r="X218" s="27"/>
    </row>
    <row r="219" spans="1:25" x14ac:dyDescent="0.3">
      <c r="A219">
        <v>218</v>
      </c>
      <c r="B219" t="s">
        <v>42</v>
      </c>
      <c r="C219" s="39" t="s">
        <v>372</v>
      </c>
      <c r="D219" s="39">
        <v>5087</v>
      </c>
      <c r="E219" s="26"/>
      <c r="F219" s="26"/>
      <c r="G219" s="26"/>
      <c r="H219" s="46" t="str">
        <f>DEC2HEX(I219)</f>
        <v>BA</v>
      </c>
      <c r="I219" s="27">
        <v>186</v>
      </c>
      <c r="J219" s="27" t="str">
        <f>CHAR(I219)</f>
        <v>º</v>
      </c>
      <c r="Q219" s="40" t="str">
        <f>C219&amp;IF(ISBLANK(D219),"","=")&amp;D219</f>
        <v>Accel_M3=5087</v>
      </c>
      <c r="R219" s="110"/>
      <c r="S219" s="39">
        <v>20000</v>
      </c>
      <c r="T219" s="40" t="str">
        <f>C219&amp;IF(ISBLANK(S219),"","=")&amp;S219</f>
        <v>Accel_M3=20000</v>
      </c>
      <c r="U219" s="39">
        <v>1000</v>
      </c>
    </row>
    <row r="220" spans="1:25" x14ac:dyDescent="0.3">
      <c r="A220">
        <v>219</v>
      </c>
      <c r="B220" t="s">
        <v>42</v>
      </c>
      <c r="C220" s="110" t="s">
        <v>373</v>
      </c>
      <c r="D220" s="39">
        <v>88</v>
      </c>
      <c r="E220" s="26"/>
      <c r="F220" s="26"/>
      <c r="G220" s="26"/>
      <c r="H220" s="114" t="str">
        <f>DEC2HEX(I220)</f>
        <v>6F</v>
      </c>
      <c r="I220" s="26">
        <v>111</v>
      </c>
      <c r="J220" s="27" t="str">
        <f>CHAR(I220)</f>
        <v>o</v>
      </c>
      <c r="Q220" s="40" t="str">
        <f>C220&amp;IF(ISBLANK(D220),"","=")&amp;D220</f>
        <v>SpeedPercentage_M3=88</v>
      </c>
      <c r="S220" s="39">
        <v>100</v>
      </c>
      <c r="T220" s="40" t="str">
        <f>C220&amp;IF(ISBLANK(S220),"","=")&amp;S220</f>
        <v>SpeedPercentage_M3=100</v>
      </c>
      <c r="U220" s="39">
        <v>11</v>
      </c>
    </row>
    <row r="221" spans="1:25" x14ac:dyDescent="0.3">
      <c r="A221">
        <v>220</v>
      </c>
      <c r="B221" t="s">
        <v>42</v>
      </c>
      <c r="C221" s="39" t="s">
        <v>396</v>
      </c>
      <c r="D221" s="39">
        <v>5.78</v>
      </c>
      <c r="E221" s="26"/>
      <c r="F221" s="26"/>
      <c r="G221" s="26"/>
      <c r="H221" s="114" t="str">
        <f>DEC2HEX(I221)</f>
        <v>B5</v>
      </c>
      <c r="I221" s="27">
        <v>181</v>
      </c>
      <c r="J221" s="27" t="str">
        <f>CHAR(I221)</f>
        <v>µ</v>
      </c>
      <c r="Q221" s="40" t="str">
        <f>C221&amp;IF(ISBLANK(D221),"","=")&amp;D221</f>
        <v>Distance_M3-1=5.78</v>
      </c>
      <c r="S221" s="39">
        <v>0.2</v>
      </c>
      <c r="T221" s="40" t="str">
        <f>C221&amp;IF(ISBLANK(S221),"","=")&amp;S221</f>
        <v>Distance_M3-1=0.2</v>
      </c>
      <c r="U221" s="39">
        <v>11</v>
      </c>
    </row>
    <row r="222" spans="1:25" x14ac:dyDescent="0.3">
      <c r="A222">
        <v>221</v>
      </c>
      <c r="B222" t="s">
        <v>42</v>
      </c>
      <c r="C222" s="39" t="s">
        <v>397</v>
      </c>
      <c r="D222" s="39">
        <v>5.79</v>
      </c>
      <c r="E222" s="26"/>
      <c r="F222" s="26"/>
      <c r="G222" s="26"/>
      <c r="H222" s="46" t="str">
        <f>DEC2HEX(I222)</f>
        <v>B5</v>
      </c>
      <c r="I222" s="27">
        <v>181</v>
      </c>
      <c r="J222" s="27" t="str">
        <f>CHAR(I222)</f>
        <v>µ</v>
      </c>
      <c r="Q222" s="40" t="str">
        <f>C222&amp;IF(ISBLANK(D222),"","=")&amp;D222</f>
        <v>Distance_M3-2=5.79</v>
      </c>
      <c r="S222" s="39">
        <v>0.1</v>
      </c>
      <c r="T222" s="40" t="str">
        <f>C222&amp;IF(ISBLANK(S222),"","=")&amp;S222</f>
        <v>Distance_M3-2=0.1</v>
      </c>
      <c r="U222" s="39">
        <v>11</v>
      </c>
    </row>
    <row r="223" spans="1:25" x14ac:dyDescent="0.3">
      <c r="A223">
        <v>222</v>
      </c>
      <c r="B223" s="30"/>
      <c r="C223" s="45" t="s">
        <v>282</v>
      </c>
      <c r="D223" s="45"/>
      <c r="E223" s="30"/>
      <c r="F223" s="30"/>
      <c r="G223" s="30"/>
      <c r="H223" s="92"/>
      <c r="I223" s="30"/>
      <c r="J223" s="30"/>
      <c r="K223" s="45"/>
      <c r="L223" s="30"/>
      <c r="M223" s="72"/>
      <c r="N223" s="30"/>
      <c r="O223" s="30"/>
      <c r="P223" s="30"/>
      <c r="Q223" s="30" t="str">
        <f>C223&amp;IF(ISBLANK(D223),"","=")&amp;D223</f>
        <v>;M4 Axis</v>
      </c>
      <c r="R223" s="30"/>
      <c r="S223" s="45"/>
      <c r="T223" s="30" t="str">
        <f>C223&amp;IF(ISBLANK(S223),"","=")&amp;S223</f>
        <v>;M4 Axis</v>
      </c>
      <c r="U223" s="45"/>
      <c r="V223" s="30"/>
      <c r="W223" s="30"/>
      <c r="X223" s="30"/>
      <c r="Y223" s="30"/>
    </row>
    <row r="224" spans="1:25" x14ac:dyDescent="0.3">
      <c r="A224">
        <v>223</v>
      </c>
      <c r="B224" t="s">
        <v>42</v>
      </c>
      <c r="C224" s="39" t="s">
        <v>374</v>
      </c>
      <c r="D224" s="39">
        <v>5088</v>
      </c>
      <c r="E224" s="26"/>
      <c r="F224" s="26"/>
      <c r="G224" s="26"/>
      <c r="H224" s="46" t="str">
        <f>DEC2HEX(I224)</f>
        <v>B9</v>
      </c>
      <c r="I224" s="27">
        <v>185</v>
      </c>
      <c r="J224" s="27" t="str">
        <f>CHAR(I224)</f>
        <v>¹</v>
      </c>
      <c r="Q224" s="40" t="str">
        <f>C224&amp;IF(ISBLANK(D224),"","=")&amp;D224</f>
        <v>MaxSpeed_M4=5088</v>
      </c>
      <c r="S224" s="39">
        <v>30000</v>
      </c>
      <c r="T224" s="40" t="str">
        <f>C224&amp;IF(ISBLANK(S224),"","=")&amp;S224</f>
        <v>MaxSpeed_M4=30000</v>
      </c>
      <c r="U224" s="39">
        <v>1000</v>
      </c>
    </row>
    <row r="225" spans="1:25" x14ac:dyDescent="0.3">
      <c r="A225">
        <v>224</v>
      </c>
      <c r="B225" t="s">
        <v>42</v>
      </c>
      <c r="C225" s="39" t="s">
        <v>375</v>
      </c>
      <c r="D225" s="39">
        <v>5089</v>
      </c>
      <c r="E225" s="26"/>
      <c r="F225" s="26"/>
      <c r="G225" s="26"/>
      <c r="H225" s="46" t="str">
        <f>DEC2HEX(I225)</f>
        <v>BA</v>
      </c>
      <c r="I225" s="27">
        <v>186</v>
      </c>
      <c r="J225" s="27" t="str">
        <f>CHAR(I225)</f>
        <v>º</v>
      </c>
      <c r="Q225" s="40" t="str">
        <f>C225&amp;IF(ISBLANK(D225),"","=")&amp;D225</f>
        <v>Accel_M4=5089</v>
      </c>
      <c r="S225" s="39">
        <v>20000</v>
      </c>
      <c r="T225" s="40" t="str">
        <f>C225&amp;IF(ISBLANK(S225),"","=")&amp;S225</f>
        <v>Accel_M4=20000</v>
      </c>
      <c r="U225" s="39">
        <v>1000</v>
      </c>
      <c r="V225" s="40" t="str">
        <f>C225&amp;IF(ISBLANK(U225),"","=")&amp;U225</f>
        <v>Accel_M4=1000</v>
      </c>
    </row>
    <row r="226" spans="1:25" x14ac:dyDescent="0.3">
      <c r="A226">
        <v>225</v>
      </c>
      <c r="B226" t="s">
        <v>42</v>
      </c>
      <c r="C226" s="39" t="s">
        <v>376</v>
      </c>
      <c r="D226" s="39">
        <v>89</v>
      </c>
      <c r="E226" s="26"/>
      <c r="F226" s="26"/>
      <c r="G226" s="26"/>
      <c r="H226" s="46" t="str">
        <f>DEC2HEX(I226)</f>
        <v>6F</v>
      </c>
      <c r="I226" s="26">
        <v>111</v>
      </c>
      <c r="J226" s="27" t="str">
        <f>CHAR(I226)</f>
        <v>o</v>
      </c>
      <c r="Q226" s="40" t="str">
        <f>C226&amp;IF(ISBLANK(D226),"","=")&amp;D226</f>
        <v>SpeedPercentage_M4=89</v>
      </c>
      <c r="S226" s="39">
        <v>100</v>
      </c>
      <c r="T226" s="40" t="str">
        <f>C226&amp;IF(ISBLANK(S226),"","=")&amp;S226</f>
        <v>SpeedPercentage_M4=100</v>
      </c>
      <c r="U226" s="39">
        <v>11</v>
      </c>
    </row>
    <row r="227" spans="1:25" x14ac:dyDescent="0.3">
      <c r="A227">
        <v>226</v>
      </c>
      <c r="B227" t="s">
        <v>42</v>
      </c>
      <c r="C227" s="39" t="s">
        <v>398</v>
      </c>
      <c r="D227" s="39">
        <v>4.78</v>
      </c>
      <c r="E227" s="26"/>
      <c r="F227" s="26"/>
      <c r="G227" s="26"/>
      <c r="H227" s="46" t="str">
        <f>DEC2HEX(I227)</f>
        <v>B5</v>
      </c>
      <c r="I227" s="27">
        <v>181</v>
      </c>
      <c r="J227" s="27" t="str">
        <f>CHAR(I227)</f>
        <v>µ</v>
      </c>
      <c r="Q227" s="40" t="str">
        <f>C227&amp;IF(ISBLANK(D227),"","=")&amp;D227</f>
        <v>Distance_M4-1=4.78</v>
      </c>
      <c r="S227" s="39">
        <v>0.2</v>
      </c>
      <c r="T227" s="40" t="str">
        <f>C227&amp;IF(ISBLANK(S227),"","=")&amp;S227</f>
        <v>Distance_M4-1=0.2</v>
      </c>
      <c r="U227" s="39">
        <v>11</v>
      </c>
      <c r="V227" s="40" t="str">
        <f>C227&amp;IF(ISBLANK(U227),"","=")&amp;U227</f>
        <v>Distance_M4-1=11</v>
      </c>
    </row>
    <row r="228" spans="1:25" x14ac:dyDescent="0.3">
      <c r="A228">
        <v>227</v>
      </c>
      <c r="B228" t="s">
        <v>42</v>
      </c>
      <c r="C228" s="39" t="s">
        <v>399</v>
      </c>
      <c r="D228" s="39">
        <v>4.79</v>
      </c>
      <c r="E228" s="26"/>
      <c r="F228" s="26"/>
      <c r="G228" s="26"/>
      <c r="H228" s="46" t="str">
        <f>DEC2HEX(I228)</f>
        <v>B5</v>
      </c>
      <c r="I228" s="27">
        <v>181</v>
      </c>
      <c r="J228" s="27" t="str">
        <f>CHAR(I228)</f>
        <v>µ</v>
      </c>
      <c r="Q228" s="40" t="str">
        <f>C228&amp;IF(ISBLANK(D228),"","=")&amp;D228</f>
        <v>Distance_M4-2=4.79</v>
      </c>
      <c r="S228" s="39">
        <v>0.1</v>
      </c>
      <c r="T228" s="40" t="str">
        <f>C228&amp;IF(ISBLANK(S228),"","=")&amp;S228</f>
        <v>Distance_M4-2=0.1</v>
      </c>
      <c r="U228" s="39">
        <v>11</v>
      </c>
      <c r="V228" s="40" t="str">
        <f>C228&amp;IF(ISBLANK(U228),"","=")&amp;U228</f>
        <v>Distance_M4-2=11</v>
      </c>
    </row>
    <row r="229" spans="1:25" x14ac:dyDescent="0.3">
      <c r="A229">
        <v>228</v>
      </c>
      <c r="C229" s="39" t="s">
        <v>229</v>
      </c>
      <c r="E229" s="26"/>
      <c r="F229" s="26"/>
      <c r="G229" s="26"/>
      <c r="H229" s="96"/>
      <c r="I229" s="26"/>
      <c r="J229" s="26"/>
      <c r="Q229" s="40" t="str">
        <f>C229&amp;IF(ISBLANK(D229),"","=")&amp;D229</f>
        <v>;</v>
      </c>
      <c r="T229" s="40" t="str">
        <f>C229&amp;IF(ISBLANK(S229),"","=")&amp;S229</f>
        <v>;</v>
      </c>
      <c r="V229" s="40" t="str">
        <f>C229&amp;IF(ISBLANK(U229),"","=")&amp;U229</f>
        <v>;</v>
      </c>
      <c r="Y229" s="30"/>
    </row>
    <row r="230" spans="1:25" x14ac:dyDescent="0.3">
      <c r="A230">
        <v>229</v>
      </c>
      <c r="B230" s="76"/>
      <c r="C230" s="77" t="s">
        <v>299</v>
      </c>
      <c r="D230" s="77"/>
      <c r="E230" s="76"/>
      <c r="F230" s="76"/>
      <c r="G230" s="76"/>
      <c r="H230" s="78"/>
      <c r="I230" s="76"/>
      <c r="J230" s="76"/>
      <c r="K230" s="77"/>
      <c r="L230" s="76"/>
      <c r="M230" s="79"/>
      <c r="N230" s="76"/>
      <c r="O230" s="76"/>
      <c r="P230" s="76"/>
      <c r="Q230" s="76" t="str">
        <f>C230&amp;IF(ISBLANK(D230),"","=")&amp;D230</f>
        <v>[Sync]</v>
      </c>
      <c r="R230" s="76"/>
      <c r="S230" s="77"/>
      <c r="T230" s="76" t="str">
        <f>C230&amp;IF(ISBLANK(S230),"","=")&amp;S230</f>
        <v>[Sync]</v>
      </c>
      <c r="U230" s="77"/>
    </row>
    <row r="231" spans="1:25" x14ac:dyDescent="0.3">
      <c r="A231">
        <v>230</v>
      </c>
      <c r="C231" s="39" t="s">
        <v>229</v>
      </c>
      <c r="E231" s="26"/>
      <c r="F231" s="26"/>
      <c r="G231" s="26"/>
      <c r="H231" s="96"/>
      <c r="I231" s="26"/>
      <c r="J231" s="26"/>
      <c r="Q231" s="40" t="str">
        <f>C231&amp;IF(ISBLANK(D231),"","=")&amp;D231</f>
        <v>;</v>
      </c>
      <c r="T231" s="40" t="str">
        <f>C231&amp;IF(ISBLANK(S231),"","=")&amp;S231</f>
        <v>;</v>
      </c>
      <c r="V231" s="40" t="str">
        <f>C231&amp;IF(ISBLANK(U231),"","=")&amp;U231</f>
        <v>;</v>
      </c>
    </row>
    <row r="232" spans="1:25" x14ac:dyDescent="0.3">
      <c r="A232">
        <v>231</v>
      </c>
      <c r="B232" t="s">
        <v>35</v>
      </c>
      <c r="C232" s="39" t="s">
        <v>260</v>
      </c>
      <c r="D232" s="39">
        <v>1</v>
      </c>
      <c r="E232" s="27">
        <v>496</v>
      </c>
      <c r="F232" s="27">
        <v>499</v>
      </c>
      <c r="G232" s="26"/>
      <c r="H232" s="46" t="str">
        <f>DEC2HEX(I232)</f>
        <v>42</v>
      </c>
      <c r="I232" s="27">
        <v>66</v>
      </c>
      <c r="J232" s="27" t="str">
        <f>CHAR(I232)</f>
        <v>B</v>
      </c>
      <c r="L232">
        <f>IF(ISBLANK(D232),IF(E232&gt;0,F232-E232+1,0),0)</f>
        <v>0</v>
      </c>
      <c r="M232" s="43">
        <f>IF(ISBLANK(D232),0,IF(G232=0,F232-E232+1,0))</f>
        <v>4</v>
      </c>
      <c r="Q232" s="40" t="str">
        <f>C232&amp;IF(ISBLANK(D232),"","=")&amp;D232</f>
        <v>AxisId=1</v>
      </c>
      <c r="T232" s="40"/>
      <c r="V232" s="40"/>
    </row>
    <row r="233" spans="1:25" x14ac:dyDescent="0.3">
      <c r="A233">
        <v>232</v>
      </c>
      <c r="B233" t="s">
        <v>35</v>
      </c>
      <c r="C233" s="39" t="s">
        <v>612</v>
      </c>
      <c r="D233" s="39">
        <v>0</v>
      </c>
      <c r="E233" s="26">
        <v>84</v>
      </c>
      <c r="F233" s="26">
        <v>87</v>
      </c>
      <c r="G233" s="26"/>
      <c r="H233" s="46" t="str">
        <f>DEC2HEX(I233)</f>
        <v>5D</v>
      </c>
      <c r="I233" s="27">
        <v>93</v>
      </c>
      <c r="J233" s="27" t="str">
        <f>CHAR(I233)</f>
        <v>]</v>
      </c>
      <c r="L233">
        <f>IF(ISBLANK(D233),IF(E233&gt;0,F233-E233+1,0),0)</f>
        <v>0</v>
      </c>
      <c r="M233" s="43">
        <f>IF(ISBLANK(D233),0,IF(G233=0,F233-E233+1,0))</f>
        <v>4</v>
      </c>
      <c r="Q233" s="40" t="str">
        <f>C233&amp;IF(ISBLANK(D233),"","=")&amp;D233</f>
        <v>RevolutionsOrDegrees=0</v>
      </c>
    </row>
    <row r="234" spans="1:25" x14ac:dyDescent="0.3">
      <c r="A234">
        <v>233</v>
      </c>
      <c r="C234" s="39" t="s">
        <v>613</v>
      </c>
      <c r="E234" s="26"/>
      <c r="F234" s="26"/>
      <c r="G234" s="26"/>
      <c r="H234" s="96"/>
      <c r="I234" s="26"/>
      <c r="J234" s="26"/>
      <c r="Q234" s="40" t="str">
        <f>C234&amp;IF(ISBLANK(D234),"","=")&amp;D234</f>
        <v>; Helix Type: Left = 0,  Right = 1</v>
      </c>
      <c r="T234" s="40" t="str">
        <f>C234&amp;IF(ISBLANK(S234),"","=")&amp;S234</f>
        <v>; Helix Type: Left = 0,  Right = 1</v>
      </c>
      <c r="V234" s="40" t="str">
        <f>C234&amp;IF(ISBLANK(U234),"","=")&amp;U234</f>
        <v>; Helix Type: Left = 0,  Right = 1</v>
      </c>
    </row>
    <row r="235" spans="1:25" x14ac:dyDescent="0.3">
      <c r="A235">
        <v>234</v>
      </c>
      <c r="B235" t="s">
        <v>35</v>
      </c>
      <c r="C235" s="39" t="s">
        <v>400</v>
      </c>
      <c r="D235" s="39">
        <v>0</v>
      </c>
      <c r="E235" s="26">
        <v>108</v>
      </c>
      <c r="F235" s="26">
        <v>111</v>
      </c>
      <c r="G235" s="26"/>
      <c r="H235" s="46" t="str">
        <f>DEC2HEX(I235)</f>
        <v>49</v>
      </c>
      <c r="I235" s="27">
        <v>73</v>
      </c>
      <c r="J235" s="27" t="str">
        <f>CHAR(I235)</f>
        <v>I</v>
      </c>
      <c r="L235">
        <f>IF(ISBLANK(D235),IF(E235&gt;0,F235-E235+1,0),0)</f>
        <v>0</v>
      </c>
      <c r="M235" s="43">
        <f>IF(ISBLANK(D235),0,IF(G235=0,F235-E235+1,0))</f>
        <v>4</v>
      </c>
      <c r="Q235" s="40" t="str">
        <f>C235&amp;IF(ISBLANK(D235),"","=")&amp;D235</f>
        <v>HelixType=0</v>
      </c>
      <c r="S235" s="39">
        <v>0</v>
      </c>
      <c r="T235" s="40" t="str">
        <f>C235&amp;IF(ISBLANK(S235),"","=")&amp;S235</f>
        <v>HelixType=0</v>
      </c>
      <c r="U235" s="39">
        <v>1</v>
      </c>
      <c r="V235" s="40" t="str">
        <f>C235&amp;IF(ISBLANK(U235),"","=")&amp;U235</f>
        <v>HelixType=1</v>
      </c>
      <c r="Y235" s="30"/>
    </row>
    <row r="236" spans="1:25" x14ac:dyDescent="0.3">
      <c r="A236">
        <v>235</v>
      </c>
      <c r="C236" s="39" t="s">
        <v>614</v>
      </c>
      <c r="E236" s="26"/>
      <c r="F236" s="26"/>
      <c r="G236" s="26"/>
      <c r="H236" s="96"/>
      <c r="I236" s="26"/>
      <c r="J236" s="26"/>
      <c r="Q236" s="40" t="str">
        <f>C236&amp;IF(ISBLANK(D236),"","=")&amp;D236</f>
        <v>; Revolutions = 0, Degrees = 1</v>
      </c>
      <c r="T236" s="40"/>
      <c r="V236" s="40"/>
    </row>
    <row r="237" spans="1:25" x14ac:dyDescent="0.3">
      <c r="A237">
        <v>236</v>
      </c>
      <c r="B237" t="s">
        <v>35</v>
      </c>
      <c r="C237" s="39" t="s">
        <v>401</v>
      </c>
      <c r="D237" s="39">
        <v>0.3</v>
      </c>
      <c r="E237" s="26">
        <v>612</v>
      </c>
      <c r="F237" s="26">
        <v>619</v>
      </c>
      <c r="G237" s="26"/>
      <c r="H237" s="46" t="str">
        <f>DEC2HEX(I237)</f>
        <v>C0</v>
      </c>
      <c r="I237" s="27">
        <v>192</v>
      </c>
      <c r="J237" s="27" t="str">
        <f>CHAR(I237)</f>
        <v>À</v>
      </c>
      <c r="L237">
        <f>IF(ISBLANK(D237),IF(E237&gt;0,F237-E237+1,0),0)</f>
        <v>0</v>
      </c>
      <c r="M237" s="43">
        <f>IF(ISBLANK(D237),0,IF(G237=0,F237-E237+1,0))</f>
        <v>8</v>
      </c>
      <c r="Q237" s="40" t="str">
        <f>C237&amp;IF(ISBLANK(D237),"","=")&amp;D237</f>
        <v>Revolutions=0.3</v>
      </c>
      <c r="S237" s="39">
        <v>0.5</v>
      </c>
      <c r="T237" s="40" t="str">
        <f>C237&amp;IF(ISBLANK(S237),"","=")&amp;S237</f>
        <v>Revolutions=0.5</v>
      </c>
      <c r="U237" s="39">
        <v>11</v>
      </c>
      <c r="V237" s="40" t="str">
        <f>C237&amp;IF(ISBLANK(U237),"","=")&amp;U237</f>
        <v>Revolutions=11</v>
      </c>
    </row>
    <row r="238" spans="1:25" x14ac:dyDescent="0.3">
      <c r="A238">
        <v>237</v>
      </c>
      <c r="B238" t="s">
        <v>35</v>
      </c>
      <c r="C238" s="39" t="s">
        <v>402</v>
      </c>
      <c r="D238" s="39">
        <v>1.258</v>
      </c>
      <c r="E238" s="26">
        <v>628</v>
      </c>
      <c r="F238" s="26">
        <v>635</v>
      </c>
      <c r="G238" s="26"/>
      <c r="H238" s="46" t="str">
        <f>DEC2HEX(I238)</f>
        <v>C1</v>
      </c>
      <c r="I238" s="27">
        <v>193</v>
      </c>
      <c r="J238" s="27" t="str">
        <f>CHAR(I238)</f>
        <v>Á</v>
      </c>
      <c r="K238" s="110"/>
      <c r="L238">
        <f>IF(ISBLANK(D238),IF(E238&gt;0,F238-E238+1,0),0)</f>
        <v>0</v>
      </c>
      <c r="M238" s="43">
        <f>IF(ISBLANK(D238),0,IF(G238=0,F238-E238+1,0))</f>
        <v>8</v>
      </c>
      <c r="Q238" s="40" t="str">
        <f>C238&amp;IF(ISBLANK(D238),"","=")&amp;D238</f>
        <v>Distance=1.258</v>
      </c>
      <c r="S238" s="39">
        <v>0.02</v>
      </c>
      <c r="T238" s="40" t="str">
        <f>C238&amp;IF(ISBLANK(S238),"","=")&amp;S238</f>
        <v>Distance=0.02</v>
      </c>
      <c r="U238" s="39">
        <v>11</v>
      </c>
      <c r="V238" s="40" t="str">
        <f>C238&amp;IF(ISBLANK(U238),"","=")&amp;U238</f>
        <v>Distance=11</v>
      </c>
    </row>
    <row r="239" spans="1:25" x14ac:dyDescent="0.3">
      <c r="A239">
        <v>238</v>
      </c>
      <c r="B239" s="30"/>
      <c r="C239" s="45" t="s">
        <v>288</v>
      </c>
      <c r="D239" s="45"/>
      <c r="E239" s="30"/>
      <c r="F239" s="30"/>
      <c r="G239" s="30"/>
      <c r="H239" s="92"/>
      <c r="I239" s="30"/>
      <c r="J239" s="30"/>
      <c r="K239" s="112"/>
      <c r="L239" s="30"/>
      <c r="M239" s="72"/>
      <c r="N239" s="30"/>
      <c r="O239" s="30"/>
      <c r="P239" s="30"/>
      <c r="Q239" s="30" t="str">
        <f>C239&amp;IF(ISBLANK(D239),"","=")&amp;D239</f>
        <v>;Spindle</v>
      </c>
      <c r="R239" s="30"/>
      <c r="S239" s="45"/>
      <c r="T239" s="30" t="str">
        <f>C239&amp;IF(ISBLANK(S239),"","=")&amp;S239</f>
        <v>;Spindle</v>
      </c>
      <c r="U239" s="45"/>
      <c r="V239" s="30"/>
      <c r="W239" s="30"/>
      <c r="X239" s="30"/>
    </row>
    <row r="240" spans="1:25" x14ac:dyDescent="0.3">
      <c r="A240">
        <v>239</v>
      </c>
      <c r="B240" t="s">
        <v>35</v>
      </c>
      <c r="C240" s="39" t="s">
        <v>348</v>
      </c>
      <c r="D240" s="39">
        <v>5040</v>
      </c>
      <c r="E240" s="26">
        <v>896</v>
      </c>
      <c r="F240" s="26">
        <v>899</v>
      </c>
      <c r="G240" s="26"/>
      <c r="H240" s="46" t="str">
        <f>DEC2HEX(I240)</f>
        <v>3A</v>
      </c>
      <c r="I240" s="27">
        <v>58</v>
      </c>
      <c r="J240" s="27" t="str">
        <f>CHAR(I240)</f>
        <v>:</v>
      </c>
      <c r="L240">
        <f>IF(ISBLANK(D240),IF(E240&gt;0,F240-E240+1,0),0)</f>
        <v>0</v>
      </c>
      <c r="M240" s="43">
        <f>IF(ISBLANK(D240),0,IF(G240=0,F240-E240+1,0))</f>
        <v>4</v>
      </c>
      <c r="Q240" s="40" t="str">
        <f>C240&amp;IF(ISBLANK(D240),"","=")&amp;D240</f>
        <v>MaxSpeed_Spindle=5040</v>
      </c>
      <c r="S240" s="39">
        <v>30000</v>
      </c>
      <c r="T240" s="40" t="str">
        <f>C240&amp;IF(ISBLANK(S240),"","=")&amp;S240</f>
        <v>MaxSpeed_Spindle=30000</v>
      </c>
      <c r="U240" s="39">
        <v>1000</v>
      </c>
    </row>
    <row r="241" spans="1:25" s="76" customFormat="1" x14ac:dyDescent="0.3">
      <c r="A241">
        <v>240</v>
      </c>
      <c r="B241" t="s">
        <v>35</v>
      </c>
      <c r="C241" s="39" t="s">
        <v>349</v>
      </c>
      <c r="D241" s="39">
        <v>5041</v>
      </c>
      <c r="E241" s="26">
        <v>936</v>
      </c>
      <c r="F241" s="26">
        <v>939</v>
      </c>
      <c r="G241" s="26"/>
      <c r="H241" s="46" t="str">
        <f>DEC2HEX(I241)</f>
        <v>3B</v>
      </c>
      <c r="I241" s="27">
        <v>59</v>
      </c>
      <c r="J241" s="27" t="str">
        <f>CHAR(I241)</f>
        <v>;</v>
      </c>
      <c r="K241" s="39"/>
      <c r="L241">
        <f>IF(ISBLANK(D241),IF(E241&gt;0,F241-E241+1,0),0)</f>
        <v>0</v>
      </c>
      <c r="M241" s="43">
        <f>IF(ISBLANK(D241),0,IF(G241=0,F241-E241+1,0))</f>
        <v>4</v>
      </c>
      <c r="N241" s="51"/>
      <c r="O241" s="51"/>
      <c r="P241" s="51"/>
      <c r="Q241" s="40" t="str">
        <f>C241&amp;IF(ISBLANK(D241),"","=")&amp;D241</f>
        <v>Accel_Spindle=5041</v>
      </c>
      <c r="R241"/>
      <c r="S241" s="39">
        <v>20000</v>
      </c>
      <c r="T241" s="40" t="str">
        <f>C241&amp;IF(ISBLANK(S241),"","=")&amp;S241</f>
        <v>Accel_Spindle=20000</v>
      </c>
      <c r="U241" s="39">
        <v>1000</v>
      </c>
      <c r="V241" s="40" t="str">
        <f>C241&amp;IF(ISBLANK(U241),"","=")&amp;U241</f>
        <v>Accel_Spindle=1000</v>
      </c>
      <c r="W241"/>
      <c r="X241"/>
      <c r="Y241" s="30"/>
    </row>
    <row r="242" spans="1:25" s="76" customFormat="1" x14ac:dyDescent="0.3">
      <c r="A242">
        <v>241</v>
      </c>
      <c r="B242" t="s">
        <v>35</v>
      </c>
      <c r="C242" s="39" t="s">
        <v>358</v>
      </c>
      <c r="D242" s="39">
        <v>42</v>
      </c>
      <c r="E242" s="26"/>
      <c r="F242" s="26"/>
      <c r="G242" s="26"/>
      <c r="H242" s="46" t="str">
        <f>DEC2HEX(I242)</f>
        <v>6E</v>
      </c>
      <c r="I242" s="27">
        <v>110</v>
      </c>
      <c r="J242" s="27" t="str">
        <f>CHAR(I242)</f>
        <v>n</v>
      </c>
      <c r="K242" s="39"/>
      <c r="L242"/>
      <c r="M242" s="43"/>
      <c r="N242" s="51"/>
      <c r="O242" s="51"/>
      <c r="P242" s="51"/>
      <c r="Q242" s="40" t="str">
        <f>C242&amp;IF(ISBLANK(D242),"","=")&amp;D242</f>
        <v>SpeedPercentage_Spindle=42</v>
      </c>
      <c r="R242"/>
      <c r="S242" s="39">
        <v>100</v>
      </c>
      <c r="T242" s="40" t="str">
        <f>C242&amp;IF(ISBLANK(S242),"","=")&amp;S242</f>
        <v>SpeedPercentage_Spindle=100</v>
      </c>
      <c r="U242" s="39">
        <v>11</v>
      </c>
      <c r="V242" s="40" t="str">
        <f>C242&amp;IF(ISBLANK(U242),"","=")&amp;U242</f>
        <v>SpeedPercentage_Spindle=11</v>
      </c>
      <c r="W242"/>
      <c r="X242"/>
      <c r="Y242"/>
    </row>
    <row r="243" spans="1:25" s="76" customFormat="1" x14ac:dyDescent="0.3">
      <c r="A243">
        <v>242</v>
      </c>
      <c r="B243" s="30"/>
      <c r="C243" s="45" t="s">
        <v>278</v>
      </c>
      <c r="D243" s="45"/>
      <c r="E243" s="30"/>
      <c r="F243" s="30"/>
      <c r="G243" s="30"/>
      <c r="H243" s="92"/>
      <c r="I243" s="30"/>
      <c r="J243" s="30"/>
      <c r="K243" s="45"/>
      <c r="L243" s="30"/>
      <c r="M243" s="72"/>
      <c r="N243" s="30"/>
      <c r="O243" s="30"/>
      <c r="P243" s="30"/>
      <c r="Q243" s="30" t="str">
        <f>C243&amp;IF(ISBLANK(D243),"","=")&amp;D243</f>
        <v>;Z Axis</v>
      </c>
      <c r="R243" s="30"/>
      <c r="S243" s="45"/>
      <c r="T243" s="30" t="str">
        <f>C243&amp;IF(ISBLANK(S243),"","=")&amp;S243</f>
        <v>;Z Axis</v>
      </c>
      <c r="U243" s="45"/>
      <c r="V243" s="30" t="str">
        <f>C243&amp;IF(ISBLANK(U243),"","=")&amp;U243</f>
        <v>;Z Axis</v>
      </c>
      <c r="W243" s="30"/>
      <c r="X243" s="30"/>
      <c r="Y243"/>
    </row>
    <row r="244" spans="1:25" s="76" customFormat="1" x14ac:dyDescent="0.3">
      <c r="A244">
        <v>243</v>
      </c>
      <c r="B244" t="s">
        <v>35</v>
      </c>
      <c r="C244" s="39" t="s">
        <v>359</v>
      </c>
      <c r="D244" s="39">
        <v>5043</v>
      </c>
      <c r="E244" s="26">
        <v>996</v>
      </c>
      <c r="F244" s="26">
        <v>999</v>
      </c>
      <c r="G244" s="26"/>
      <c r="H244" s="46" t="str">
        <f>DEC2HEX(I244)</f>
        <v>B9</v>
      </c>
      <c r="I244" s="27">
        <v>185</v>
      </c>
      <c r="J244" s="27" t="str">
        <f>CHAR(I244)</f>
        <v>¹</v>
      </c>
      <c r="K244" s="39"/>
      <c r="L244">
        <f>IF(ISBLANK(D244),IF(E244&gt;0,F244-E244+1,0),0)</f>
        <v>0</v>
      </c>
      <c r="M244" s="43">
        <f>IF(ISBLANK(D244),0,IF(G244=0,F244-E244+1,0))</f>
        <v>4</v>
      </c>
      <c r="N244" s="51"/>
      <c r="O244" s="51"/>
      <c r="P244" s="51"/>
      <c r="Q244" s="40" t="str">
        <f>C244&amp;IF(ISBLANK(D244),"","=")&amp;D244</f>
        <v>MaxSpeed_Z=5043</v>
      </c>
      <c r="R244"/>
      <c r="S244" s="39">
        <v>30000</v>
      </c>
      <c r="T244" s="40" t="str">
        <f>C244&amp;IF(ISBLANK(S244),"","=")&amp;S244</f>
        <v>MaxSpeed_Z=30000</v>
      </c>
      <c r="U244" s="39">
        <v>1000</v>
      </c>
      <c r="V244" s="40" t="str">
        <f>C244&amp;IF(ISBLANK(U244),"","=")&amp;U244</f>
        <v>MaxSpeed_Z=1000</v>
      </c>
      <c r="W244"/>
      <c r="X244"/>
      <c r="Y244"/>
    </row>
    <row r="245" spans="1:25" x14ac:dyDescent="0.3">
      <c r="A245">
        <v>244</v>
      </c>
      <c r="B245" t="s">
        <v>35</v>
      </c>
      <c r="C245" s="39" t="s">
        <v>360</v>
      </c>
      <c r="D245" s="39">
        <v>5044</v>
      </c>
      <c r="E245" s="26">
        <v>1008</v>
      </c>
      <c r="F245" s="26">
        <v>1011</v>
      </c>
      <c r="G245" s="26"/>
      <c r="H245" s="46" t="str">
        <f>DEC2HEX(I245)</f>
        <v>BA</v>
      </c>
      <c r="I245" s="27">
        <v>186</v>
      </c>
      <c r="J245" s="27" t="str">
        <f>CHAR(I245)</f>
        <v>º</v>
      </c>
      <c r="L245">
        <f>IF(ISBLANK(D245),IF(E245&gt;0,F245-E245+1,0),0)</f>
        <v>0</v>
      </c>
      <c r="M245" s="43">
        <f>IF(ISBLANK(D245),0,IF(G245=0,F245-E245+1,0))</f>
        <v>4</v>
      </c>
      <c r="Q245" s="40" t="str">
        <f>C245&amp;IF(ISBLANK(D245),"","=")&amp;D245</f>
        <v>Accel_Z=5044</v>
      </c>
      <c r="S245" s="39">
        <v>20000</v>
      </c>
      <c r="T245" s="40" t="str">
        <f>C245&amp;IF(ISBLANK(S245),"","=")&amp;S245</f>
        <v>Accel_Z=20000</v>
      </c>
      <c r="U245" s="39">
        <v>1000</v>
      </c>
      <c r="V245" s="40" t="str">
        <f>C245&amp;IF(ISBLANK(U245),"","=")&amp;U245</f>
        <v>Accel_Z=1000</v>
      </c>
    </row>
    <row r="246" spans="1:25" s="76" customFormat="1" x14ac:dyDescent="0.3">
      <c r="A246">
        <v>245</v>
      </c>
      <c r="B246" t="s">
        <v>35</v>
      </c>
      <c r="C246" s="39" t="s">
        <v>361</v>
      </c>
      <c r="D246" s="39">
        <v>45</v>
      </c>
      <c r="E246" s="26"/>
      <c r="F246" s="26"/>
      <c r="G246" s="26">
        <v>124</v>
      </c>
      <c r="H246" s="46" t="str">
        <f>DEC2HEX(I246)</f>
        <v>6F</v>
      </c>
      <c r="I246" s="26">
        <v>111</v>
      </c>
      <c r="J246" s="27" t="str">
        <f>CHAR(I246)</f>
        <v>o</v>
      </c>
      <c r="K246" s="39"/>
      <c r="L246"/>
      <c r="M246" s="43"/>
      <c r="N246" s="51"/>
      <c r="O246" s="51"/>
      <c r="P246" s="51"/>
      <c r="Q246" s="40" t="str">
        <f>C246&amp;IF(ISBLANK(D246),"","=")&amp;D246</f>
        <v>SpeedPercentage_Z=45</v>
      </c>
      <c r="R246"/>
      <c r="S246" s="39">
        <v>100</v>
      </c>
      <c r="T246" s="40" t="str">
        <f>C246&amp;IF(ISBLANK(S246),"","=")&amp;S246</f>
        <v>SpeedPercentage_Z=100</v>
      </c>
      <c r="U246" s="39">
        <v>11</v>
      </c>
      <c r="V246" s="40" t="str">
        <f>C246&amp;IF(ISBLANK(U246),"","=")&amp;U246</f>
        <v>SpeedPercentage_Z=11</v>
      </c>
      <c r="W246"/>
      <c r="X246"/>
      <c r="Y246"/>
    </row>
    <row r="247" spans="1:25" x14ac:dyDescent="0.3">
      <c r="A247">
        <v>246</v>
      </c>
      <c r="B247" s="30"/>
      <c r="C247" s="45" t="s">
        <v>279</v>
      </c>
      <c r="D247" s="45"/>
      <c r="E247" s="30"/>
      <c r="F247" s="30"/>
      <c r="G247" s="30"/>
      <c r="H247" s="92"/>
      <c r="I247" s="30"/>
      <c r="J247" s="30"/>
      <c r="K247" s="45"/>
      <c r="L247" s="30"/>
      <c r="M247" s="72"/>
      <c r="N247" s="30"/>
      <c r="O247" s="30"/>
      <c r="P247" s="30"/>
      <c r="Q247" s="30" t="str">
        <f>C247&amp;IF(ISBLANK(D247),"","=")&amp;D247</f>
        <v>;X Axis</v>
      </c>
      <c r="R247" s="30"/>
      <c r="S247" s="45"/>
      <c r="T247" s="30" t="str">
        <f>C247&amp;IF(ISBLANK(S247),"","=")&amp;S247</f>
        <v>;X Axis</v>
      </c>
      <c r="U247" s="45"/>
      <c r="V247" s="30" t="str">
        <f>C247&amp;IF(ISBLANK(U247),"","=")&amp;U247</f>
        <v>;X Axis</v>
      </c>
      <c r="W247" s="30"/>
      <c r="X247" s="30"/>
    </row>
    <row r="248" spans="1:25" s="76" customFormat="1" x14ac:dyDescent="0.3">
      <c r="A248">
        <v>247</v>
      </c>
      <c r="B248" t="s">
        <v>35</v>
      </c>
      <c r="C248" s="39" t="s">
        <v>362</v>
      </c>
      <c r="D248" s="39">
        <v>5046</v>
      </c>
      <c r="E248" s="26">
        <v>960</v>
      </c>
      <c r="F248" s="26">
        <v>963</v>
      </c>
      <c r="G248" s="26"/>
      <c r="H248" s="46" t="str">
        <f>DEC2HEX(I248)</f>
        <v>B9</v>
      </c>
      <c r="I248" s="27">
        <v>185</v>
      </c>
      <c r="J248" s="27" t="str">
        <f>CHAR(I248)</f>
        <v>¹</v>
      </c>
      <c r="K248" s="39"/>
      <c r="L248">
        <f>IF(ISBLANK(D248),IF(E248&gt;0,F248-E248+1,0),0)</f>
        <v>0</v>
      </c>
      <c r="M248" s="43">
        <f>IF(ISBLANK(D248),0,IF(G248=0,F248-E248+1,0))</f>
        <v>4</v>
      </c>
      <c r="N248" s="51"/>
      <c r="O248" s="51"/>
      <c r="P248" s="51"/>
      <c r="Q248" s="40" t="str">
        <f>C248&amp;IF(ISBLANK(D248),"","=")&amp;D248</f>
        <v>MaxSpeed_X=5046</v>
      </c>
      <c r="R248"/>
      <c r="S248" s="39">
        <v>30000</v>
      </c>
      <c r="T248" s="40" t="str">
        <f>C248&amp;IF(ISBLANK(S248),"","=")&amp;S248</f>
        <v>MaxSpeed_X=30000</v>
      </c>
      <c r="U248" s="39">
        <v>1000</v>
      </c>
      <c r="V248" s="40" t="str">
        <f>C248&amp;IF(ISBLANK(U248),"","=")&amp;U248</f>
        <v>MaxSpeed_X=1000</v>
      </c>
      <c r="W248"/>
      <c r="X248"/>
      <c r="Y248"/>
    </row>
    <row r="249" spans="1:25" s="76" customFormat="1" x14ac:dyDescent="0.3">
      <c r="A249">
        <v>248</v>
      </c>
      <c r="B249" t="s">
        <v>35</v>
      </c>
      <c r="C249" s="39" t="s">
        <v>363</v>
      </c>
      <c r="D249" s="39">
        <v>5047</v>
      </c>
      <c r="E249" s="26">
        <v>980</v>
      </c>
      <c r="F249" s="26">
        <v>983</v>
      </c>
      <c r="G249" s="26"/>
      <c r="H249" s="46" t="str">
        <f>DEC2HEX(I249)</f>
        <v>BA</v>
      </c>
      <c r="I249" s="27">
        <v>186</v>
      </c>
      <c r="J249" s="27" t="str">
        <f>CHAR(I249)</f>
        <v>º</v>
      </c>
      <c r="K249" s="39"/>
      <c r="L249">
        <f>IF(ISBLANK(D249),IF(E249&gt;0,F249-E249+1,0),0)</f>
        <v>0</v>
      </c>
      <c r="M249" s="43">
        <f>IF(ISBLANK(D249),0,IF(G249=0,F249-E249+1,0))</f>
        <v>4</v>
      </c>
      <c r="N249" s="51"/>
      <c r="O249" s="51"/>
      <c r="P249" s="51"/>
      <c r="Q249" s="40" t="str">
        <f>C249&amp;IF(ISBLANK(D249),"","=")&amp;D249</f>
        <v>Accel_X=5047</v>
      </c>
      <c r="R249"/>
      <c r="S249" s="39">
        <v>20000</v>
      </c>
      <c r="T249" s="40" t="str">
        <f>C249&amp;IF(ISBLANK(S249),"","=")&amp;S249</f>
        <v>Accel_X=20000</v>
      </c>
      <c r="U249" s="39">
        <v>1000</v>
      </c>
      <c r="V249" s="40" t="str">
        <f>C249&amp;IF(ISBLANK(U249),"","=")&amp;U249</f>
        <v>Accel_X=1000</v>
      </c>
      <c r="W249"/>
      <c r="X249"/>
      <c r="Y249"/>
    </row>
    <row r="250" spans="1:25" s="76" customFormat="1" x14ac:dyDescent="0.3">
      <c r="A250">
        <v>249</v>
      </c>
      <c r="B250" t="s">
        <v>35</v>
      </c>
      <c r="C250" s="39" t="s">
        <v>364</v>
      </c>
      <c r="D250" s="39">
        <v>48</v>
      </c>
      <c r="E250" s="26"/>
      <c r="F250" s="26"/>
      <c r="G250" s="26">
        <v>124</v>
      </c>
      <c r="H250" s="46" t="str">
        <f>DEC2HEX(I250)</f>
        <v>6F</v>
      </c>
      <c r="I250" s="26">
        <v>111</v>
      </c>
      <c r="J250" s="27" t="str">
        <f>CHAR(I250)</f>
        <v>o</v>
      </c>
      <c r="K250" s="39"/>
      <c r="L250"/>
      <c r="M250" s="43"/>
      <c r="N250" s="51"/>
      <c r="O250" s="51"/>
      <c r="P250" s="51"/>
      <c r="Q250" s="40" t="str">
        <f>C250&amp;IF(ISBLANK(D250),"","=")&amp;D250</f>
        <v>SpeedPercentage_X=48</v>
      </c>
      <c r="R250"/>
      <c r="S250" s="39">
        <v>100</v>
      </c>
      <c r="T250" s="40" t="str">
        <f>C250&amp;IF(ISBLANK(S250),"","=")&amp;S250</f>
        <v>SpeedPercentage_X=100</v>
      </c>
      <c r="U250" s="39">
        <v>11</v>
      </c>
      <c r="V250" s="40" t="str">
        <f>C250&amp;IF(ISBLANK(U250),"","=")&amp;U250</f>
        <v>SpeedPercentage_X=11</v>
      </c>
      <c r="W250"/>
      <c r="X250"/>
      <c r="Y250"/>
    </row>
    <row r="251" spans="1:25" s="76" customFormat="1" x14ac:dyDescent="0.3">
      <c r="A251">
        <v>250</v>
      </c>
      <c r="B251" s="30"/>
      <c r="C251" s="45" t="s">
        <v>281</v>
      </c>
      <c r="D251" s="45"/>
      <c r="E251" s="30"/>
      <c r="F251" s="30"/>
      <c r="G251" s="30"/>
      <c r="H251" s="92"/>
      <c r="I251" s="30"/>
      <c r="J251" s="30"/>
      <c r="K251" s="45"/>
      <c r="L251" s="30"/>
      <c r="M251" s="72"/>
      <c r="N251" s="30"/>
      <c r="O251" s="30"/>
      <c r="P251" s="30"/>
      <c r="Q251" s="30" t="str">
        <f>C251&amp;IF(ISBLANK(D251),"","=")&amp;D251</f>
        <v>;M3 Axis</v>
      </c>
      <c r="R251" s="30"/>
      <c r="S251" s="45"/>
      <c r="T251" s="30" t="str">
        <f>C251&amp;IF(ISBLANK(S251),"","=")&amp;S251</f>
        <v>;M3 Axis</v>
      </c>
      <c r="U251" s="45"/>
      <c r="V251" s="30" t="str">
        <f>C251&amp;IF(ISBLANK(U251),"","=")&amp;U251</f>
        <v>;M3 Axis</v>
      </c>
      <c r="W251" s="30"/>
      <c r="X251" s="30"/>
      <c r="Y251"/>
    </row>
    <row r="252" spans="1:25" x14ac:dyDescent="0.3">
      <c r="A252">
        <v>251</v>
      </c>
      <c r="B252" t="s">
        <v>35</v>
      </c>
      <c r="C252" s="39" t="s">
        <v>371</v>
      </c>
      <c r="D252" s="39">
        <v>5048</v>
      </c>
      <c r="E252" s="26">
        <v>796</v>
      </c>
      <c r="F252" s="26">
        <v>799</v>
      </c>
      <c r="G252" s="26"/>
      <c r="H252" s="46" t="str">
        <f>DEC2HEX(I252)</f>
        <v>B9</v>
      </c>
      <c r="I252" s="27">
        <v>185</v>
      </c>
      <c r="J252" s="27" t="str">
        <f>CHAR(I252)</f>
        <v>¹</v>
      </c>
      <c r="L252">
        <f>IF(ISBLANK(D252),IF(E252&gt;0,F252-E252+1,0),0)</f>
        <v>0</v>
      </c>
      <c r="M252" s="43">
        <f>IF(ISBLANK(D252),0,IF(G252=0,F252-E252+1,0))</f>
        <v>4</v>
      </c>
      <c r="Q252" s="40" t="str">
        <f>C252&amp;IF(ISBLANK(D252),"","=")&amp;D252</f>
        <v>MaxSpeed_M3=5048</v>
      </c>
      <c r="S252" s="39">
        <v>30000</v>
      </c>
      <c r="T252" s="40" t="str">
        <f>C252&amp;IF(ISBLANK(S252),"","=")&amp;S252</f>
        <v>MaxSpeed_M3=30000</v>
      </c>
      <c r="U252" s="39">
        <v>1000</v>
      </c>
      <c r="V252" s="40" t="str">
        <f>C252&amp;IF(ISBLANK(U252),"","=")&amp;U252</f>
        <v>MaxSpeed_M3=1000</v>
      </c>
    </row>
    <row r="253" spans="1:25" s="76" customFormat="1" x14ac:dyDescent="0.3">
      <c r="A253">
        <v>252</v>
      </c>
      <c r="B253" t="s">
        <v>35</v>
      </c>
      <c r="C253" s="39" t="s">
        <v>372</v>
      </c>
      <c r="D253" s="39">
        <v>5049</v>
      </c>
      <c r="E253" s="26">
        <v>800</v>
      </c>
      <c r="F253" s="26">
        <v>803</v>
      </c>
      <c r="G253" s="26"/>
      <c r="H253" s="46" t="str">
        <f>DEC2HEX(I253)</f>
        <v>BA</v>
      </c>
      <c r="I253" s="27">
        <v>186</v>
      </c>
      <c r="J253" s="27" t="str">
        <f>CHAR(I253)</f>
        <v>º</v>
      </c>
      <c r="K253" s="39"/>
      <c r="L253">
        <f>IF(ISBLANK(D253),IF(E253&gt;0,F253-E253+1,0),0)</f>
        <v>0</v>
      </c>
      <c r="M253" s="43">
        <f>IF(ISBLANK(D253),0,IF(G253=0,F253-E253+1,0))</f>
        <v>4</v>
      </c>
      <c r="N253" s="51"/>
      <c r="O253" s="51"/>
      <c r="P253" s="51"/>
      <c r="Q253" s="40" t="str">
        <f>C253&amp;IF(ISBLANK(D253),"","=")&amp;D253</f>
        <v>Accel_M3=5049</v>
      </c>
      <c r="R253"/>
      <c r="S253" s="39">
        <v>20000</v>
      </c>
      <c r="T253" s="40" t="str">
        <f>C253&amp;IF(ISBLANK(S253),"","=")&amp;S253</f>
        <v>Accel_M3=20000</v>
      </c>
      <c r="U253" s="39">
        <v>1000</v>
      </c>
      <c r="V253"/>
      <c r="W253"/>
      <c r="X253"/>
      <c r="Y253"/>
    </row>
    <row r="254" spans="1:25" x14ac:dyDescent="0.3">
      <c r="A254">
        <v>253</v>
      </c>
      <c r="B254" t="s">
        <v>35</v>
      </c>
      <c r="C254" s="39" t="s">
        <v>373</v>
      </c>
      <c r="D254" s="39">
        <v>49</v>
      </c>
      <c r="E254" s="26"/>
      <c r="F254" s="26"/>
      <c r="G254" s="26">
        <v>124</v>
      </c>
      <c r="H254" s="46" t="str">
        <f>DEC2HEX(I254)</f>
        <v>6F</v>
      </c>
      <c r="I254" s="26">
        <v>111</v>
      </c>
      <c r="J254" s="27" t="str">
        <f>CHAR(I254)</f>
        <v>o</v>
      </c>
      <c r="Q254" s="40" t="str">
        <f>C254&amp;IF(ISBLANK(D254),"","=")&amp;D254</f>
        <v>SpeedPercentage_M3=49</v>
      </c>
      <c r="S254" s="39">
        <v>100</v>
      </c>
      <c r="T254" s="40" t="str">
        <f>C254&amp;IF(ISBLANK(S254),"","=")&amp;S254</f>
        <v>SpeedPercentage_M3=100</v>
      </c>
      <c r="U254" s="39">
        <v>11</v>
      </c>
      <c r="V254" s="40" t="str">
        <f>C254&amp;IF(ISBLANK(U254),"","=")&amp;U254</f>
        <v>SpeedPercentage_M3=11</v>
      </c>
    </row>
    <row r="255" spans="1:25" s="30" customFormat="1" x14ac:dyDescent="0.3">
      <c r="A255">
        <v>254</v>
      </c>
      <c r="C255" s="45" t="s">
        <v>282</v>
      </c>
      <c r="D255" s="45"/>
      <c r="H255" s="92"/>
      <c r="K255" s="45"/>
      <c r="M255" s="72"/>
      <c r="Q255" s="30" t="str">
        <f>C255&amp;IF(ISBLANK(D255),"","=")&amp;D255</f>
        <v>;M4 Axis</v>
      </c>
      <c r="S255" s="45"/>
      <c r="T255" s="30" t="str">
        <f>C255&amp;IF(ISBLANK(S255),"","=")&amp;S255</f>
        <v>;M4 Axis</v>
      </c>
      <c r="U255" s="45"/>
      <c r="V255" s="30" t="str">
        <f>C255&amp;IF(ISBLANK(U255),"","=")&amp;U255</f>
        <v>;M4 Axis</v>
      </c>
      <c r="Y255"/>
    </row>
    <row r="256" spans="1:25" s="76" customFormat="1" x14ac:dyDescent="0.3">
      <c r="A256">
        <v>255</v>
      </c>
      <c r="B256" t="s">
        <v>35</v>
      </c>
      <c r="C256" s="39" t="s">
        <v>374</v>
      </c>
      <c r="D256" s="39">
        <v>5048</v>
      </c>
      <c r="E256" s="26">
        <v>964</v>
      </c>
      <c r="F256" s="26">
        <v>967</v>
      </c>
      <c r="G256" s="26"/>
      <c r="H256" s="46" t="str">
        <f>DEC2HEX(I256)</f>
        <v>B9</v>
      </c>
      <c r="I256" s="27">
        <v>185</v>
      </c>
      <c r="J256" s="27" t="str">
        <f>CHAR(I256)</f>
        <v>¹</v>
      </c>
      <c r="K256" s="39"/>
      <c r="L256">
        <f>IF(ISBLANK(D256),IF(E256&gt;0,F256-E256+1,0),0)</f>
        <v>0</v>
      </c>
      <c r="M256" s="43">
        <f>IF(ISBLANK(D256),0,IF(G256=0,F256-E256+1,0))</f>
        <v>4</v>
      </c>
      <c r="N256" s="51"/>
      <c r="O256" s="51"/>
      <c r="P256" s="51"/>
      <c r="Q256" s="40" t="str">
        <f>C256&amp;IF(ISBLANK(D256),"","=")&amp;D256</f>
        <v>MaxSpeed_M4=5048</v>
      </c>
      <c r="R256"/>
      <c r="S256" s="39">
        <v>30000</v>
      </c>
      <c r="T256" s="40" t="str">
        <f>C256&amp;IF(ISBLANK(S256),"","=")&amp;S256</f>
        <v>MaxSpeed_M4=30000</v>
      </c>
      <c r="U256" s="39">
        <v>1000</v>
      </c>
      <c r="V256" s="40" t="str">
        <f>C256&amp;IF(ISBLANK(U256),"","=")&amp;U256</f>
        <v>MaxSpeed_M4=1000</v>
      </c>
      <c r="W256"/>
      <c r="X256"/>
      <c r="Y256"/>
    </row>
    <row r="257" spans="1:25" x14ac:dyDescent="0.3">
      <c r="A257">
        <v>256</v>
      </c>
      <c r="B257" t="s">
        <v>35</v>
      </c>
      <c r="C257" s="39" t="s">
        <v>375</v>
      </c>
      <c r="D257" s="39">
        <v>5049</v>
      </c>
      <c r="E257" s="26">
        <v>976</v>
      </c>
      <c r="F257" s="26">
        <v>979</v>
      </c>
      <c r="G257" s="26"/>
      <c r="H257" s="46" t="str">
        <f>DEC2HEX(I257)</f>
        <v>BA</v>
      </c>
      <c r="I257" s="27">
        <v>186</v>
      </c>
      <c r="J257" s="27" t="str">
        <f>CHAR(I257)</f>
        <v>º</v>
      </c>
      <c r="L257">
        <f>IF(ISBLANK(D257),IF(E257&gt;0,F257-E257+1,0),0)</f>
        <v>0</v>
      </c>
      <c r="M257" s="43">
        <f>IF(ISBLANK(D257),0,IF(G257=0,F257-E257+1,0))</f>
        <v>4</v>
      </c>
      <c r="Q257" s="40" t="str">
        <f>C257&amp;IF(ISBLANK(D257),"","=")&amp;D257</f>
        <v>Accel_M4=5049</v>
      </c>
      <c r="S257" s="39">
        <v>20000</v>
      </c>
      <c r="T257" s="40" t="str">
        <f>C257&amp;IF(ISBLANK(S257),"","=")&amp;S257</f>
        <v>Accel_M4=20000</v>
      </c>
      <c r="U257" s="39">
        <v>1000</v>
      </c>
      <c r="V257" s="40" t="str">
        <f>C257&amp;IF(ISBLANK(U257),"","=")&amp;U257</f>
        <v>Accel_M4=1000</v>
      </c>
      <c r="Y257" s="30"/>
    </row>
    <row r="258" spans="1:25" x14ac:dyDescent="0.3">
      <c r="A258">
        <v>257</v>
      </c>
      <c r="B258" t="s">
        <v>35</v>
      </c>
      <c r="C258" s="39" t="s">
        <v>376</v>
      </c>
      <c r="D258" s="39">
        <v>49</v>
      </c>
      <c r="E258" s="26"/>
      <c r="F258" s="26"/>
      <c r="G258" s="26">
        <v>124</v>
      </c>
      <c r="H258" s="46" t="str">
        <f>DEC2HEX(I258)</f>
        <v>6F</v>
      </c>
      <c r="I258" s="26">
        <v>111</v>
      </c>
      <c r="J258" s="27" t="str">
        <f>CHAR(I258)</f>
        <v>o</v>
      </c>
      <c r="Q258" s="40" t="str">
        <f>C258&amp;IF(ISBLANK(D258),"","=")&amp;D258</f>
        <v>SpeedPercentage_M4=49</v>
      </c>
      <c r="S258" s="39">
        <v>100</v>
      </c>
      <c r="T258" s="40" t="str">
        <f>C258&amp;IF(ISBLANK(S258),"","=")&amp;S258</f>
        <v>SpeedPercentage_M4=100</v>
      </c>
      <c r="U258" s="39">
        <v>11</v>
      </c>
      <c r="V258" s="40" t="str">
        <f>C258&amp;IF(ISBLANK(U258),"","=")&amp;U258</f>
        <v>SpeedPercentage_M4=11</v>
      </c>
    </row>
    <row r="259" spans="1:25" x14ac:dyDescent="0.3">
      <c r="A259">
        <v>258</v>
      </c>
      <c r="C259" s="39" t="s">
        <v>229</v>
      </c>
      <c r="E259" s="26"/>
      <c r="F259" s="26"/>
      <c r="G259" s="26"/>
      <c r="H259" s="96"/>
      <c r="I259" s="26"/>
      <c r="J259" s="26"/>
      <c r="Q259" s="40" t="str">
        <f>C259&amp;IF(ISBLANK(D259),"","=")&amp;D259</f>
        <v>;</v>
      </c>
      <c r="T259" s="40" t="str">
        <f>C259&amp;IF(ISBLANK(S259),"","=")&amp;S259</f>
        <v>;</v>
      </c>
      <c r="V259" s="40" t="str">
        <f>C259&amp;IF(ISBLANK(U259),"","=")&amp;U259</f>
        <v>;</v>
      </c>
    </row>
    <row r="260" spans="1:25" s="76" customFormat="1" x14ac:dyDescent="0.3">
      <c r="A260">
        <v>259</v>
      </c>
      <c r="C260" s="77" t="s">
        <v>300</v>
      </c>
      <c r="D260" s="77"/>
      <c r="H260" s="78"/>
      <c r="K260" s="77"/>
      <c r="M260" s="79"/>
      <c r="Q260" s="76" t="str">
        <f>C260&amp;IF(ISBLANK(D260),"","=")&amp;D260</f>
        <v>[Recip]</v>
      </c>
      <c r="S260" s="77"/>
      <c r="T260" s="76" t="str">
        <f>C260&amp;IF(ISBLANK(S260),"","=")&amp;S260</f>
        <v>[Recip]</v>
      </c>
      <c r="U260" s="77"/>
      <c r="V260"/>
      <c r="W260"/>
      <c r="X260"/>
      <c r="Y260"/>
    </row>
    <row r="261" spans="1:25" s="76" customFormat="1" x14ac:dyDescent="0.3">
      <c r="A261">
        <v>260</v>
      </c>
      <c r="B261"/>
      <c r="C261" s="39" t="s">
        <v>229</v>
      </c>
      <c r="D261" s="39"/>
      <c r="E261" s="26"/>
      <c r="F261" s="26"/>
      <c r="G261" s="26"/>
      <c r="H261" s="96"/>
      <c r="I261" s="26"/>
      <c r="J261" s="26"/>
      <c r="K261" s="39"/>
      <c r="L261"/>
      <c r="M261" s="43"/>
      <c r="N261" s="51"/>
      <c r="O261" s="51"/>
      <c r="P261" s="51"/>
      <c r="Q261" s="40" t="str">
        <f>C261&amp;IF(ISBLANK(D261),"","=")&amp;D261</f>
        <v>;</v>
      </c>
      <c r="R261"/>
      <c r="S261" s="39"/>
      <c r="T261" s="40" t="str">
        <f>C261&amp;IF(ISBLANK(S261),"","=")&amp;S261</f>
        <v>;</v>
      </c>
      <c r="U261" s="39"/>
      <c r="V261" s="40" t="str">
        <f>C261&amp;IF(ISBLANK(U261),"","=")&amp;U261</f>
        <v>;</v>
      </c>
      <c r="W261"/>
      <c r="X261"/>
      <c r="Y261" s="30"/>
    </row>
    <row r="262" spans="1:25" s="76" customFormat="1" x14ac:dyDescent="0.3">
      <c r="A262">
        <v>261</v>
      </c>
      <c r="B262" t="s">
        <v>433</v>
      </c>
      <c r="C262" s="39" t="s">
        <v>260</v>
      </c>
      <c r="D262" s="39">
        <v>1</v>
      </c>
      <c r="E262" s="26">
        <v>164</v>
      </c>
      <c r="F262" s="26">
        <v>167</v>
      </c>
      <c r="G262" s="26"/>
      <c r="H262" s="46" t="str">
        <f>DEC2HEX(I262)</f>
        <v>42</v>
      </c>
      <c r="I262" s="27">
        <v>66</v>
      </c>
      <c r="J262" s="27" t="str">
        <f>CHAR(I262)</f>
        <v>B</v>
      </c>
      <c r="K262" s="39"/>
      <c r="L262">
        <f>IF(ISBLANK(D262),IF(E262&gt;0,F262-E262+1,0),0)</f>
        <v>0</v>
      </c>
      <c r="M262" s="43">
        <f>IF(ISBLANK(D262),0,IF(G262=0,F262-E262+1,0))</f>
        <v>4</v>
      </c>
      <c r="N262" s="51"/>
      <c r="O262" s="51"/>
      <c r="P262" s="51"/>
      <c r="Q262" s="40" t="str">
        <f>C262&amp;IF(ISBLANK(D262),"","=")&amp;D262</f>
        <v>AxisId=1</v>
      </c>
      <c r="R262"/>
      <c r="S262" s="39"/>
      <c r="T262"/>
      <c r="U262" s="39"/>
      <c r="V262"/>
      <c r="W262"/>
      <c r="X262"/>
      <c r="Y262"/>
    </row>
    <row r="263" spans="1:25" x14ac:dyDescent="0.3">
      <c r="A263">
        <v>262</v>
      </c>
      <c r="C263" s="39" t="s">
        <v>616</v>
      </c>
      <c r="E263" s="26"/>
      <c r="F263" s="26"/>
      <c r="G263" s="26"/>
      <c r="H263" s="96"/>
      <c r="I263" s="26"/>
      <c r="J263" s="26"/>
      <c r="Q263" s="40" t="str">
        <f>C263&amp;IF(ISBLANK(D263),"","=")&amp;D263</f>
        <v>; Style: 1-Equal Angle, 2-Square, 3-Sawtooth</v>
      </c>
      <c r="T263" s="40" t="str">
        <f>C263&amp;IF(ISBLANK(S263),"","=")&amp;S263</f>
        <v>; Style: 1-Equal Angle, 2-Square, 3-Sawtooth</v>
      </c>
      <c r="V263" s="40" t="str">
        <f>C263&amp;IF(ISBLANK(U263),"","=")&amp;U263</f>
        <v>; Style: 1-Equal Angle, 2-Square, 3-Sawtooth</v>
      </c>
    </row>
    <row r="264" spans="1:25" x14ac:dyDescent="0.3">
      <c r="A264">
        <v>263</v>
      </c>
      <c r="B264" t="s">
        <v>433</v>
      </c>
      <c r="C264" s="39" t="s">
        <v>403</v>
      </c>
      <c r="D264" s="39">
        <v>1</v>
      </c>
      <c r="E264" s="26">
        <v>168</v>
      </c>
      <c r="F264" s="26">
        <v>171</v>
      </c>
      <c r="G264" s="26"/>
      <c r="H264" s="46" t="str">
        <f>DEC2HEX(I264)</f>
        <v>44</v>
      </c>
      <c r="I264" s="27">
        <v>68</v>
      </c>
      <c r="J264" s="27" t="str">
        <f>CHAR(I264)</f>
        <v>D</v>
      </c>
      <c r="L264">
        <f>IF(ISBLANK(D264),IF(E264&gt;0,F264-E264+1,0),0)</f>
        <v>0</v>
      </c>
      <c r="M264" s="43">
        <f>IF(ISBLANK(D264),0,IF(G264=0,F264-E264+1,0))</f>
        <v>4</v>
      </c>
      <c r="Q264" s="40" t="str">
        <f>C264&amp;IF(ISBLANK(D264),"","=")&amp;D264</f>
        <v>Style=1</v>
      </c>
      <c r="R264" s="110"/>
      <c r="S264" s="39">
        <v>1</v>
      </c>
      <c r="T264" s="40" t="str">
        <f>C264&amp;IF(ISBLANK(S264),"","=")&amp;S264</f>
        <v>Style=1</v>
      </c>
      <c r="U264" s="39">
        <v>2</v>
      </c>
      <c r="V264" s="40" t="str">
        <f>C264&amp;IF(ISBLANK(U264),"","=")&amp;U264</f>
        <v>Style=2</v>
      </c>
    </row>
    <row r="265" spans="1:25" x14ac:dyDescent="0.3">
      <c r="A265">
        <v>264</v>
      </c>
      <c r="C265" s="39" t="s">
        <v>631</v>
      </c>
      <c r="E265" s="26"/>
      <c r="F265" s="26"/>
      <c r="G265" s="26"/>
      <c r="H265" s="96"/>
      <c r="I265" s="26"/>
      <c r="J265" s="26"/>
      <c r="Q265" s="40" t="str">
        <f>C265&amp;IF(ISBLANK(D265),"","=")&amp;D265</f>
        <v>; Radial = 0, Axial = 1</v>
      </c>
      <c r="R265" s="110"/>
      <c r="T265" s="40" t="str">
        <f>C265&amp;IF(ISBLANK(S265),"","=")&amp;S265</f>
        <v>; Radial = 0, Axial = 1</v>
      </c>
      <c r="V265" s="40" t="str">
        <f>C265&amp;IF(ISBLANK(U265),"","=")&amp;U265</f>
        <v>; Radial = 0, Axial = 1</v>
      </c>
      <c r="Y265" s="30"/>
    </row>
    <row r="266" spans="1:25" x14ac:dyDescent="0.3">
      <c r="A266">
        <v>265</v>
      </c>
      <c r="B266" t="s">
        <v>433</v>
      </c>
      <c r="C266" s="39" t="s">
        <v>615</v>
      </c>
      <c r="D266" s="39">
        <v>0</v>
      </c>
      <c r="E266" s="26">
        <v>172</v>
      </c>
      <c r="F266" s="26">
        <v>175</v>
      </c>
      <c r="G266" s="26"/>
      <c r="H266" s="46" t="str">
        <f>DEC2HEX(I266)</f>
        <v>A8</v>
      </c>
      <c r="I266" s="27">
        <v>168</v>
      </c>
      <c r="J266" s="27" t="str">
        <f>CHAR(I266)</f>
        <v>¨</v>
      </c>
      <c r="L266">
        <f>IF(ISBLANK(D266),IF(E266&gt;0,F266-E266+1,0),0)</f>
        <v>0</v>
      </c>
      <c r="M266" s="43">
        <f>IF(ISBLANK(D266),0,IF(G266=0,F266-E266+1,0))</f>
        <v>4</v>
      </c>
      <c r="Q266" s="40" t="str">
        <f>C266&amp;IF(ISBLANK(D266),"","=")&amp;D266</f>
        <v>Radial_Axial=0</v>
      </c>
      <c r="R266" s="110"/>
    </row>
    <row r="267" spans="1:25" x14ac:dyDescent="0.3">
      <c r="A267">
        <v>266</v>
      </c>
      <c r="C267" s="39" t="s">
        <v>301</v>
      </c>
      <c r="E267" s="26"/>
      <c r="F267" s="26"/>
      <c r="G267" s="26"/>
      <c r="H267" s="96"/>
      <c r="I267" s="26"/>
      <c r="J267" s="26"/>
      <c r="Q267" s="40" t="str">
        <f>C267&amp;IF(ISBLANK(D267),"","=")&amp;D267</f>
        <v>;Radial</v>
      </c>
      <c r="T267" s="40" t="str">
        <f>C267&amp;IF(ISBLANK(S267),"","=")&amp;S267</f>
        <v>;Radial</v>
      </c>
      <c r="V267" s="40" t="str">
        <f>C267&amp;IF(ISBLANK(U267),"","=")&amp;U267</f>
        <v>;Radial</v>
      </c>
    </row>
    <row r="268" spans="1:25" x14ac:dyDescent="0.3">
      <c r="A268">
        <v>267</v>
      </c>
      <c r="B268" t="s">
        <v>433</v>
      </c>
      <c r="C268" s="39" t="s">
        <v>405</v>
      </c>
      <c r="D268" s="39">
        <v>5</v>
      </c>
      <c r="E268" s="27"/>
      <c r="F268" s="27"/>
      <c r="G268" s="26">
        <v>124</v>
      </c>
      <c r="H268" s="46" t="str">
        <f>DEC2HEX(I268)</f>
        <v>D4</v>
      </c>
      <c r="I268" s="27">
        <v>212</v>
      </c>
      <c r="J268" s="27" t="str">
        <f>CHAR(I268)</f>
        <v>Ô</v>
      </c>
      <c r="Q268" s="40" t="str">
        <f>C268&amp;IF(ISBLANK(D268),"","=")&amp;D268</f>
        <v>Radial_Waves=5</v>
      </c>
      <c r="R268" s="110"/>
      <c r="S268" s="39">
        <v>2</v>
      </c>
      <c r="T268" s="40" t="str">
        <f>C268&amp;IF(ISBLANK(S268),"","=")&amp;S268</f>
        <v>Radial_Waves=2</v>
      </c>
      <c r="U268" s="39">
        <v>11</v>
      </c>
      <c r="V268" s="40" t="str">
        <f>C268&amp;IF(ISBLANK(U268),"","=")&amp;U268</f>
        <v>Radial_Waves=11</v>
      </c>
    </row>
    <row r="269" spans="1:25" x14ac:dyDescent="0.3">
      <c r="A269">
        <v>268</v>
      </c>
      <c r="B269" t="s">
        <v>433</v>
      </c>
      <c r="C269" s="39" t="s">
        <v>406</v>
      </c>
      <c r="D269" s="39">
        <v>18.123999999999999</v>
      </c>
      <c r="E269" s="27"/>
      <c r="F269" s="27"/>
      <c r="G269" s="26">
        <v>124</v>
      </c>
      <c r="H269" s="46" t="str">
        <f>DEC2HEX(I269)</f>
        <v>D5</v>
      </c>
      <c r="I269" s="27">
        <v>213</v>
      </c>
      <c r="J269" s="27" t="str">
        <f>CHAR(I269)</f>
        <v>Õ</v>
      </c>
      <c r="Q269" s="40" t="str">
        <f>C269&amp;IF(ISBLANK(D269),"","=")&amp;D269</f>
        <v>Radial_Spindle_Degrees=18.124</v>
      </c>
      <c r="S269" s="39">
        <v>60</v>
      </c>
      <c r="T269" s="40" t="str">
        <f>C269&amp;IF(ISBLANK(S269),"","=")&amp;S269</f>
        <v>Radial_Spindle_Degrees=60</v>
      </c>
      <c r="U269" s="39">
        <v>11</v>
      </c>
      <c r="V269" s="40" t="str">
        <f>C269&amp;IF(ISBLANK(U269),"","=")&amp;U269</f>
        <v>Radial_Spindle_Degrees=11</v>
      </c>
      <c r="Y269" s="30"/>
    </row>
    <row r="270" spans="1:25" s="76" customFormat="1" x14ac:dyDescent="0.3">
      <c r="A270">
        <v>269</v>
      </c>
      <c r="B270" t="s">
        <v>433</v>
      </c>
      <c r="C270" s="39" t="s">
        <v>407</v>
      </c>
      <c r="D270" s="39">
        <v>4.258</v>
      </c>
      <c r="E270" s="27"/>
      <c r="F270" s="27"/>
      <c r="G270" s="26">
        <v>124</v>
      </c>
      <c r="H270" s="46" t="str">
        <f>DEC2HEX(I270)</f>
        <v>D6</v>
      </c>
      <c r="I270" s="27">
        <v>214</v>
      </c>
      <c r="J270" s="27" t="str">
        <f>CHAR(I270)</f>
        <v>Ö</v>
      </c>
      <c r="K270" s="39"/>
      <c r="L270"/>
      <c r="M270" s="43"/>
      <c r="N270" s="51"/>
      <c r="O270" s="51"/>
      <c r="P270" s="51"/>
      <c r="Q270" s="40" t="str">
        <f>C270&amp;IF(ISBLANK(D270),"","=")&amp;D270</f>
        <v>Radial_Axis_Amplitude=4.258</v>
      </c>
      <c r="R270" s="110"/>
      <c r="S270" s="39">
        <v>0.2</v>
      </c>
      <c r="T270" s="40" t="str">
        <f>C270&amp;IF(ISBLANK(S270),"","=")&amp;S270</f>
        <v>Radial_Axis_Amplitude=0.2</v>
      </c>
      <c r="U270" s="39">
        <v>11</v>
      </c>
      <c r="V270" s="40" t="str">
        <f>C270&amp;IF(ISBLANK(U270),"","=")&amp;U270</f>
        <v>Radial_Axis_Amplitude=11</v>
      </c>
      <c r="W270"/>
      <c r="X270"/>
      <c r="Y270"/>
    </row>
    <row r="271" spans="1:25" x14ac:dyDescent="0.3">
      <c r="A271">
        <v>270</v>
      </c>
      <c r="C271" s="39" t="s">
        <v>302</v>
      </c>
      <c r="E271" s="26"/>
      <c r="F271" s="26"/>
      <c r="G271" s="26"/>
      <c r="H271" s="96"/>
      <c r="I271" s="26"/>
      <c r="J271" s="26"/>
      <c r="Q271" s="40" t="str">
        <f>C271&amp;IF(ISBLANK(D271),"","=")&amp;D271</f>
        <v>;Axial</v>
      </c>
      <c r="T271" s="40" t="str">
        <f>C271&amp;IF(ISBLANK(S271),"","=")&amp;S271</f>
        <v>;Axial</v>
      </c>
      <c r="V271" s="40" t="str">
        <f>C271&amp;IF(ISBLANK(U271),"","=")&amp;U271</f>
        <v>;Axial</v>
      </c>
    </row>
    <row r="272" spans="1:25" x14ac:dyDescent="0.3">
      <c r="A272">
        <v>271</v>
      </c>
      <c r="B272" t="s">
        <v>433</v>
      </c>
      <c r="C272" s="39" t="s">
        <v>408</v>
      </c>
      <c r="D272" s="39">
        <v>4</v>
      </c>
      <c r="E272" s="27"/>
      <c r="F272" s="27"/>
      <c r="G272" s="26">
        <v>124</v>
      </c>
      <c r="H272" s="46" t="str">
        <f>DEC2HEX(I272)</f>
        <v>CB</v>
      </c>
      <c r="I272" s="27">
        <v>203</v>
      </c>
      <c r="J272" s="27" t="str">
        <f>CHAR(I272)</f>
        <v>Ë</v>
      </c>
      <c r="Q272" s="40" t="str">
        <f>C272&amp;IF(ISBLANK(D272),"","=")&amp;D272</f>
        <v>Axial_Waves=4</v>
      </c>
      <c r="S272" s="39">
        <v>2</v>
      </c>
      <c r="T272" s="40" t="str">
        <f>C272&amp;IF(ISBLANK(S272),"","=")&amp;S272</f>
        <v>Axial_Waves=2</v>
      </c>
      <c r="U272" s="39">
        <v>11</v>
      </c>
      <c r="V272" s="40" t="str">
        <f>C272&amp;IF(ISBLANK(U272),"","=")&amp;U272</f>
        <v>Axial_Waves=11</v>
      </c>
    </row>
    <row r="273" spans="1:25" x14ac:dyDescent="0.3">
      <c r="A273">
        <v>272</v>
      </c>
      <c r="B273" t="s">
        <v>433</v>
      </c>
      <c r="C273" s="39" t="s">
        <v>409</v>
      </c>
      <c r="D273" s="39">
        <v>22.257999999999999</v>
      </c>
      <c r="E273" s="27"/>
      <c r="F273" s="27"/>
      <c r="G273" s="26">
        <v>124</v>
      </c>
      <c r="H273" s="46" t="str">
        <f>DEC2HEX(I273)</f>
        <v>CC</v>
      </c>
      <c r="I273" s="27">
        <v>204</v>
      </c>
      <c r="J273" s="27" t="str">
        <f>CHAR(I273)</f>
        <v>Ì</v>
      </c>
      <c r="Q273" s="40" t="str">
        <f>C273&amp;IF(ISBLANK(D273),"","=")&amp;D273</f>
        <v>Axial_Spindle_Amplitude=22.258</v>
      </c>
      <c r="S273" s="39">
        <v>20</v>
      </c>
      <c r="T273" s="40" t="str">
        <f>C273&amp;IF(ISBLANK(S273),"","=")&amp;S273</f>
        <v>Axial_Spindle_Amplitude=20</v>
      </c>
      <c r="U273" s="39">
        <v>11</v>
      </c>
      <c r="V273" s="40" t="str">
        <f>C273&amp;IF(ISBLANK(U273),"","=")&amp;U273</f>
        <v>Axial_Spindle_Amplitude=11</v>
      </c>
      <c r="Y273" s="30"/>
    </row>
    <row r="274" spans="1:25" x14ac:dyDescent="0.3">
      <c r="A274">
        <v>273</v>
      </c>
      <c r="B274" t="s">
        <v>433</v>
      </c>
      <c r="C274" s="39" t="s">
        <v>410</v>
      </c>
      <c r="D274" s="39">
        <v>7.8959999999999999</v>
      </c>
      <c r="E274" s="27"/>
      <c r="F274" s="27"/>
      <c r="G274" s="26">
        <v>124</v>
      </c>
      <c r="H274" s="46" t="str">
        <f>DEC2HEX(I274)</f>
        <v>CD</v>
      </c>
      <c r="I274" s="27">
        <v>205</v>
      </c>
      <c r="J274" s="27" t="str">
        <f>CHAR(I274)</f>
        <v>Í</v>
      </c>
      <c r="Q274" s="40" t="str">
        <f>C274&amp;IF(ISBLANK(D274),"","=")&amp;D274</f>
        <v>Axial_Axis_Distance=7.896</v>
      </c>
      <c r="S274" s="39">
        <v>0.6</v>
      </c>
      <c r="T274" s="40" t="str">
        <f>C274&amp;IF(ISBLANK(S274),"","=")&amp;S274</f>
        <v>Axial_Axis_Distance=0.6</v>
      </c>
      <c r="U274" s="39">
        <v>11</v>
      </c>
      <c r="V274" s="40" t="str">
        <f>C274&amp;IF(ISBLANK(U274),"","=")&amp;U274</f>
        <v>Axial_Axis_Distance=11</v>
      </c>
    </row>
    <row r="275" spans="1:25" x14ac:dyDescent="0.3">
      <c r="A275">
        <v>274</v>
      </c>
      <c r="C275" s="39" t="s">
        <v>632</v>
      </c>
      <c r="E275" s="26"/>
      <c r="F275" s="26"/>
      <c r="G275" s="26"/>
      <c r="H275" s="96"/>
      <c r="I275" s="26"/>
      <c r="J275" s="26"/>
      <c r="Q275" s="40" t="str">
        <f>C275&amp;IF(ISBLANK(D275),"","=")&amp;D275</f>
        <v>; No Last Segment: None = 1, Segment = 0</v>
      </c>
      <c r="T275" s="40" t="str">
        <f>C275&amp;IF(ISBLANK(S275),"","=")&amp;S275</f>
        <v>; No Last Segment: None = 1, Segment = 0</v>
      </c>
      <c r="V275" s="40" t="str">
        <f>C275&amp;IF(ISBLANK(U275),"","=")&amp;U275</f>
        <v>; No Last Segment: None = 1, Segment = 0</v>
      </c>
    </row>
    <row r="276" spans="1:25" s="76" customFormat="1" x14ac:dyDescent="0.3">
      <c r="A276">
        <v>275</v>
      </c>
      <c r="B276" t="s">
        <v>433</v>
      </c>
      <c r="C276" s="39" t="s">
        <v>633</v>
      </c>
      <c r="D276" s="39">
        <v>0</v>
      </c>
      <c r="E276" s="26">
        <v>192</v>
      </c>
      <c r="F276" s="26">
        <v>195</v>
      </c>
      <c r="G276" s="26"/>
      <c r="H276" s="46" t="str">
        <f>DEC2HEX(I276)</f>
        <v>66</v>
      </c>
      <c r="I276" s="27">
        <v>102</v>
      </c>
      <c r="J276" s="27" t="str">
        <f>CHAR(I276)</f>
        <v>f</v>
      </c>
      <c r="K276" s="39"/>
      <c r="L276">
        <f>IF(ISBLANK(D276),IF(E276&gt;0,F276-E276+1,0),0)</f>
        <v>0</v>
      </c>
      <c r="M276" s="43">
        <f>IF(ISBLANK(D276),0,IF(G276=0,F276-E276+1,0))</f>
        <v>4</v>
      </c>
      <c r="N276" s="51"/>
      <c r="O276" s="51"/>
      <c r="P276" s="51"/>
      <c r="Q276" s="40" t="str">
        <f>C276&amp;IF(ISBLANK(D276),"","=")&amp;D276</f>
        <v>NoLastLeg=0</v>
      </c>
      <c r="R276"/>
      <c r="S276" s="39"/>
      <c r="T276"/>
      <c r="U276" s="39"/>
      <c r="V276" s="40" t="str">
        <f>C276&amp;IF(ISBLANK(U276),"","=")&amp;U276</f>
        <v>NoLastLeg</v>
      </c>
      <c r="W276"/>
      <c r="X276"/>
      <c r="Y276"/>
    </row>
    <row r="277" spans="1:25" s="76" customFormat="1" x14ac:dyDescent="0.3">
      <c r="A277">
        <v>276</v>
      </c>
      <c r="B277" t="s">
        <v>433</v>
      </c>
      <c r="C277" s="39" t="s">
        <v>618</v>
      </c>
      <c r="D277" s="39">
        <v>0</v>
      </c>
      <c r="E277" s="26"/>
      <c r="F277" s="26"/>
      <c r="G277" s="26">
        <v>124</v>
      </c>
      <c r="H277" s="46" t="str">
        <f>DEC2HEX(I277)</f>
        <v>CA</v>
      </c>
      <c r="I277" s="27">
        <v>202</v>
      </c>
      <c r="J277" s="27" t="str">
        <f>CHAR(I277)</f>
        <v>Ê</v>
      </c>
      <c r="K277" s="39"/>
      <c r="L277"/>
      <c r="M277" s="43"/>
      <c r="N277" s="51"/>
      <c r="O277" s="51"/>
      <c r="P277" s="51"/>
      <c r="Q277" s="40" t="str">
        <f>C277&amp;IF(ISBLANK(D277),"","=")&amp;D277</f>
        <v>GrowAxisDistance=0</v>
      </c>
      <c r="R277"/>
      <c r="S277" s="39"/>
      <c r="T277"/>
      <c r="U277" s="39"/>
      <c r="V277" s="40" t="str">
        <f>C277&amp;IF(ISBLANK(U277),"","=")&amp;U277</f>
        <v>GrowAxisDistance</v>
      </c>
      <c r="W277"/>
      <c r="X277"/>
      <c r="Y277"/>
    </row>
    <row r="278" spans="1:25" s="76" customFormat="1" x14ac:dyDescent="0.3">
      <c r="A278">
        <v>277</v>
      </c>
      <c r="B278" t="s">
        <v>433</v>
      </c>
      <c r="C278" s="39" t="s">
        <v>617</v>
      </c>
      <c r="D278" s="39">
        <v>0</v>
      </c>
      <c r="E278" s="26"/>
      <c r="F278" s="26"/>
      <c r="G278" s="26">
        <v>124</v>
      </c>
      <c r="H278" s="46" t="str">
        <f>DEC2HEX(I278)</f>
        <v>3F</v>
      </c>
      <c r="I278" s="27">
        <v>63</v>
      </c>
      <c r="J278" s="27" t="str">
        <f>CHAR(I278)</f>
        <v>?</v>
      </c>
      <c r="K278" s="39"/>
      <c r="L278"/>
      <c r="M278" s="43"/>
      <c r="N278" s="51"/>
      <c r="O278" s="51"/>
      <c r="P278" s="51"/>
      <c r="Q278" s="40" t="str">
        <f>C278&amp;IF(ISBLANK(D278),"","=")&amp;D278</f>
        <v>GrowSpindleDistance=0</v>
      </c>
      <c r="R278"/>
      <c r="S278" s="39"/>
      <c r="T278"/>
      <c r="U278" s="39"/>
      <c r="V278" s="40" t="str">
        <f>C278&amp;IF(ISBLANK(U278),"","=")&amp;U278</f>
        <v>GrowSpindleDistance</v>
      </c>
      <c r="W278"/>
      <c r="X278"/>
      <c r="Y278"/>
    </row>
    <row r="279" spans="1:25" s="76" customFormat="1" x14ac:dyDescent="0.3">
      <c r="A279">
        <v>278</v>
      </c>
      <c r="B279" s="30"/>
      <c r="C279" s="45" t="s">
        <v>288</v>
      </c>
      <c r="D279" s="45"/>
      <c r="E279" s="30"/>
      <c r="F279" s="30"/>
      <c r="G279" s="30"/>
      <c r="H279" s="92"/>
      <c r="I279" s="30"/>
      <c r="J279" s="30"/>
      <c r="K279" s="45"/>
      <c r="L279" s="30"/>
      <c r="M279" s="72"/>
      <c r="N279" s="30"/>
      <c r="O279" s="30"/>
      <c r="P279" s="30"/>
      <c r="Q279" s="30" t="str">
        <f>C279&amp;IF(ISBLANK(D279),"","=")&amp;D279</f>
        <v>;Spindle</v>
      </c>
      <c r="R279" s="30"/>
      <c r="S279" s="45"/>
      <c r="T279" s="30" t="str">
        <f>C279&amp;IF(ISBLANK(S279),"","=")&amp;S279</f>
        <v>;Spindle</v>
      </c>
      <c r="U279" s="45"/>
      <c r="V279" s="30"/>
      <c r="W279" s="30"/>
      <c r="X279" s="30"/>
      <c r="Y279"/>
    </row>
    <row r="280" spans="1:25" s="76" customFormat="1" x14ac:dyDescent="0.3">
      <c r="A280">
        <v>279</v>
      </c>
      <c r="B280" t="s">
        <v>433</v>
      </c>
      <c r="C280" s="39" t="s">
        <v>348</v>
      </c>
      <c r="D280" s="39">
        <v>5040</v>
      </c>
      <c r="E280" s="26"/>
      <c r="F280" s="26"/>
      <c r="G280" s="26">
        <v>124</v>
      </c>
      <c r="H280" s="46" t="str">
        <f>DEC2HEX(I280)</f>
        <v>3A</v>
      </c>
      <c r="I280" s="27">
        <v>58</v>
      </c>
      <c r="J280" s="27" t="str">
        <f>CHAR(I280)</f>
        <v>:</v>
      </c>
      <c r="K280" s="39"/>
      <c r="L280"/>
      <c r="M280" s="43"/>
      <c r="N280" s="51"/>
      <c r="O280" s="51"/>
      <c r="P280" s="51"/>
      <c r="Q280" s="40" t="str">
        <f>C280&amp;IF(ISBLANK(D280),"","=")&amp;D280</f>
        <v>MaxSpeed_Spindle=5040</v>
      </c>
      <c r="R280"/>
      <c r="S280" s="39">
        <v>30000</v>
      </c>
      <c r="T280" s="40" t="str">
        <f>C280&amp;IF(ISBLANK(S280),"","=")&amp;S280</f>
        <v>MaxSpeed_Spindle=30000</v>
      </c>
      <c r="U280" s="39">
        <v>1000</v>
      </c>
      <c r="V280"/>
      <c r="W280"/>
      <c r="X280"/>
      <c r="Y280"/>
    </row>
    <row r="281" spans="1:25" x14ac:dyDescent="0.3">
      <c r="A281">
        <v>280</v>
      </c>
      <c r="B281" t="s">
        <v>433</v>
      </c>
      <c r="C281" s="39" t="s">
        <v>349</v>
      </c>
      <c r="D281" s="39">
        <v>5041</v>
      </c>
      <c r="E281" s="26"/>
      <c r="F281" s="26"/>
      <c r="G281" s="26">
        <v>124</v>
      </c>
      <c r="H281" s="46" t="str">
        <f>DEC2HEX(I281)</f>
        <v>3B</v>
      </c>
      <c r="I281" s="27">
        <v>59</v>
      </c>
      <c r="J281" s="27" t="str">
        <f>CHAR(I281)</f>
        <v>;</v>
      </c>
      <c r="Q281" s="40" t="str">
        <f>C281&amp;IF(ISBLANK(D281),"","=")&amp;D281</f>
        <v>Accel_Spindle=5041</v>
      </c>
      <c r="S281" s="39">
        <v>20000</v>
      </c>
      <c r="T281" s="40" t="str">
        <f>C281&amp;IF(ISBLANK(S281),"","=")&amp;S281</f>
        <v>Accel_Spindle=20000</v>
      </c>
      <c r="U281" s="39">
        <v>1000</v>
      </c>
      <c r="V281" s="40" t="str">
        <f>C281&amp;IF(ISBLANK(U281),"","=")&amp;U281</f>
        <v>Accel_Spindle=1000</v>
      </c>
    </row>
    <row r="282" spans="1:25" x14ac:dyDescent="0.3">
      <c r="A282">
        <v>281</v>
      </c>
      <c r="B282" t="s">
        <v>433</v>
      </c>
      <c r="C282" s="39" t="s">
        <v>358</v>
      </c>
      <c r="D282" s="39">
        <v>42</v>
      </c>
      <c r="E282" s="26"/>
      <c r="F282" s="26"/>
      <c r="G282" s="26">
        <v>124</v>
      </c>
      <c r="H282" s="46" t="str">
        <f>DEC2HEX(I282)</f>
        <v>6E</v>
      </c>
      <c r="I282" s="27">
        <v>110</v>
      </c>
      <c r="J282" s="27" t="str">
        <f>CHAR(I282)</f>
        <v>n</v>
      </c>
      <c r="K282" s="110"/>
      <c r="Q282" s="40" t="str">
        <f>C282&amp;IF(ISBLANK(D282),"","=")&amp;D282</f>
        <v>SpeedPercentage_Spindle=42</v>
      </c>
      <c r="S282" s="39">
        <v>100</v>
      </c>
      <c r="T282" s="40" t="str">
        <f>C282&amp;IF(ISBLANK(S282),"","=")&amp;S282</f>
        <v>SpeedPercentage_Spindle=100</v>
      </c>
      <c r="U282" s="39">
        <v>11</v>
      </c>
      <c r="V282" s="40" t="str">
        <f>C282&amp;IF(ISBLANK(U282),"","=")&amp;U282</f>
        <v>SpeedPercentage_Spindle=11</v>
      </c>
    </row>
    <row r="283" spans="1:25" s="76" customFormat="1" x14ac:dyDescent="0.3">
      <c r="A283">
        <v>282</v>
      </c>
      <c r="B283" s="30"/>
      <c r="C283" s="45" t="s">
        <v>278</v>
      </c>
      <c r="D283" s="45"/>
      <c r="E283" s="30"/>
      <c r="F283" s="30"/>
      <c r="G283" s="30"/>
      <c r="H283" s="92"/>
      <c r="I283" s="30"/>
      <c r="J283" s="30"/>
      <c r="K283" s="45"/>
      <c r="L283" s="30"/>
      <c r="M283" s="72"/>
      <c r="N283" s="30"/>
      <c r="O283" s="30"/>
      <c r="P283" s="30"/>
      <c r="Q283" s="30" t="str">
        <f>C283&amp;IF(ISBLANK(D283),"","=")&amp;D283</f>
        <v>;Z Axis</v>
      </c>
      <c r="R283" s="30"/>
      <c r="S283" s="45"/>
      <c r="T283" s="30" t="str">
        <f>C283&amp;IF(ISBLANK(S283),"","=")&amp;S283</f>
        <v>;Z Axis</v>
      </c>
      <c r="U283" s="45"/>
      <c r="V283" s="30" t="str">
        <f>C283&amp;IF(ISBLANK(U283),"","=")&amp;U283</f>
        <v>;Z Axis</v>
      </c>
      <c r="W283" s="30"/>
      <c r="X283" s="30"/>
      <c r="Y283"/>
    </row>
    <row r="284" spans="1:25" s="76" customFormat="1" x14ac:dyDescent="0.3">
      <c r="A284">
        <v>283</v>
      </c>
      <c r="B284" t="s">
        <v>433</v>
      </c>
      <c r="C284" s="39" t="s">
        <v>359</v>
      </c>
      <c r="D284" s="39">
        <v>5043</v>
      </c>
      <c r="E284" s="26"/>
      <c r="F284" s="26"/>
      <c r="G284" s="26">
        <v>124</v>
      </c>
      <c r="H284" s="46" t="str">
        <f>DEC2HEX(I284)</f>
        <v>B9</v>
      </c>
      <c r="I284" s="27">
        <v>185</v>
      </c>
      <c r="J284" s="27" t="str">
        <f>CHAR(I284)</f>
        <v>¹</v>
      </c>
      <c r="K284" s="39"/>
      <c r="L284"/>
      <c r="M284" s="43"/>
      <c r="N284" s="51"/>
      <c r="O284" s="51"/>
      <c r="P284" s="51"/>
      <c r="Q284" s="40" t="str">
        <f>C284&amp;IF(ISBLANK(D284),"","=")&amp;D284</f>
        <v>MaxSpeed_Z=5043</v>
      </c>
      <c r="R284"/>
      <c r="S284" s="39">
        <v>30000</v>
      </c>
      <c r="T284" s="40" t="str">
        <f>C284&amp;IF(ISBLANK(S284),"","=")&amp;S284</f>
        <v>MaxSpeed_Z=30000</v>
      </c>
      <c r="U284" s="39">
        <v>1000</v>
      </c>
      <c r="V284" s="40" t="str">
        <f>C284&amp;IF(ISBLANK(U284),"","=")&amp;U284</f>
        <v>MaxSpeed_Z=1000</v>
      </c>
      <c r="W284"/>
      <c r="X284"/>
      <c r="Y284"/>
    </row>
    <row r="285" spans="1:25" x14ac:dyDescent="0.3">
      <c r="A285">
        <v>284</v>
      </c>
      <c r="B285" t="s">
        <v>433</v>
      </c>
      <c r="C285" s="39" t="s">
        <v>360</v>
      </c>
      <c r="D285" s="39">
        <v>5044</v>
      </c>
      <c r="E285" s="26"/>
      <c r="F285" s="26"/>
      <c r="G285" s="26">
        <v>124</v>
      </c>
      <c r="H285" s="46" t="str">
        <f>DEC2HEX(I285)</f>
        <v>BA</v>
      </c>
      <c r="I285" s="27">
        <v>186</v>
      </c>
      <c r="J285" s="27" t="str">
        <f>CHAR(I285)</f>
        <v>º</v>
      </c>
      <c r="Q285" s="40" t="str">
        <f>C285&amp;IF(ISBLANK(D285),"","=")&amp;D285</f>
        <v>Accel_Z=5044</v>
      </c>
      <c r="S285" s="39">
        <v>20000</v>
      </c>
      <c r="T285" s="40" t="str">
        <f>C285&amp;IF(ISBLANK(S285),"","=")&amp;S285</f>
        <v>Accel_Z=20000</v>
      </c>
      <c r="U285" s="39">
        <v>1000</v>
      </c>
      <c r="V285" s="40" t="str">
        <f>C285&amp;IF(ISBLANK(U285),"","=")&amp;U285</f>
        <v>Accel_Z=1000</v>
      </c>
    </row>
    <row r="286" spans="1:25" s="76" customFormat="1" x14ac:dyDescent="0.3">
      <c r="A286">
        <v>285</v>
      </c>
      <c r="B286" t="s">
        <v>433</v>
      </c>
      <c r="C286" s="39" t="s">
        <v>361</v>
      </c>
      <c r="D286" s="39">
        <v>45</v>
      </c>
      <c r="E286" s="26"/>
      <c r="F286" s="26"/>
      <c r="G286" s="26">
        <v>124</v>
      </c>
      <c r="H286" s="46" t="str">
        <f>DEC2HEX(I286)</f>
        <v>6F</v>
      </c>
      <c r="I286" s="26">
        <v>111</v>
      </c>
      <c r="J286" s="27" t="str">
        <f>CHAR(I286)</f>
        <v>o</v>
      </c>
      <c r="K286" s="39"/>
      <c r="L286"/>
      <c r="M286" s="43"/>
      <c r="N286" s="51"/>
      <c r="O286" s="51"/>
      <c r="P286" s="51"/>
      <c r="Q286" s="40" t="str">
        <f>C286&amp;IF(ISBLANK(D286),"","=")&amp;D286</f>
        <v>SpeedPercentage_Z=45</v>
      </c>
      <c r="R286"/>
      <c r="S286" s="39">
        <v>100</v>
      </c>
      <c r="T286" s="40" t="str">
        <f>C286&amp;IF(ISBLANK(S286),"","=")&amp;S286</f>
        <v>SpeedPercentage_Z=100</v>
      </c>
      <c r="U286" s="39">
        <v>11</v>
      </c>
      <c r="V286" s="40" t="str">
        <f>C286&amp;IF(ISBLANK(U286),"","=")&amp;U286</f>
        <v>SpeedPercentage_Z=11</v>
      </c>
      <c r="W286"/>
      <c r="X286"/>
      <c r="Y286"/>
    </row>
    <row r="287" spans="1:25" s="76" customFormat="1" x14ac:dyDescent="0.3">
      <c r="A287">
        <v>286</v>
      </c>
      <c r="B287" s="30"/>
      <c r="C287" s="45" t="s">
        <v>279</v>
      </c>
      <c r="D287" s="45"/>
      <c r="E287" s="30"/>
      <c r="F287" s="30"/>
      <c r="G287" s="30"/>
      <c r="H287" s="92"/>
      <c r="I287" s="30"/>
      <c r="J287" s="30"/>
      <c r="K287" s="45"/>
      <c r="L287" s="30"/>
      <c r="M287" s="72"/>
      <c r="N287" s="30"/>
      <c r="O287" s="30"/>
      <c r="P287" s="30"/>
      <c r="Q287" s="30" t="str">
        <f>C287&amp;IF(ISBLANK(D287),"","=")&amp;D287</f>
        <v>;X Axis</v>
      </c>
      <c r="R287" s="30"/>
      <c r="S287" s="45"/>
      <c r="T287" s="30" t="str">
        <f>C287&amp;IF(ISBLANK(S287),"","=")&amp;S287</f>
        <v>;X Axis</v>
      </c>
      <c r="U287" s="45"/>
      <c r="V287" s="30" t="str">
        <f>C287&amp;IF(ISBLANK(U287),"","=")&amp;U287</f>
        <v>;X Axis</v>
      </c>
      <c r="W287" s="30"/>
      <c r="X287" s="30"/>
      <c r="Y287"/>
    </row>
    <row r="288" spans="1:25" x14ac:dyDescent="0.3">
      <c r="A288">
        <v>287</v>
      </c>
      <c r="B288" t="s">
        <v>433</v>
      </c>
      <c r="C288" s="39" t="s">
        <v>362</v>
      </c>
      <c r="D288" s="39">
        <v>5046</v>
      </c>
      <c r="E288" s="26"/>
      <c r="F288" s="26"/>
      <c r="G288" s="26">
        <v>124</v>
      </c>
      <c r="H288" s="46" t="str">
        <f>DEC2HEX(I288)</f>
        <v>B9</v>
      </c>
      <c r="I288" s="27">
        <v>185</v>
      </c>
      <c r="J288" s="27" t="str">
        <f>CHAR(I288)</f>
        <v>¹</v>
      </c>
      <c r="Q288" s="40" t="str">
        <f>C288&amp;IF(ISBLANK(D288),"","=")&amp;D288</f>
        <v>MaxSpeed_X=5046</v>
      </c>
      <c r="R288" s="38"/>
      <c r="S288" s="39">
        <v>30000</v>
      </c>
      <c r="T288" s="40" t="str">
        <f>C288&amp;IF(ISBLANK(S288),"","=")&amp;S288</f>
        <v>MaxSpeed_X=30000</v>
      </c>
      <c r="U288" s="39">
        <v>1000</v>
      </c>
      <c r="V288" s="40" t="str">
        <f>C288&amp;IF(ISBLANK(U288),"","=")&amp;U288</f>
        <v>MaxSpeed_X=1000</v>
      </c>
    </row>
    <row r="289" spans="1:25" s="30" customFormat="1" x14ac:dyDescent="0.3">
      <c r="A289">
        <v>288</v>
      </c>
      <c r="B289" t="s">
        <v>433</v>
      </c>
      <c r="C289" s="39" t="s">
        <v>363</v>
      </c>
      <c r="D289" s="39">
        <v>5047</v>
      </c>
      <c r="E289" s="26"/>
      <c r="F289" s="26"/>
      <c r="G289" s="26">
        <v>124</v>
      </c>
      <c r="H289" s="46" t="str">
        <f>DEC2HEX(I289)</f>
        <v>BA</v>
      </c>
      <c r="I289" s="27">
        <v>186</v>
      </c>
      <c r="J289" s="27" t="str">
        <f>CHAR(I289)</f>
        <v>º</v>
      </c>
      <c r="K289" s="110"/>
      <c r="L289"/>
      <c r="M289" s="43"/>
      <c r="N289" s="51"/>
      <c r="O289" s="51"/>
      <c r="P289" s="51"/>
      <c r="Q289" s="40" t="str">
        <f>C289&amp;IF(ISBLANK(D289),"","=")&amp;D289</f>
        <v>Accel_X=5047</v>
      </c>
      <c r="R289"/>
      <c r="S289" s="39">
        <v>20000</v>
      </c>
      <c r="T289" s="40" t="str">
        <f>C289&amp;IF(ISBLANK(S289),"","=")&amp;S289</f>
        <v>Accel_X=20000</v>
      </c>
      <c r="U289" s="39">
        <v>1000</v>
      </c>
      <c r="V289" s="40" t="str">
        <f>C289&amp;IF(ISBLANK(U289),"","=")&amp;U289</f>
        <v>Accel_X=1000</v>
      </c>
      <c r="W289"/>
      <c r="X289"/>
      <c r="Y289"/>
    </row>
    <row r="290" spans="1:25" x14ac:dyDescent="0.3">
      <c r="A290">
        <v>289</v>
      </c>
      <c r="B290" t="s">
        <v>433</v>
      </c>
      <c r="C290" s="39" t="s">
        <v>364</v>
      </c>
      <c r="D290" s="39">
        <v>48</v>
      </c>
      <c r="E290" s="26"/>
      <c r="F290" s="26"/>
      <c r="G290" s="26">
        <v>124</v>
      </c>
      <c r="H290" s="46" t="str">
        <f>DEC2HEX(I290)</f>
        <v>6F</v>
      </c>
      <c r="I290" s="26">
        <v>111</v>
      </c>
      <c r="J290" s="27" t="str">
        <f>CHAR(I290)</f>
        <v>o</v>
      </c>
      <c r="Q290" s="40" t="str">
        <f>C290&amp;IF(ISBLANK(D290),"","=")&amp;D290</f>
        <v>SpeedPercentage_X=48</v>
      </c>
      <c r="S290" s="39">
        <v>100</v>
      </c>
      <c r="T290" s="40" t="str">
        <f>C290&amp;IF(ISBLANK(S290),"","=")&amp;S290</f>
        <v>SpeedPercentage_X=100</v>
      </c>
      <c r="U290" s="39">
        <v>11</v>
      </c>
      <c r="V290" s="40" t="str">
        <f>C290&amp;IF(ISBLANK(U290),"","=")&amp;U290</f>
        <v>SpeedPercentage_X=11</v>
      </c>
    </row>
    <row r="291" spans="1:25" x14ac:dyDescent="0.3">
      <c r="A291">
        <v>290</v>
      </c>
      <c r="B291" s="30"/>
      <c r="C291" s="45" t="s">
        <v>281</v>
      </c>
      <c r="D291" s="45"/>
      <c r="E291" s="30"/>
      <c r="F291" s="30"/>
      <c r="G291" s="30"/>
      <c r="H291" s="92"/>
      <c r="I291" s="30"/>
      <c r="J291" s="30"/>
      <c r="K291" s="45"/>
      <c r="L291" s="30"/>
      <c r="M291" s="72"/>
      <c r="N291" s="30"/>
      <c r="O291" s="30"/>
      <c r="P291" s="30"/>
      <c r="Q291" s="30" t="str">
        <f>C291&amp;IF(ISBLANK(D291),"","=")&amp;D291</f>
        <v>;M3 Axis</v>
      </c>
      <c r="R291" s="30"/>
      <c r="S291" s="45"/>
      <c r="T291" s="30" t="str">
        <f>C291&amp;IF(ISBLANK(S291),"","=")&amp;S291</f>
        <v>;M3 Axis</v>
      </c>
      <c r="U291" s="45"/>
      <c r="V291" s="30" t="str">
        <f>C291&amp;IF(ISBLANK(U291),"","=")&amp;U291</f>
        <v>;M3 Axis</v>
      </c>
      <c r="W291" s="30"/>
      <c r="X291" s="30"/>
    </row>
    <row r="292" spans="1:25" s="76" customFormat="1" x14ac:dyDescent="0.3">
      <c r="A292">
        <v>291</v>
      </c>
      <c r="B292" t="s">
        <v>433</v>
      </c>
      <c r="C292" s="39" t="s">
        <v>371</v>
      </c>
      <c r="D292" s="39">
        <v>5048</v>
      </c>
      <c r="E292" s="26"/>
      <c r="F292" s="26"/>
      <c r="G292" s="26">
        <v>124</v>
      </c>
      <c r="H292" s="46" t="str">
        <f>DEC2HEX(I292)</f>
        <v>B9</v>
      </c>
      <c r="I292" s="27">
        <v>185</v>
      </c>
      <c r="J292" s="27" t="str">
        <f>CHAR(I292)</f>
        <v>¹</v>
      </c>
      <c r="K292" s="39"/>
      <c r="L292"/>
      <c r="M292" s="43"/>
      <c r="N292" s="51"/>
      <c r="O292" s="51"/>
      <c r="P292" s="51"/>
      <c r="Q292" s="40" t="str">
        <f>C292&amp;IF(ISBLANK(D292),"","=")&amp;D292</f>
        <v>MaxSpeed_M3=5048</v>
      </c>
      <c r="R292"/>
      <c r="S292" s="39">
        <v>30000</v>
      </c>
      <c r="T292" s="40" t="str">
        <f>C292&amp;IF(ISBLANK(S292),"","=")&amp;S292</f>
        <v>MaxSpeed_M3=30000</v>
      </c>
      <c r="U292" s="39">
        <v>1000</v>
      </c>
      <c r="V292" s="40" t="str">
        <f>C292&amp;IF(ISBLANK(U292),"","=")&amp;U292</f>
        <v>MaxSpeed_M3=1000</v>
      </c>
      <c r="W292"/>
      <c r="X292"/>
      <c r="Y292"/>
    </row>
    <row r="293" spans="1:25" x14ac:dyDescent="0.3">
      <c r="A293">
        <v>292</v>
      </c>
      <c r="B293" t="s">
        <v>433</v>
      </c>
      <c r="C293" s="39" t="s">
        <v>372</v>
      </c>
      <c r="D293" s="39">
        <v>5049</v>
      </c>
      <c r="E293" s="26"/>
      <c r="F293" s="26"/>
      <c r="G293" s="26">
        <v>124</v>
      </c>
      <c r="H293" s="46" t="str">
        <f>DEC2HEX(I293)</f>
        <v>BA</v>
      </c>
      <c r="I293" s="27">
        <v>186</v>
      </c>
      <c r="J293" s="27" t="str">
        <f>CHAR(I293)</f>
        <v>º</v>
      </c>
      <c r="Q293" s="40" t="str">
        <f>C293&amp;IF(ISBLANK(D293),"","=")&amp;D293</f>
        <v>Accel_M3=5049</v>
      </c>
      <c r="S293" s="39">
        <v>20000</v>
      </c>
      <c r="T293" s="40" t="str">
        <f>C293&amp;IF(ISBLANK(S293),"","=")&amp;S293</f>
        <v>Accel_M3=20000</v>
      </c>
      <c r="U293" s="39">
        <v>1000</v>
      </c>
    </row>
    <row r="294" spans="1:25" x14ac:dyDescent="0.3">
      <c r="A294">
        <v>293</v>
      </c>
      <c r="B294" t="s">
        <v>433</v>
      </c>
      <c r="C294" s="39" t="s">
        <v>373</v>
      </c>
      <c r="D294" s="39">
        <v>49</v>
      </c>
      <c r="E294" s="26"/>
      <c r="F294" s="26"/>
      <c r="G294" s="26">
        <v>124</v>
      </c>
      <c r="H294" s="46" t="str">
        <f>DEC2HEX(I294)</f>
        <v>6F</v>
      </c>
      <c r="I294" s="26">
        <v>111</v>
      </c>
      <c r="J294" s="27" t="str">
        <f>CHAR(I294)</f>
        <v>o</v>
      </c>
      <c r="Q294" s="40" t="str">
        <f>C294&amp;IF(ISBLANK(D294),"","=")&amp;D294</f>
        <v>SpeedPercentage_M3=49</v>
      </c>
      <c r="S294" s="39">
        <v>100</v>
      </c>
      <c r="T294" s="40" t="str">
        <f>C294&amp;IF(ISBLANK(S294),"","=")&amp;S294</f>
        <v>SpeedPercentage_M3=100</v>
      </c>
      <c r="U294" s="39">
        <v>11</v>
      </c>
      <c r="V294" s="40" t="str">
        <f>C294&amp;IF(ISBLANK(U294),"","=")&amp;U294</f>
        <v>SpeedPercentage_M3=11</v>
      </c>
    </row>
    <row r="295" spans="1:25" x14ac:dyDescent="0.3">
      <c r="A295">
        <v>294</v>
      </c>
      <c r="B295" s="30"/>
      <c r="C295" s="45" t="s">
        <v>282</v>
      </c>
      <c r="D295" s="45"/>
      <c r="E295" s="30"/>
      <c r="F295" s="30"/>
      <c r="G295" s="30"/>
      <c r="H295" s="92"/>
      <c r="I295" s="30"/>
      <c r="J295" s="30"/>
      <c r="K295" s="45"/>
      <c r="L295" s="30"/>
      <c r="M295" s="72"/>
      <c r="N295" s="30"/>
      <c r="O295" s="30"/>
      <c r="P295" s="30"/>
      <c r="Q295" s="30" t="str">
        <f>C295&amp;IF(ISBLANK(D295),"","=")&amp;D295</f>
        <v>;M4 Axis</v>
      </c>
      <c r="R295" s="30"/>
      <c r="S295" s="45"/>
      <c r="T295" s="30" t="str">
        <f>C295&amp;IF(ISBLANK(S295),"","=")&amp;S295</f>
        <v>;M4 Axis</v>
      </c>
      <c r="U295" s="45"/>
      <c r="V295" s="30" t="str">
        <f>C295&amp;IF(ISBLANK(U295),"","=")&amp;U295</f>
        <v>;M4 Axis</v>
      </c>
      <c r="W295" s="30"/>
      <c r="X295" s="30"/>
    </row>
    <row r="296" spans="1:25" s="76" customFormat="1" x14ac:dyDescent="0.3">
      <c r="A296">
        <v>295</v>
      </c>
      <c r="B296" t="s">
        <v>433</v>
      </c>
      <c r="C296" s="39" t="s">
        <v>374</v>
      </c>
      <c r="D296" s="39">
        <v>5048</v>
      </c>
      <c r="E296" s="26"/>
      <c r="F296" s="26"/>
      <c r="G296" s="26">
        <v>124</v>
      </c>
      <c r="H296" s="46" t="str">
        <f>DEC2HEX(I296)</f>
        <v>B9</v>
      </c>
      <c r="I296" s="27">
        <v>185</v>
      </c>
      <c r="J296" s="27" t="str">
        <f>CHAR(I296)</f>
        <v>¹</v>
      </c>
      <c r="K296" s="39"/>
      <c r="L296"/>
      <c r="M296" s="43"/>
      <c r="N296" s="51"/>
      <c r="O296" s="51"/>
      <c r="P296" s="51"/>
      <c r="Q296" s="40" t="str">
        <f>C296&amp;IF(ISBLANK(D296),"","=")&amp;D296</f>
        <v>MaxSpeed_M4=5048</v>
      </c>
      <c r="R296"/>
      <c r="S296" s="39">
        <v>30000</v>
      </c>
      <c r="T296" s="40" t="str">
        <f>C296&amp;IF(ISBLANK(S296),"","=")&amp;S296</f>
        <v>MaxSpeed_M4=30000</v>
      </c>
      <c r="U296" s="39">
        <v>1000</v>
      </c>
      <c r="V296" s="40" t="str">
        <f>C296&amp;IF(ISBLANK(U296),"","=")&amp;U296</f>
        <v>MaxSpeed_M4=1000</v>
      </c>
      <c r="W296"/>
      <c r="X296"/>
      <c r="Y296"/>
    </row>
    <row r="297" spans="1:25" x14ac:dyDescent="0.3">
      <c r="A297">
        <v>296</v>
      </c>
      <c r="B297" t="s">
        <v>433</v>
      </c>
      <c r="C297" s="39" t="s">
        <v>375</v>
      </c>
      <c r="D297" s="39">
        <v>5049</v>
      </c>
      <c r="E297" s="26"/>
      <c r="F297" s="26"/>
      <c r="G297" s="26">
        <v>124</v>
      </c>
      <c r="H297" s="46" t="str">
        <f>DEC2HEX(I297)</f>
        <v>BA</v>
      </c>
      <c r="I297" s="27">
        <v>186</v>
      </c>
      <c r="J297" s="27" t="str">
        <f>CHAR(I297)</f>
        <v>º</v>
      </c>
      <c r="Q297" s="40" t="str">
        <f>C297&amp;IF(ISBLANK(D297),"","=")&amp;D297</f>
        <v>Accel_M4=5049</v>
      </c>
      <c r="S297" s="39">
        <v>20000</v>
      </c>
      <c r="T297" s="40" t="str">
        <f>C297&amp;IF(ISBLANK(S297),"","=")&amp;S297</f>
        <v>Accel_M4=20000</v>
      </c>
      <c r="U297" s="39">
        <v>1000</v>
      </c>
      <c r="V297" s="40" t="str">
        <f>C297&amp;IF(ISBLANK(U297),"","=")&amp;U297</f>
        <v>Accel_M4=1000</v>
      </c>
      <c r="Y297" s="30"/>
    </row>
    <row r="298" spans="1:25" x14ac:dyDescent="0.3">
      <c r="A298">
        <v>297</v>
      </c>
      <c r="B298" t="s">
        <v>433</v>
      </c>
      <c r="C298" s="39" t="s">
        <v>376</v>
      </c>
      <c r="D298" s="39">
        <v>49</v>
      </c>
      <c r="E298" s="26"/>
      <c r="F298" s="26"/>
      <c r="G298" s="26">
        <v>124</v>
      </c>
      <c r="H298" s="46" t="str">
        <f>DEC2HEX(I298)</f>
        <v>6F</v>
      </c>
      <c r="I298" s="26">
        <v>111</v>
      </c>
      <c r="J298" s="27" t="str">
        <f>CHAR(I298)</f>
        <v>o</v>
      </c>
      <c r="Q298" s="40" t="str">
        <f>C298&amp;IF(ISBLANK(D298),"","=")&amp;D298</f>
        <v>SpeedPercentage_M4=49</v>
      </c>
      <c r="S298" s="39">
        <v>100</v>
      </c>
      <c r="T298" s="40" t="str">
        <f>C298&amp;IF(ISBLANK(S298),"","=")&amp;S298</f>
        <v>SpeedPercentage_M4=100</v>
      </c>
      <c r="U298" s="39">
        <v>11</v>
      </c>
      <c r="V298" s="40" t="str">
        <f>C298&amp;IF(ISBLANK(U298),"","=")&amp;U298</f>
        <v>SpeedPercentage_M4=11</v>
      </c>
    </row>
    <row r="299" spans="1:25" s="76" customFormat="1" x14ac:dyDescent="0.3">
      <c r="A299">
        <v>298</v>
      </c>
      <c r="B299"/>
      <c r="C299" s="39" t="s">
        <v>229</v>
      </c>
      <c r="D299" s="39"/>
      <c r="E299" s="26"/>
      <c r="F299" s="26"/>
      <c r="G299" s="26"/>
      <c r="H299" s="96"/>
      <c r="I299" s="26"/>
      <c r="J299" s="26"/>
      <c r="K299" s="39"/>
      <c r="L299"/>
      <c r="M299" s="43"/>
      <c r="N299" s="51"/>
      <c r="O299" s="51"/>
      <c r="P299" s="51"/>
      <c r="Q299" s="40" t="str">
        <f>C299&amp;IF(ISBLANK(D299),"","=")&amp;D299</f>
        <v>;</v>
      </c>
      <c r="R299"/>
      <c r="S299" s="39"/>
      <c r="T299" s="40" t="str">
        <f>C299&amp;IF(ISBLANK(S299),"","=")&amp;S299</f>
        <v>;</v>
      </c>
      <c r="U299" s="39"/>
      <c r="V299" s="40" t="str">
        <f>C299&amp;IF(ISBLANK(U299),"","=")&amp;U299</f>
        <v>;</v>
      </c>
      <c r="W299"/>
      <c r="X299"/>
      <c r="Y299"/>
    </row>
    <row r="300" spans="1:25" x14ac:dyDescent="0.3">
      <c r="A300">
        <v>299</v>
      </c>
      <c r="B300" s="76"/>
      <c r="C300" s="77" t="s">
        <v>303</v>
      </c>
      <c r="D300" s="77"/>
      <c r="E300" s="76"/>
      <c r="F300" s="76"/>
      <c r="G300" s="76"/>
      <c r="H300" s="78"/>
      <c r="I300" s="76"/>
      <c r="J300" s="76"/>
      <c r="K300" s="113"/>
      <c r="L300" s="76"/>
      <c r="M300" s="79"/>
      <c r="N300" s="76"/>
      <c r="O300" s="76"/>
      <c r="P300" s="76"/>
      <c r="Q300" s="76" t="str">
        <f>C300&amp;IF(ISBLANK(D300),"","=")&amp;D300</f>
        <v>[GreekKey]</v>
      </c>
      <c r="R300" s="76"/>
      <c r="S300" s="77"/>
      <c r="T300" s="76" t="str">
        <f>C300&amp;IF(ISBLANK(S300),"","=")&amp;S300</f>
        <v>[GreekKey]</v>
      </c>
      <c r="U300" s="77"/>
    </row>
    <row r="301" spans="1:25" s="76" customFormat="1" x14ac:dyDescent="0.3">
      <c r="A301">
        <v>300</v>
      </c>
      <c r="B301"/>
      <c r="C301" s="39" t="s">
        <v>229</v>
      </c>
      <c r="D301" s="39"/>
      <c r="E301" s="26"/>
      <c r="F301" s="26"/>
      <c r="G301" s="26"/>
      <c r="H301" s="96"/>
      <c r="I301" s="26"/>
      <c r="J301" s="26"/>
      <c r="K301" s="39"/>
      <c r="L301"/>
      <c r="M301" s="43"/>
      <c r="N301" s="51"/>
      <c r="O301" s="51"/>
      <c r="P301" s="51"/>
      <c r="Q301" s="40" t="str">
        <f>C301&amp;IF(ISBLANK(D301),"","=")&amp;D301</f>
        <v>;</v>
      </c>
      <c r="R301"/>
      <c r="S301" s="39"/>
      <c r="T301" s="40" t="str">
        <f>C301&amp;IF(ISBLANK(S301),"","=")&amp;S301</f>
        <v>;</v>
      </c>
      <c r="U301" s="39"/>
      <c r="V301"/>
      <c r="W301"/>
      <c r="X301"/>
      <c r="Y301" s="30"/>
    </row>
    <row r="302" spans="1:25" x14ac:dyDescent="0.3">
      <c r="A302">
        <v>301</v>
      </c>
      <c r="B302" t="s">
        <v>36</v>
      </c>
      <c r="C302" s="122" t="s">
        <v>260</v>
      </c>
      <c r="D302" s="122">
        <v>1</v>
      </c>
      <c r="E302" s="26">
        <v>160</v>
      </c>
      <c r="F302" s="26">
        <v>163</v>
      </c>
      <c r="G302" s="26"/>
      <c r="H302" s="46" t="str">
        <f>DEC2HEX(I302)</f>
        <v>42</v>
      </c>
      <c r="I302" s="27">
        <v>66</v>
      </c>
      <c r="J302" s="27" t="str">
        <f>CHAR(I302)</f>
        <v>B</v>
      </c>
      <c r="L302">
        <f>IF(ISBLANK(D302),IF(E302&gt;0,F302-E302+1,0),0)</f>
        <v>0</v>
      </c>
      <c r="M302" s="43">
        <f>IF(ISBLANK(D302),0,IF(G302=0,F302-E302+1,0))</f>
        <v>4</v>
      </c>
      <c r="Q302" s="40" t="str">
        <f>C302&amp;IF(ISBLANK(D302),"","=")&amp;D302</f>
        <v>AxisId=1</v>
      </c>
      <c r="V302" s="40"/>
    </row>
    <row r="303" spans="1:25" s="76" customFormat="1" x14ac:dyDescent="0.3">
      <c r="A303">
        <v>302</v>
      </c>
      <c r="B303"/>
      <c r="C303" s="39" t="s">
        <v>631</v>
      </c>
      <c r="D303" s="39"/>
      <c r="E303" s="26"/>
      <c r="F303" s="26"/>
      <c r="G303" s="26"/>
      <c r="H303" s="96"/>
      <c r="I303" s="26"/>
      <c r="J303" s="26"/>
      <c r="K303" s="39"/>
      <c r="L303"/>
      <c r="M303" s="43"/>
      <c r="N303" s="51"/>
      <c r="O303" s="51"/>
      <c r="P303" s="51"/>
      <c r="Q303" s="40" t="str">
        <f>C303&amp;IF(ISBLANK(D303),"","=")&amp;D303</f>
        <v>; Radial = 0, Axial = 1</v>
      </c>
      <c r="R303"/>
      <c r="S303" s="39"/>
      <c r="T303" s="40" t="str">
        <f>C303&amp;IF(ISBLANK(S303),"","=")&amp;S303</f>
        <v>; Radial = 0, Axial = 1</v>
      </c>
      <c r="U303" s="39"/>
      <c r="V303" s="40" t="str">
        <f>C303&amp;IF(ISBLANK(U303),"","=")&amp;U303</f>
        <v>; Radial = 0, Axial = 1</v>
      </c>
      <c r="W303"/>
      <c r="X303"/>
      <c r="Y303"/>
    </row>
    <row r="304" spans="1:25" x14ac:dyDescent="0.3">
      <c r="A304">
        <v>303</v>
      </c>
      <c r="B304" t="s">
        <v>36</v>
      </c>
      <c r="C304" s="39" t="s">
        <v>404</v>
      </c>
      <c r="D304" s="39">
        <v>0</v>
      </c>
      <c r="E304" s="26"/>
      <c r="F304" s="26"/>
      <c r="G304" s="26"/>
      <c r="H304" s="46" t="str">
        <f>DEC2HEX(I304)</f>
        <v>57</v>
      </c>
      <c r="I304" s="27">
        <v>87</v>
      </c>
      <c r="J304" s="27" t="str">
        <f>CHAR(I304)</f>
        <v>W</v>
      </c>
      <c r="Q304" s="40" t="str">
        <f>C304&amp;IF(ISBLANK(D304),"","=")&amp;D304</f>
        <v>RadialOrAxial=0</v>
      </c>
      <c r="S304" s="39">
        <v>0</v>
      </c>
      <c r="T304" s="40" t="str">
        <f>C304&amp;IF(ISBLANK(S304),"","=")&amp;S304</f>
        <v>RadialOrAxial=0</v>
      </c>
      <c r="U304" s="39">
        <v>1</v>
      </c>
      <c r="V304" s="40" t="str">
        <f>C304&amp;IF(ISBLANK(U304),"","=")&amp;U304</f>
        <v>RadialOrAxial=1</v>
      </c>
    </row>
    <row r="305" spans="1:25" x14ac:dyDescent="0.3">
      <c r="A305">
        <v>304</v>
      </c>
      <c r="C305" s="39" t="s">
        <v>619</v>
      </c>
      <c r="E305" s="26"/>
      <c r="F305" s="26"/>
      <c r="G305" s="26"/>
      <c r="H305" s="96"/>
      <c r="I305" s="26"/>
      <c r="J305" s="26"/>
      <c r="Q305" s="40" t="str">
        <f>C305&amp;IF(ISBLANK(D305),"","=")&amp;D305</f>
        <v>; PatternType: 4a: 2,4b: 3, 3a: 6, 3b: 7, 2a: 4, 2b: 5</v>
      </c>
      <c r="T305" s="40" t="str">
        <f>C305&amp;IF(ISBLANK(S305),"","=")&amp;S305</f>
        <v>; PatternType: 4a: 2,4b: 3, 3a: 6, 3b: 7, 2a: 4, 2b: 5</v>
      </c>
      <c r="Y305" s="30"/>
    </row>
    <row r="306" spans="1:25" x14ac:dyDescent="0.3">
      <c r="A306">
        <v>305</v>
      </c>
      <c r="B306" t="s">
        <v>36</v>
      </c>
      <c r="C306" s="39" t="s">
        <v>411</v>
      </c>
      <c r="D306" s="39">
        <v>4</v>
      </c>
      <c r="E306" s="26"/>
      <c r="F306" s="26"/>
      <c r="G306" s="26"/>
      <c r="H306" s="46" t="str">
        <f>DEC2HEX(I306)</f>
        <v>B6</v>
      </c>
      <c r="I306" s="27">
        <v>182</v>
      </c>
      <c r="J306" s="27" t="str">
        <f>CHAR(I306)</f>
        <v>¶</v>
      </c>
      <c r="K306" s="110"/>
      <c r="Q306" s="40" t="str">
        <f>C306&amp;IF(ISBLANK(D306),"","=")&amp;D306</f>
        <v>PatternType=4</v>
      </c>
      <c r="S306" s="39">
        <v>4</v>
      </c>
      <c r="T306" s="40" t="str">
        <f>C306&amp;IF(ISBLANK(S306),"","=")&amp;S306</f>
        <v>PatternType=4</v>
      </c>
      <c r="U306" s="39">
        <v>3</v>
      </c>
      <c r="V306" s="40" t="str">
        <f>C306&amp;IF(ISBLANK(U306),"","=")&amp;U306</f>
        <v>PatternType=3</v>
      </c>
    </row>
    <row r="307" spans="1:25" x14ac:dyDescent="0.3">
      <c r="A307">
        <v>306</v>
      </c>
      <c r="B307" t="s">
        <v>36</v>
      </c>
      <c r="C307" s="39" t="s">
        <v>412</v>
      </c>
      <c r="D307" s="39">
        <v>8</v>
      </c>
      <c r="E307" s="27"/>
      <c r="F307" s="27"/>
      <c r="G307" s="26">
        <v>124</v>
      </c>
      <c r="H307" s="46" t="str">
        <f>DEC2HEX(I307)</f>
        <v>FC</v>
      </c>
      <c r="I307" s="27">
        <v>252</v>
      </c>
      <c r="J307" s="27" t="str">
        <f>CHAR(I307)</f>
        <v>ü</v>
      </c>
      <c r="Q307" s="40" t="str">
        <f>C307&amp;IF(ISBLANK(D307),"","=")&amp;D307</f>
        <v>PatternsPer360=8</v>
      </c>
      <c r="S307" s="39">
        <v>2</v>
      </c>
      <c r="T307" s="40" t="str">
        <f>C307&amp;IF(ISBLANK(S307),"","=")&amp;S307</f>
        <v>PatternsPer360=2</v>
      </c>
      <c r="U307" s="39">
        <v>11</v>
      </c>
      <c r="V307" s="40" t="str">
        <f>C307&amp;IF(ISBLANK(U307),"","=")&amp;U307</f>
        <v>PatternsPer360=11</v>
      </c>
    </row>
    <row r="308" spans="1:25" x14ac:dyDescent="0.3">
      <c r="A308">
        <v>307</v>
      </c>
      <c r="B308" t="s">
        <v>36</v>
      </c>
      <c r="C308" s="39" t="s">
        <v>413</v>
      </c>
      <c r="D308" s="39">
        <v>24</v>
      </c>
      <c r="E308" s="27"/>
      <c r="F308" s="27"/>
      <c r="G308" s="26">
        <v>124</v>
      </c>
      <c r="H308" s="46" t="str">
        <f>DEC2HEX(I308)</f>
        <v>2E</v>
      </c>
      <c r="I308" s="27">
        <v>46</v>
      </c>
      <c r="J308" s="27" t="str">
        <f>CHAR(I308)</f>
        <v>.</v>
      </c>
      <c r="Q308" s="40" t="str">
        <f>C308&amp;IF(ISBLANK(D308),"","=")&amp;D308</f>
        <v>PatternCount=24</v>
      </c>
      <c r="S308" s="39">
        <v>2</v>
      </c>
      <c r="T308" s="40" t="str">
        <f>C308&amp;IF(ISBLANK(S308),"","=")&amp;S308</f>
        <v>PatternCount=2</v>
      </c>
      <c r="U308" s="39">
        <v>11</v>
      </c>
      <c r="V308" s="40" t="str">
        <f>C308&amp;IF(ISBLANK(U308),"","=")&amp;U308</f>
        <v>PatternCount=11</v>
      </c>
    </row>
    <row r="309" spans="1:25" x14ac:dyDescent="0.3">
      <c r="A309">
        <v>308</v>
      </c>
      <c r="B309" t="s">
        <v>36</v>
      </c>
      <c r="C309" s="39" t="s">
        <v>414</v>
      </c>
      <c r="D309" s="39">
        <v>1.2</v>
      </c>
      <c r="E309" s="26"/>
      <c r="F309" s="26"/>
      <c r="G309" s="26">
        <v>124</v>
      </c>
      <c r="H309" s="46" t="str">
        <f>DEC2HEX(I309)</f>
        <v>FB</v>
      </c>
      <c r="I309" s="27">
        <v>251</v>
      </c>
      <c r="J309" s="27" t="str">
        <f>CHAR(I309)</f>
        <v>û</v>
      </c>
      <c r="Q309" s="40" t="str">
        <f>C309&amp;IF(ISBLANK(D309),"","=")&amp;D309</f>
        <v>SegmentLength=1.2</v>
      </c>
      <c r="S309" s="39">
        <v>0.01</v>
      </c>
      <c r="T309" s="40" t="str">
        <f>C309&amp;IF(ISBLANK(S309),"","=")&amp;S309</f>
        <v>SegmentLength=0.01</v>
      </c>
      <c r="U309" s="39">
        <v>11</v>
      </c>
      <c r="V309" s="40" t="str">
        <f>C309&amp;IF(ISBLANK(U309),"","=")&amp;U309</f>
        <v>SegmentLength=11</v>
      </c>
      <c r="Y309" s="30"/>
    </row>
    <row r="310" spans="1:25" x14ac:dyDescent="0.3">
      <c r="A310">
        <v>309</v>
      </c>
      <c r="B310" s="30"/>
      <c r="C310" s="45" t="s">
        <v>288</v>
      </c>
      <c r="D310" s="45"/>
      <c r="E310" s="30"/>
      <c r="F310" s="30"/>
      <c r="G310" s="30"/>
      <c r="H310" s="92"/>
      <c r="I310" s="30"/>
      <c r="J310" s="30"/>
      <c r="K310" s="45"/>
      <c r="L310" s="30"/>
      <c r="M310" s="72"/>
      <c r="N310" s="30"/>
      <c r="O310" s="30"/>
      <c r="P310" s="30"/>
      <c r="Q310" s="30" t="str">
        <f>C310&amp;IF(ISBLANK(D310),"","=")&amp;D310</f>
        <v>;Spindle</v>
      </c>
      <c r="R310" s="30"/>
      <c r="S310" s="45"/>
      <c r="T310" s="30" t="str">
        <f>C310&amp;IF(ISBLANK(S310),"","=")&amp;S310</f>
        <v>;Spindle</v>
      </c>
      <c r="U310" s="45"/>
      <c r="V310" s="30" t="str">
        <f>C310&amp;IF(ISBLANK(U310),"","=")&amp;U310</f>
        <v>;Spindle</v>
      </c>
      <c r="W310" s="30"/>
      <c r="X310" s="30"/>
    </row>
    <row r="311" spans="1:25" x14ac:dyDescent="0.3">
      <c r="A311">
        <v>310</v>
      </c>
      <c r="B311" t="s">
        <v>36</v>
      </c>
      <c r="C311" s="39" t="s">
        <v>348</v>
      </c>
      <c r="D311" s="39">
        <v>5040</v>
      </c>
      <c r="E311" s="26"/>
      <c r="F311" s="26"/>
      <c r="G311" s="26">
        <v>124</v>
      </c>
      <c r="H311" s="46" t="str">
        <f>DEC2HEX(I311)</f>
        <v>3A</v>
      </c>
      <c r="I311" s="27">
        <v>58</v>
      </c>
      <c r="J311" s="27" t="str">
        <f>CHAR(I311)</f>
        <v>:</v>
      </c>
      <c r="K311" s="110"/>
      <c r="Q311" s="40" t="str">
        <f>C311&amp;IF(ISBLANK(D311),"","=")&amp;D311</f>
        <v>MaxSpeed_Spindle=5040</v>
      </c>
      <c r="S311" s="39">
        <v>30000</v>
      </c>
      <c r="T311" s="40" t="str">
        <f>C311&amp;IF(ISBLANK(S311),"","=")&amp;S311</f>
        <v>MaxSpeed_Spindle=30000</v>
      </c>
      <c r="U311" s="39">
        <v>1000</v>
      </c>
    </row>
    <row r="312" spans="1:25" x14ac:dyDescent="0.3">
      <c r="A312">
        <v>311</v>
      </c>
      <c r="B312" t="s">
        <v>36</v>
      </c>
      <c r="C312" s="39" t="s">
        <v>349</v>
      </c>
      <c r="D312" s="39">
        <v>5041</v>
      </c>
      <c r="E312" s="26"/>
      <c r="F312" s="26"/>
      <c r="G312" s="26">
        <v>124</v>
      </c>
      <c r="H312" s="46" t="str">
        <f>DEC2HEX(I312)</f>
        <v>3B</v>
      </c>
      <c r="I312" s="27">
        <v>59</v>
      </c>
      <c r="J312" s="27" t="str">
        <f>CHAR(I312)</f>
        <v>;</v>
      </c>
      <c r="Q312" s="40" t="str">
        <f>C312&amp;IF(ISBLANK(D312),"","=")&amp;D312</f>
        <v>Accel_Spindle=5041</v>
      </c>
      <c r="S312" s="39">
        <v>20000</v>
      </c>
      <c r="T312" s="40" t="str">
        <f>C312&amp;IF(ISBLANK(S312),"","=")&amp;S312</f>
        <v>Accel_Spindle=20000</v>
      </c>
      <c r="U312" s="39">
        <v>1000</v>
      </c>
      <c r="V312" s="40" t="str">
        <f>C312&amp;IF(ISBLANK(U312),"","=")&amp;U312</f>
        <v>Accel_Spindle=1000</v>
      </c>
    </row>
    <row r="313" spans="1:25" x14ac:dyDescent="0.3">
      <c r="A313">
        <v>312</v>
      </c>
      <c r="B313" t="s">
        <v>36</v>
      </c>
      <c r="C313" s="39" t="s">
        <v>358</v>
      </c>
      <c r="D313" s="39">
        <v>42</v>
      </c>
      <c r="E313" s="26"/>
      <c r="F313" s="26"/>
      <c r="G313" s="26">
        <v>124</v>
      </c>
      <c r="H313" s="46" t="str">
        <f>DEC2HEX(I313)</f>
        <v>6E</v>
      </c>
      <c r="I313" s="27">
        <v>110</v>
      </c>
      <c r="J313" s="27" t="str">
        <f>CHAR(I313)</f>
        <v>n</v>
      </c>
      <c r="Q313" s="40" t="str">
        <f>C313&amp;IF(ISBLANK(D313),"","=")&amp;D313</f>
        <v>SpeedPercentage_Spindle=42</v>
      </c>
      <c r="S313" s="39">
        <v>100</v>
      </c>
      <c r="T313" s="40" t="str">
        <f>C313&amp;IF(ISBLANK(S313),"","=")&amp;S313</f>
        <v>SpeedPercentage_Spindle=100</v>
      </c>
      <c r="U313" s="39">
        <v>11</v>
      </c>
      <c r="V313" s="40" t="str">
        <f>C313&amp;IF(ISBLANK(U313),"","=")&amp;U313</f>
        <v>SpeedPercentage_Spindle=11</v>
      </c>
      <c r="Y313" s="30"/>
    </row>
    <row r="314" spans="1:25" x14ac:dyDescent="0.3">
      <c r="A314">
        <v>313</v>
      </c>
      <c r="B314" s="30"/>
      <c r="C314" s="45" t="s">
        <v>278</v>
      </c>
      <c r="D314" s="45"/>
      <c r="E314" s="30"/>
      <c r="F314" s="30"/>
      <c r="G314" s="30"/>
      <c r="H314" s="92"/>
      <c r="I314" s="30"/>
      <c r="J314" s="30"/>
      <c r="K314" s="45"/>
      <c r="L314" s="30"/>
      <c r="M314" s="72"/>
      <c r="N314" s="30"/>
      <c r="O314" s="30"/>
      <c r="P314" s="30"/>
      <c r="Q314" s="30" t="str">
        <f>C314&amp;IF(ISBLANK(D314),"","=")&amp;D314</f>
        <v>;Z Axis</v>
      </c>
      <c r="R314" s="30"/>
      <c r="S314" s="45"/>
      <c r="T314" s="30" t="str">
        <f>C314&amp;IF(ISBLANK(S314),"","=")&amp;S314</f>
        <v>;Z Axis</v>
      </c>
      <c r="U314" s="45"/>
      <c r="V314" s="30" t="str">
        <f>C314&amp;IF(ISBLANK(U314),"","=")&amp;U314</f>
        <v>;Z Axis</v>
      </c>
      <c r="W314" s="30"/>
      <c r="X314" s="30"/>
    </row>
    <row r="315" spans="1:25" x14ac:dyDescent="0.3">
      <c r="A315">
        <v>314</v>
      </c>
      <c r="B315" t="s">
        <v>36</v>
      </c>
      <c r="C315" s="39" t="s">
        <v>359</v>
      </c>
      <c r="D315" s="39">
        <v>5043</v>
      </c>
      <c r="E315" s="26"/>
      <c r="F315" s="26"/>
      <c r="G315" s="26">
        <v>124</v>
      </c>
      <c r="H315" s="46" t="str">
        <f>DEC2HEX(I315)</f>
        <v>B9</v>
      </c>
      <c r="I315" s="27">
        <v>185</v>
      </c>
      <c r="J315" s="27" t="str">
        <f>CHAR(I315)</f>
        <v>¹</v>
      </c>
      <c r="Q315" s="40" t="str">
        <f>C315&amp;IF(ISBLANK(D315),"","=")&amp;D315</f>
        <v>MaxSpeed_Z=5043</v>
      </c>
      <c r="S315" s="39">
        <v>30000</v>
      </c>
      <c r="T315" s="40" t="str">
        <f>C315&amp;IF(ISBLANK(S315),"","=")&amp;S315</f>
        <v>MaxSpeed_Z=30000</v>
      </c>
      <c r="U315" s="39">
        <v>1000</v>
      </c>
      <c r="V315" s="40" t="str">
        <f>C315&amp;IF(ISBLANK(U315),"","=")&amp;U315</f>
        <v>MaxSpeed_Z=1000</v>
      </c>
    </row>
    <row r="316" spans="1:25" s="76" customFormat="1" x14ac:dyDescent="0.3">
      <c r="A316">
        <v>315</v>
      </c>
      <c r="B316" t="s">
        <v>36</v>
      </c>
      <c r="C316" s="39" t="s">
        <v>360</v>
      </c>
      <c r="D316" s="39">
        <v>5044</v>
      </c>
      <c r="E316" s="26"/>
      <c r="F316" s="26"/>
      <c r="G316" s="26">
        <v>124</v>
      </c>
      <c r="H316" s="46" t="str">
        <f>DEC2HEX(I316)</f>
        <v>BA</v>
      </c>
      <c r="I316" s="27">
        <v>186</v>
      </c>
      <c r="J316" s="27" t="str">
        <f>CHAR(I316)</f>
        <v>º</v>
      </c>
      <c r="K316" s="39"/>
      <c r="L316"/>
      <c r="M316" s="43"/>
      <c r="N316" s="51"/>
      <c r="O316" s="51"/>
      <c r="P316" s="51"/>
      <c r="Q316" s="40" t="str">
        <f>C316&amp;IF(ISBLANK(D316),"","=")&amp;D316</f>
        <v>Accel_Z=5044</v>
      </c>
      <c r="R316"/>
      <c r="S316" s="39">
        <v>20000</v>
      </c>
      <c r="T316" s="40" t="str">
        <f>C316&amp;IF(ISBLANK(S316),"","=")&amp;S316</f>
        <v>Accel_Z=20000</v>
      </c>
      <c r="U316" s="39">
        <v>1000</v>
      </c>
      <c r="V316" s="40" t="str">
        <f>C316&amp;IF(ISBLANK(U316),"","=")&amp;U316</f>
        <v>Accel_Z=1000</v>
      </c>
      <c r="W316"/>
      <c r="X316"/>
      <c r="Y316"/>
    </row>
    <row r="317" spans="1:25" s="76" customFormat="1" x14ac:dyDescent="0.3">
      <c r="A317">
        <v>316</v>
      </c>
      <c r="B317" t="s">
        <v>36</v>
      </c>
      <c r="C317" s="39" t="s">
        <v>361</v>
      </c>
      <c r="D317" s="39">
        <v>45</v>
      </c>
      <c r="E317" s="26"/>
      <c r="F317" s="26"/>
      <c r="G317" s="26">
        <v>124</v>
      </c>
      <c r="H317" s="46" t="str">
        <f>DEC2HEX(I317)</f>
        <v>6F</v>
      </c>
      <c r="I317" s="26">
        <v>111</v>
      </c>
      <c r="J317" s="27" t="str">
        <f>CHAR(I317)</f>
        <v>o</v>
      </c>
      <c r="K317" s="39"/>
      <c r="L317"/>
      <c r="M317" s="43"/>
      <c r="N317" s="51"/>
      <c r="O317" s="51"/>
      <c r="P317" s="51"/>
      <c r="Q317" s="40" t="str">
        <f>C317&amp;IF(ISBLANK(D317),"","=")&amp;D317</f>
        <v>SpeedPercentage_Z=45</v>
      </c>
      <c r="R317"/>
      <c r="S317" s="39">
        <v>100</v>
      </c>
      <c r="T317" s="40" t="str">
        <f>C317&amp;IF(ISBLANK(S317),"","=")&amp;S317</f>
        <v>SpeedPercentage_Z=100</v>
      </c>
      <c r="U317" s="39">
        <v>11</v>
      </c>
      <c r="V317" s="40" t="str">
        <f>C317&amp;IF(ISBLANK(U317),"","=")&amp;U317</f>
        <v>SpeedPercentage_Z=11</v>
      </c>
      <c r="W317"/>
      <c r="X317"/>
      <c r="Y317"/>
    </row>
    <row r="318" spans="1:25" s="76" customFormat="1" x14ac:dyDescent="0.3">
      <c r="A318">
        <v>317</v>
      </c>
      <c r="B318" s="30"/>
      <c r="C318" s="45" t="s">
        <v>279</v>
      </c>
      <c r="D318" s="45"/>
      <c r="E318" s="30"/>
      <c r="F318" s="30"/>
      <c r="G318" s="30"/>
      <c r="H318" s="92"/>
      <c r="I318" s="30"/>
      <c r="J318" s="30"/>
      <c r="K318" s="45"/>
      <c r="L318" s="30"/>
      <c r="M318" s="72"/>
      <c r="N318" s="30"/>
      <c r="O318" s="30"/>
      <c r="P318" s="30"/>
      <c r="Q318" s="30" t="str">
        <f>C318&amp;IF(ISBLANK(D318),"","=")&amp;D318</f>
        <v>;X Axis</v>
      </c>
      <c r="R318" s="30"/>
      <c r="S318" s="45"/>
      <c r="T318" s="30" t="str">
        <f>C318&amp;IF(ISBLANK(S318),"","=")&amp;S318</f>
        <v>;X Axis</v>
      </c>
      <c r="U318" s="45"/>
      <c r="V318" s="30"/>
      <c r="W318" s="30"/>
      <c r="X318" s="30"/>
      <c r="Y318"/>
    </row>
    <row r="319" spans="1:25" s="30" customFormat="1" x14ac:dyDescent="0.3">
      <c r="A319">
        <v>318</v>
      </c>
      <c r="B319" t="s">
        <v>36</v>
      </c>
      <c r="C319" s="39" t="s">
        <v>362</v>
      </c>
      <c r="D319" s="39">
        <v>5046</v>
      </c>
      <c r="E319" s="26"/>
      <c r="F319" s="26"/>
      <c r="G319" s="26">
        <v>124</v>
      </c>
      <c r="H319" s="46" t="str">
        <f>DEC2HEX(I319)</f>
        <v>B9</v>
      </c>
      <c r="I319" s="27">
        <v>185</v>
      </c>
      <c r="J319" s="27" t="str">
        <f>CHAR(I319)</f>
        <v>¹</v>
      </c>
      <c r="K319" s="39"/>
      <c r="L319"/>
      <c r="M319" s="43"/>
      <c r="N319" s="51"/>
      <c r="O319" s="51"/>
      <c r="P319" s="51"/>
      <c r="Q319" s="40" t="str">
        <f>C319&amp;IF(ISBLANK(D319),"","=")&amp;D319</f>
        <v>MaxSpeed_X=5046</v>
      </c>
      <c r="R319"/>
      <c r="S319" s="39">
        <v>30000</v>
      </c>
      <c r="T319" s="40" t="str">
        <f>C319&amp;IF(ISBLANK(S319),"","=")&amp;S319</f>
        <v>MaxSpeed_X=30000</v>
      </c>
      <c r="U319" s="39">
        <v>1000</v>
      </c>
      <c r="V319" s="40" t="str">
        <f>C319&amp;IF(ISBLANK(U319),"","=")&amp;U319</f>
        <v>MaxSpeed_X=1000</v>
      </c>
      <c r="W319"/>
      <c r="X319"/>
      <c r="Y319"/>
    </row>
    <row r="320" spans="1:25" s="29" customFormat="1" x14ac:dyDescent="0.3">
      <c r="A320">
        <v>319</v>
      </c>
      <c r="B320" t="s">
        <v>36</v>
      </c>
      <c r="C320" s="39" t="s">
        <v>363</v>
      </c>
      <c r="D320" s="39">
        <v>5047</v>
      </c>
      <c r="E320" s="26"/>
      <c r="F320" s="26"/>
      <c r="G320" s="26">
        <v>124</v>
      </c>
      <c r="H320" s="46" t="str">
        <f>DEC2HEX(I320)</f>
        <v>BA</v>
      </c>
      <c r="I320" s="27">
        <v>186</v>
      </c>
      <c r="J320" s="27" t="str">
        <f>CHAR(I320)</f>
        <v>º</v>
      </c>
      <c r="K320" s="39"/>
      <c r="L320"/>
      <c r="M320" s="43"/>
      <c r="N320" s="51"/>
      <c r="O320" s="51"/>
      <c r="P320" s="51"/>
      <c r="Q320" s="40" t="str">
        <f>C320&amp;IF(ISBLANK(D320),"","=")&amp;D320</f>
        <v>Accel_X=5047</v>
      </c>
      <c r="R320"/>
      <c r="S320" s="39">
        <v>20000</v>
      </c>
      <c r="T320" s="40" t="str">
        <f>C320&amp;IF(ISBLANK(S320),"","=")&amp;S320</f>
        <v>Accel_X=20000</v>
      </c>
      <c r="U320" s="39">
        <v>1000</v>
      </c>
      <c r="V320" s="40" t="str">
        <f>C320&amp;IF(ISBLANK(U320),"","=")&amp;U320</f>
        <v>Accel_X=1000</v>
      </c>
      <c r="W320"/>
      <c r="X320"/>
      <c r="Y320"/>
    </row>
    <row r="321" spans="1:25" s="76" customFormat="1" x14ac:dyDescent="0.3">
      <c r="A321">
        <v>320</v>
      </c>
      <c r="B321" t="s">
        <v>36</v>
      </c>
      <c r="C321" s="39" t="s">
        <v>364</v>
      </c>
      <c r="D321" s="39">
        <v>48</v>
      </c>
      <c r="E321" s="26"/>
      <c r="F321" s="26"/>
      <c r="G321" s="26">
        <v>124</v>
      </c>
      <c r="H321" s="46" t="str">
        <f>DEC2HEX(I321)</f>
        <v>6F</v>
      </c>
      <c r="I321" s="26">
        <v>111</v>
      </c>
      <c r="J321" s="27" t="str">
        <f>CHAR(I321)</f>
        <v>o</v>
      </c>
      <c r="K321" s="39"/>
      <c r="L321"/>
      <c r="M321" s="43"/>
      <c r="N321" s="51"/>
      <c r="O321" s="51"/>
      <c r="P321" s="51"/>
      <c r="Q321" s="40" t="str">
        <f>C321&amp;IF(ISBLANK(D321),"","=")&amp;D321</f>
        <v>SpeedPercentage_X=48</v>
      </c>
      <c r="R321"/>
      <c r="S321" s="39">
        <v>100</v>
      </c>
      <c r="T321" s="40" t="str">
        <f>C321&amp;IF(ISBLANK(S321),"","=")&amp;S321</f>
        <v>SpeedPercentage_X=100</v>
      </c>
      <c r="U321" s="39">
        <v>11</v>
      </c>
      <c r="V321" s="40" t="str">
        <f>C321&amp;IF(ISBLANK(U321),"","=")&amp;U321</f>
        <v>SpeedPercentage_X=11</v>
      </c>
      <c r="W321"/>
      <c r="X321"/>
      <c r="Y321"/>
    </row>
    <row r="322" spans="1:25" x14ac:dyDescent="0.3">
      <c r="A322">
        <v>321</v>
      </c>
      <c r="B322" s="30"/>
      <c r="C322" s="45" t="s">
        <v>281</v>
      </c>
      <c r="D322" s="45"/>
      <c r="E322" s="30"/>
      <c r="F322" s="30"/>
      <c r="G322" s="30"/>
      <c r="H322" s="92"/>
      <c r="I322" s="30"/>
      <c r="J322" s="30"/>
      <c r="K322" s="45"/>
      <c r="L322" s="30"/>
      <c r="M322" s="72"/>
      <c r="N322" s="30"/>
      <c r="O322" s="30"/>
      <c r="P322" s="30"/>
      <c r="Q322" s="30" t="str">
        <f>C322&amp;IF(ISBLANK(D322),"","=")&amp;D322</f>
        <v>;M3 Axis</v>
      </c>
      <c r="R322" s="30"/>
      <c r="S322" s="45"/>
      <c r="T322" s="30" t="str">
        <f>C322&amp;IF(ISBLANK(S322),"","=")&amp;S322</f>
        <v>;M3 Axis</v>
      </c>
      <c r="U322" s="45"/>
      <c r="V322" s="30" t="str">
        <f>C322&amp;IF(ISBLANK(U322),"","=")&amp;U322</f>
        <v>;M3 Axis</v>
      </c>
      <c r="W322" s="30"/>
      <c r="X322" s="30"/>
    </row>
    <row r="323" spans="1:25" x14ac:dyDescent="0.3">
      <c r="A323">
        <v>322</v>
      </c>
      <c r="B323" t="s">
        <v>36</v>
      </c>
      <c r="C323" s="39" t="s">
        <v>371</v>
      </c>
      <c r="D323" s="39">
        <v>5048</v>
      </c>
      <c r="E323" s="26"/>
      <c r="F323" s="26"/>
      <c r="G323" s="26">
        <v>124</v>
      </c>
      <c r="H323" s="46" t="str">
        <f>DEC2HEX(I323)</f>
        <v>B9</v>
      </c>
      <c r="I323" s="27">
        <v>185</v>
      </c>
      <c r="J323" s="27" t="str">
        <f>CHAR(I323)</f>
        <v>¹</v>
      </c>
      <c r="K323" s="110"/>
      <c r="Q323" s="40" t="str">
        <f>C323&amp;IF(ISBLANK(D323),"","=")&amp;D323</f>
        <v>MaxSpeed_M3=5048</v>
      </c>
      <c r="S323" s="39">
        <v>30000</v>
      </c>
      <c r="T323" s="40" t="str">
        <f>C323&amp;IF(ISBLANK(S323),"","=")&amp;S323</f>
        <v>MaxSpeed_M3=30000</v>
      </c>
      <c r="U323" s="39">
        <v>1000</v>
      </c>
      <c r="V323" s="40" t="str">
        <f>C323&amp;IF(ISBLANK(U323),"","=")&amp;U323</f>
        <v>MaxSpeed_M3=1000</v>
      </c>
    </row>
    <row r="324" spans="1:25" s="76" customFormat="1" x14ac:dyDescent="0.3">
      <c r="A324">
        <v>323</v>
      </c>
      <c r="B324" t="s">
        <v>36</v>
      </c>
      <c r="C324" s="39" t="s">
        <v>372</v>
      </c>
      <c r="D324" s="39">
        <v>5049</v>
      </c>
      <c r="E324" s="26"/>
      <c r="F324" s="26"/>
      <c r="G324" s="26">
        <v>124</v>
      </c>
      <c r="H324" s="46" t="str">
        <f>DEC2HEX(I324)</f>
        <v>BA</v>
      </c>
      <c r="I324" s="27">
        <v>186</v>
      </c>
      <c r="J324" s="27" t="str">
        <f>CHAR(I324)</f>
        <v>º</v>
      </c>
      <c r="K324" s="39"/>
      <c r="L324"/>
      <c r="M324" s="43"/>
      <c r="N324" s="51"/>
      <c r="O324" s="51"/>
      <c r="P324" s="51"/>
      <c r="Q324" s="40" t="str">
        <f>C324&amp;IF(ISBLANK(D324),"","=")&amp;D324</f>
        <v>Accel_M3=5049</v>
      </c>
      <c r="R324"/>
      <c r="S324" s="39">
        <v>20000</v>
      </c>
      <c r="T324" s="40" t="str">
        <f>C324&amp;IF(ISBLANK(S324),"","=")&amp;S324</f>
        <v>Accel_M3=20000</v>
      </c>
      <c r="U324" s="39">
        <v>1000</v>
      </c>
      <c r="V324"/>
      <c r="W324"/>
      <c r="X324"/>
      <c r="Y324"/>
    </row>
    <row r="325" spans="1:25" s="76" customFormat="1" x14ac:dyDescent="0.3">
      <c r="A325">
        <v>324</v>
      </c>
      <c r="B325" t="s">
        <v>36</v>
      </c>
      <c r="C325" s="39" t="s">
        <v>373</v>
      </c>
      <c r="D325" s="39">
        <v>49</v>
      </c>
      <c r="E325" s="26"/>
      <c r="F325" s="26"/>
      <c r="G325" s="26">
        <v>124</v>
      </c>
      <c r="H325" s="46" t="str">
        <f>DEC2HEX(I325)</f>
        <v>6F</v>
      </c>
      <c r="I325" s="26">
        <v>111</v>
      </c>
      <c r="J325" s="27" t="str">
        <f>CHAR(I325)</f>
        <v>o</v>
      </c>
      <c r="K325" s="39"/>
      <c r="L325"/>
      <c r="M325" s="43"/>
      <c r="N325" s="51"/>
      <c r="O325" s="51"/>
      <c r="P325" s="51"/>
      <c r="Q325" s="40" t="str">
        <f>C325&amp;IF(ISBLANK(D325),"","=")&amp;D325</f>
        <v>SpeedPercentage_M3=49</v>
      </c>
      <c r="R325"/>
      <c r="S325" s="39">
        <v>100</v>
      </c>
      <c r="T325" s="40" t="str">
        <f>C325&amp;IF(ISBLANK(S325),"","=")&amp;S325</f>
        <v>SpeedPercentage_M3=100</v>
      </c>
      <c r="U325" s="39">
        <v>11</v>
      </c>
      <c r="V325" s="40" t="str">
        <f>C325&amp;IF(ISBLANK(U325),"","=")&amp;U325</f>
        <v>SpeedPercentage_M3=11</v>
      </c>
      <c r="W325"/>
      <c r="X325"/>
      <c r="Y325"/>
    </row>
    <row r="326" spans="1:25" s="76" customFormat="1" x14ac:dyDescent="0.3">
      <c r="A326">
        <v>325</v>
      </c>
      <c r="B326" s="30"/>
      <c r="C326" s="45" t="s">
        <v>282</v>
      </c>
      <c r="D326" s="45"/>
      <c r="E326" s="30"/>
      <c r="F326" s="30"/>
      <c r="G326" s="30"/>
      <c r="H326" s="92"/>
      <c r="I326" s="30"/>
      <c r="J326" s="30"/>
      <c r="K326" s="45"/>
      <c r="L326" s="30"/>
      <c r="M326" s="72"/>
      <c r="N326" s="30"/>
      <c r="O326" s="30"/>
      <c r="P326" s="30"/>
      <c r="Q326" s="30" t="str">
        <f>C326&amp;IF(ISBLANK(D326),"","=")&amp;D326</f>
        <v>;M4 Axis</v>
      </c>
      <c r="R326" s="30"/>
      <c r="S326" s="45"/>
      <c r="T326" s="30" t="str">
        <f>C326&amp;IF(ISBLANK(S326),"","=")&amp;S326</f>
        <v>;M4 Axis</v>
      </c>
      <c r="U326" s="45"/>
      <c r="V326" s="30"/>
      <c r="W326" s="30"/>
      <c r="X326" s="30"/>
      <c r="Y326"/>
    </row>
    <row r="327" spans="1:25" x14ac:dyDescent="0.3">
      <c r="A327">
        <v>326</v>
      </c>
      <c r="B327" t="s">
        <v>36</v>
      </c>
      <c r="C327" s="39" t="s">
        <v>374</v>
      </c>
      <c r="D327" s="39">
        <v>5048</v>
      </c>
      <c r="E327" s="26"/>
      <c r="F327" s="26"/>
      <c r="G327" s="26">
        <v>124</v>
      </c>
      <c r="H327" s="46" t="str">
        <f>DEC2HEX(I327)</f>
        <v>B9</v>
      </c>
      <c r="I327" s="27">
        <v>185</v>
      </c>
      <c r="J327" s="27" t="str">
        <f>CHAR(I327)</f>
        <v>¹</v>
      </c>
      <c r="Q327" s="40" t="str">
        <f>C327&amp;IF(ISBLANK(D327),"","=")&amp;D327</f>
        <v>MaxSpeed_M4=5048</v>
      </c>
      <c r="S327" s="39">
        <v>30000</v>
      </c>
      <c r="T327" s="40" t="str">
        <f>C327&amp;IF(ISBLANK(S327),"","=")&amp;S327</f>
        <v>MaxSpeed_M4=30000</v>
      </c>
      <c r="U327" s="39">
        <v>1000</v>
      </c>
      <c r="V327" s="40" t="str">
        <f>C327&amp;IF(ISBLANK(U327),"","=")&amp;U327</f>
        <v>MaxSpeed_M4=1000</v>
      </c>
    </row>
    <row r="328" spans="1:25" s="76" customFormat="1" x14ac:dyDescent="0.3">
      <c r="A328">
        <v>327</v>
      </c>
      <c r="B328" t="s">
        <v>36</v>
      </c>
      <c r="C328" s="39" t="s">
        <v>375</v>
      </c>
      <c r="D328" s="39">
        <v>5049</v>
      </c>
      <c r="E328" s="26"/>
      <c r="F328" s="26"/>
      <c r="G328" s="26">
        <v>124</v>
      </c>
      <c r="H328" s="46" t="str">
        <f>DEC2HEX(I328)</f>
        <v>BA</v>
      </c>
      <c r="I328" s="27">
        <v>186</v>
      </c>
      <c r="J328" s="27" t="str">
        <f>CHAR(I328)</f>
        <v>º</v>
      </c>
      <c r="K328" s="39"/>
      <c r="L328"/>
      <c r="M328" s="43"/>
      <c r="N328" s="51"/>
      <c r="O328" s="51"/>
      <c r="P328" s="51"/>
      <c r="Q328" s="40" t="str">
        <f>C328&amp;IF(ISBLANK(D328),"","=")&amp;D328</f>
        <v>Accel_M4=5049</v>
      </c>
      <c r="R328"/>
      <c r="S328" s="39">
        <v>20000</v>
      </c>
      <c r="T328" s="40" t="str">
        <f>C328&amp;IF(ISBLANK(S328),"","=")&amp;S328</f>
        <v>Accel_M4=20000</v>
      </c>
      <c r="U328" s="39">
        <v>1000</v>
      </c>
      <c r="V328" s="40" t="str">
        <f>C328&amp;IF(ISBLANK(U328),"","=")&amp;U328</f>
        <v>Accel_M4=1000</v>
      </c>
      <c r="W328"/>
      <c r="X328"/>
      <c r="Y328" s="30"/>
    </row>
    <row r="329" spans="1:25" s="30" customFormat="1" x14ac:dyDescent="0.3">
      <c r="A329">
        <v>328</v>
      </c>
      <c r="B329" t="s">
        <v>36</v>
      </c>
      <c r="C329" s="39" t="s">
        <v>376</v>
      </c>
      <c r="D329" s="39">
        <v>49</v>
      </c>
      <c r="E329" s="26"/>
      <c r="F329" s="26"/>
      <c r="G329" s="26">
        <v>124</v>
      </c>
      <c r="H329" s="46" t="str">
        <f>DEC2HEX(I329)</f>
        <v>6F</v>
      </c>
      <c r="I329" s="26">
        <v>111</v>
      </c>
      <c r="J329" s="27" t="str">
        <f>CHAR(I329)</f>
        <v>o</v>
      </c>
      <c r="K329" s="39"/>
      <c r="L329"/>
      <c r="M329" s="43"/>
      <c r="N329" s="51"/>
      <c r="O329" s="51"/>
      <c r="P329" s="51"/>
      <c r="Q329" s="40" t="str">
        <f>C329&amp;IF(ISBLANK(D329),"","=")&amp;D329</f>
        <v>SpeedPercentage_M4=49</v>
      </c>
      <c r="R329"/>
      <c r="S329" s="39">
        <v>100</v>
      </c>
      <c r="T329" s="40" t="str">
        <f>C329&amp;IF(ISBLANK(S329),"","=")&amp;S329</f>
        <v>SpeedPercentage_M4=100</v>
      </c>
      <c r="U329" s="39">
        <v>11</v>
      </c>
      <c r="V329" s="40" t="str">
        <f>C329&amp;IF(ISBLANK(U329),"","=")&amp;U329</f>
        <v>SpeedPercentage_M4=11</v>
      </c>
      <c r="W329"/>
      <c r="X329"/>
      <c r="Y329"/>
    </row>
    <row r="330" spans="1:25" x14ac:dyDescent="0.3">
      <c r="A330">
        <v>329</v>
      </c>
      <c r="C330" s="39" t="s">
        <v>229</v>
      </c>
      <c r="E330" s="26"/>
      <c r="F330" s="26"/>
      <c r="G330" s="26"/>
      <c r="H330" s="96"/>
      <c r="I330" s="26"/>
      <c r="J330" s="26"/>
      <c r="Q330" s="40" t="str">
        <f>C330&amp;IF(ISBLANK(D330),"","=")&amp;D330</f>
        <v>;</v>
      </c>
      <c r="T330" s="40" t="str">
        <f>C330&amp;IF(ISBLANK(S330),"","=")&amp;S330</f>
        <v>;</v>
      </c>
    </row>
    <row r="331" spans="1:25" s="76" customFormat="1" x14ac:dyDescent="0.3">
      <c r="A331">
        <v>330</v>
      </c>
      <c r="C331" s="77" t="s">
        <v>304</v>
      </c>
      <c r="D331" s="77"/>
      <c r="H331" s="78"/>
      <c r="K331" s="77"/>
      <c r="M331" s="79"/>
      <c r="Q331" s="76" t="str">
        <f>C331&amp;IF(ISBLANK(D331),"","=")&amp;D331</f>
        <v>[Program]</v>
      </c>
      <c r="S331" s="77"/>
      <c r="T331" s="76" t="str">
        <f>C331&amp;IF(ISBLANK(S331),"","=")&amp;S331</f>
        <v>[Program]</v>
      </c>
      <c r="U331" s="77"/>
      <c r="V331"/>
      <c r="W331"/>
      <c r="X331"/>
      <c r="Y331"/>
    </row>
    <row r="332" spans="1:25" x14ac:dyDescent="0.3">
      <c r="A332">
        <v>331</v>
      </c>
      <c r="C332" s="39" t="s">
        <v>229</v>
      </c>
      <c r="E332" s="26"/>
      <c r="F332" s="26"/>
      <c r="G332" s="26"/>
      <c r="H332" s="96"/>
      <c r="I332" s="26"/>
      <c r="J332" s="26"/>
      <c r="Q332" s="40" t="str">
        <f>C332&amp;IF(ISBLANK(D332),"","=")&amp;D332</f>
        <v>;</v>
      </c>
      <c r="T332" s="40" t="str">
        <f>C332&amp;IF(ISBLANK(S332),"","=")&amp;S332</f>
        <v>;</v>
      </c>
      <c r="Y332" s="30"/>
    </row>
    <row r="333" spans="1:25" x14ac:dyDescent="0.3">
      <c r="A333">
        <v>332</v>
      </c>
      <c r="B333" t="s">
        <v>274</v>
      </c>
      <c r="C333" s="39" t="s">
        <v>615</v>
      </c>
      <c r="D333" s="39">
        <v>0</v>
      </c>
      <c r="E333" s="27"/>
      <c r="F333" s="27"/>
      <c r="G333" s="26"/>
      <c r="H333" s="46" t="str">
        <f>DEC2HEX(I333)</f>
        <v>A8</v>
      </c>
      <c r="I333" s="27">
        <v>168</v>
      </c>
      <c r="J333" s="27" t="str">
        <f>CHAR(I333)</f>
        <v>¨</v>
      </c>
      <c r="Q333" s="40" t="str">
        <f>C333&amp;IF(ISBLANK(D333),"","=")&amp;D333</f>
        <v>Radial_Axial=0</v>
      </c>
      <c r="T333" s="40"/>
      <c r="V333" s="40"/>
    </row>
    <row r="334" spans="1:25" s="76" customFormat="1" x14ac:dyDescent="0.3">
      <c r="A334">
        <v>333</v>
      </c>
      <c r="B334" t="s">
        <v>274</v>
      </c>
      <c r="C334" s="39" t="s">
        <v>412</v>
      </c>
      <c r="D334" s="39">
        <v>8.5</v>
      </c>
      <c r="E334" s="26"/>
      <c r="F334" s="26"/>
      <c r="G334" s="26">
        <v>121</v>
      </c>
      <c r="H334" s="46" t="str">
        <f>DEC2HEX(I334)</f>
        <v>E6</v>
      </c>
      <c r="I334" s="27">
        <v>230</v>
      </c>
      <c r="J334" s="27" t="str">
        <f>CHAR(I334)</f>
        <v>æ</v>
      </c>
      <c r="K334" s="39"/>
      <c r="L334"/>
      <c r="M334" s="43"/>
      <c r="N334" s="51"/>
      <c r="O334" s="51"/>
      <c r="P334" s="51"/>
      <c r="Q334" s="40" t="str">
        <f>C334&amp;IF(ISBLANK(D334),"","=")&amp;D334</f>
        <v>PatternsPer360=8.5</v>
      </c>
      <c r="R334"/>
      <c r="S334" s="39">
        <v>2</v>
      </c>
      <c r="T334" s="40" t="str">
        <f>C334&amp;IF(ISBLANK(S334),"","=")&amp;S334</f>
        <v>PatternsPer360=2</v>
      </c>
      <c r="U334" s="39">
        <v>11</v>
      </c>
      <c r="V334" s="40" t="str">
        <f>C334&amp;IF(ISBLANK(U334),"","=")&amp;U334</f>
        <v>PatternsPer360=11</v>
      </c>
      <c r="W334"/>
      <c r="X334"/>
      <c r="Y334"/>
    </row>
    <row r="335" spans="1:25" x14ac:dyDescent="0.3">
      <c r="A335">
        <v>334</v>
      </c>
      <c r="B335" t="s">
        <v>274</v>
      </c>
      <c r="C335" s="39" t="s">
        <v>413</v>
      </c>
      <c r="D335" s="39">
        <v>12</v>
      </c>
      <c r="E335" s="27"/>
      <c r="F335" s="27"/>
      <c r="G335" s="26">
        <v>124</v>
      </c>
      <c r="H335" s="46" t="str">
        <f>DEC2HEX(I335)</f>
        <v>4D</v>
      </c>
      <c r="I335" s="27">
        <v>77</v>
      </c>
      <c r="J335" s="27" t="str">
        <f>CHAR(I335)</f>
        <v>M</v>
      </c>
      <c r="K335" s="110"/>
      <c r="Q335" s="40" t="str">
        <f>C335&amp;IF(ISBLANK(D335),"","=")&amp;D335</f>
        <v>PatternCount=12</v>
      </c>
      <c r="S335" s="39">
        <v>2</v>
      </c>
      <c r="T335" s="40" t="str">
        <f>C335&amp;IF(ISBLANK(S335),"","=")&amp;S335</f>
        <v>PatternCount=2</v>
      </c>
      <c r="U335" s="39">
        <v>11</v>
      </c>
      <c r="V335" s="40" t="str">
        <f>C335&amp;IF(ISBLANK(U335),"","=")&amp;U335</f>
        <v>PatternCount=11</v>
      </c>
    </row>
    <row r="336" spans="1:25" x14ac:dyDescent="0.3">
      <c r="A336">
        <v>335</v>
      </c>
      <c r="B336" t="s">
        <v>274</v>
      </c>
      <c r="C336" s="39" t="s">
        <v>414</v>
      </c>
      <c r="D336" s="39">
        <v>3.2000000000000001E-2</v>
      </c>
      <c r="E336" s="26"/>
      <c r="F336" s="26"/>
      <c r="G336" s="26">
        <v>124</v>
      </c>
      <c r="H336" s="46" t="str">
        <f>DEC2HEX(I336)</f>
        <v>55</v>
      </c>
      <c r="I336" s="27">
        <v>85</v>
      </c>
      <c r="J336" s="27" t="str">
        <f>CHAR(I336)</f>
        <v>U</v>
      </c>
      <c r="Q336" s="40" t="str">
        <f>C336&amp;IF(ISBLANK(D336),"","=")&amp;D336</f>
        <v>SegmentLength=0.032</v>
      </c>
      <c r="R336" s="110"/>
      <c r="S336" s="39">
        <v>0.01</v>
      </c>
      <c r="T336" s="40" t="str">
        <f>C336&amp;IF(ISBLANK(S336),"","=")&amp;S336</f>
        <v>SegmentLength=0.01</v>
      </c>
      <c r="U336" s="39">
        <v>11</v>
      </c>
      <c r="Y336" s="30"/>
    </row>
    <row r="337" spans="1:25" s="30" customFormat="1" x14ac:dyDescent="0.3">
      <c r="A337">
        <v>336</v>
      </c>
      <c r="B337"/>
      <c r="C337" s="39" t="s">
        <v>305</v>
      </c>
      <c r="D337" s="39"/>
      <c r="E337" s="26"/>
      <c r="F337" s="26"/>
      <c r="G337" s="26"/>
      <c r="H337" s="96"/>
      <c r="I337" s="26"/>
      <c r="J337" s="26"/>
      <c r="K337" s="39"/>
      <c r="L337"/>
      <c r="M337" s="43"/>
      <c r="N337" s="51"/>
      <c r="O337" s="51"/>
      <c r="P337" s="51"/>
      <c r="Q337" s="40" t="str">
        <f>C337&amp;IF(ISBLANK(D337),"","=")&amp;D337</f>
        <v>;Segments: 2  Actual: 3</v>
      </c>
      <c r="R337"/>
      <c r="S337" s="39"/>
      <c r="T337" s="40" t="str">
        <f>C337&amp;IF(ISBLANK(S337),"","=")&amp;S337</f>
        <v>;Segments: 2  Actual: 3</v>
      </c>
      <c r="U337" s="39"/>
      <c r="V337" s="40" t="str">
        <f>C337&amp;IF(ISBLANK(U337),"","=")&amp;U337</f>
        <v>;Segments: 2  Actual: 3</v>
      </c>
      <c r="W337"/>
      <c r="X337"/>
      <c r="Y337"/>
    </row>
    <row r="338" spans="1:25" x14ac:dyDescent="0.3">
      <c r="A338">
        <v>337</v>
      </c>
      <c r="B338" t="s">
        <v>274</v>
      </c>
      <c r="C338" s="39" t="s">
        <v>415</v>
      </c>
      <c r="D338" s="39">
        <v>2</v>
      </c>
      <c r="E338" s="27">
        <v>32</v>
      </c>
      <c r="F338" s="27">
        <v>35</v>
      </c>
      <c r="G338" s="26"/>
      <c r="H338" s="46" t="str">
        <f>DEC2HEX(I338)</f>
        <v>4C</v>
      </c>
      <c r="I338" s="27">
        <v>76</v>
      </c>
      <c r="J338" s="27" t="str">
        <f>CHAR(I338)</f>
        <v>L</v>
      </c>
      <c r="L338">
        <f>IF(ISBLANK(D338),IF(E338&gt;0,F338-E338+1,0),0)</f>
        <v>0</v>
      </c>
      <c r="M338" s="43">
        <f>IF(ISBLANK(D338),0,IF(G338=0,F338-E338+1,0))</f>
        <v>4</v>
      </c>
      <c r="Q338" s="40" t="str">
        <f>C338&amp;IF(ISBLANK(D338),"","=")&amp;D338</f>
        <v>SegmentsOrActual=2</v>
      </c>
      <c r="S338" s="39">
        <v>2</v>
      </c>
      <c r="T338" s="40" t="str">
        <f>C338&amp;IF(ISBLANK(S338),"","=")&amp;S338</f>
        <v>SegmentsOrActual=2</v>
      </c>
      <c r="U338" s="39">
        <v>3</v>
      </c>
      <c r="V338" s="40" t="str">
        <f>C338&amp;IF(ISBLANK(U338),"","=")&amp;U338</f>
        <v>SegmentsOrActual=3</v>
      </c>
    </row>
    <row r="339" spans="1:25" x14ac:dyDescent="0.3">
      <c r="A339">
        <v>338</v>
      </c>
      <c r="C339" s="39" t="s">
        <v>229</v>
      </c>
      <c r="E339" s="26"/>
      <c r="F339" s="26"/>
      <c r="G339" s="26"/>
      <c r="H339" s="96"/>
      <c r="I339" s="26"/>
      <c r="J339" s="26"/>
      <c r="Q339" s="40" t="str">
        <f>C339&amp;IF(ISBLANK(D339),"","=")&amp;D339</f>
        <v>;</v>
      </c>
      <c r="T339" s="40" t="str">
        <f>C339&amp;IF(ISBLANK(S339),"","=")&amp;S339</f>
        <v>;</v>
      </c>
    </row>
    <row r="340" spans="1:25" x14ac:dyDescent="0.3">
      <c r="A340">
        <v>339</v>
      </c>
      <c r="B340" s="30"/>
      <c r="C340" s="45" t="s">
        <v>288</v>
      </c>
      <c r="D340" s="45"/>
      <c r="E340" s="30"/>
      <c r="F340" s="30"/>
      <c r="G340" s="30"/>
      <c r="H340" s="92"/>
      <c r="I340" s="30"/>
      <c r="J340" s="30"/>
      <c r="K340" s="45"/>
      <c r="L340" s="30"/>
      <c r="M340" s="72"/>
      <c r="N340" s="30"/>
      <c r="O340" s="30"/>
      <c r="P340" s="30"/>
      <c r="Q340" s="30" t="str">
        <f>C340&amp;IF(ISBLANK(D340),"","=")&amp;D340</f>
        <v>;Spindle</v>
      </c>
      <c r="R340" s="30"/>
      <c r="S340" s="45"/>
      <c r="T340" s="30" t="str">
        <f>C340&amp;IF(ISBLANK(S340),"","=")&amp;S340</f>
        <v>;Spindle</v>
      </c>
      <c r="U340" s="45"/>
      <c r="V340" s="30"/>
      <c r="W340" s="30"/>
      <c r="X340" s="30"/>
      <c r="Y340" s="30"/>
    </row>
    <row r="341" spans="1:25" x14ac:dyDescent="0.3">
      <c r="A341">
        <v>340</v>
      </c>
      <c r="B341" t="s">
        <v>274</v>
      </c>
      <c r="C341" s="39" t="s">
        <v>348</v>
      </c>
      <c r="D341" s="39">
        <v>5040</v>
      </c>
      <c r="E341" s="26"/>
      <c r="F341" s="26"/>
      <c r="G341" s="26"/>
      <c r="H341" s="46" t="str">
        <f>DEC2HEX(I341)</f>
        <v>3A</v>
      </c>
      <c r="I341" s="27">
        <v>58</v>
      </c>
      <c r="J341" s="27" t="str">
        <f>CHAR(I341)</f>
        <v>:</v>
      </c>
      <c r="Q341" s="40" t="str">
        <f>C341&amp;IF(ISBLANK(D341),"","=")&amp;D341</f>
        <v>MaxSpeed_Spindle=5040</v>
      </c>
      <c r="S341" s="39">
        <v>30000</v>
      </c>
      <c r="T341" s="40" t="str">
        <f>C341&amp;IF(ISBLANK(S341),"","=")&amp;S341</f>
        <v>MaxSpeed_Spindle=30000</v>
      </c>
      <c r="U341" s="39">
        <v>1000</v>
      </c>
    </row>
    <row r="342" spans="1:25" s="30" customFormat="1" x14ac:dyDescent="0.3">
      <c r="A342">
        <v>341</v>
      </c>
      <c r="B342" t="s">
        <v>274</v>
      </c>
      <c r="C342" s="39" t="s">
        <v>349</v>
      </c>
      <c r="D342" s="39">
        <v>5041</v>
      </c>
      <c r="E342" s="26"/>
      <c r="F342" s="26"/>
      <c r="G342" s="26"/>
      <c r="H342" s="46" t="str">
        <f>DEC2HEX(I342)</f>
        <v>3B</v>
      </c>
      <c r="I342" s="27">
        <v>59</v>
      </c>
      <c r="J342" s="27" t="str">
        <f>CHAR(I342)</f>
        <v>;</v>
      </c>
      <c r="K342" s="39"/>
      <c r="L342"/>
      <c r="M342" s="43"/>
      <c r="N342" s="51"/>
      <c r="O342" s="51"/>
      <c r="P342" s="51"/>
      <c r="Q342" s="40" t="str">
        <f>C342&amp;IF(ISBLANK(D342),"","=")&amp;D342</f>
        <v>Accel_Spindle=5041</v>
      </c>
      <c r="R342"/>
      <c r="S342" s="39">
        <v>20000</v>
      </c>
      <c r="T342" s="40" t="str">
        <f>C342&amp;IF(ISBLANK(S342),"","=")&amp;S342</f>
        <v>Accel_Spindle=20000</v>
      </c>
      <c r="U342" s="39">
        <v>1000</v>
      </c>
      <c r="V342" s="40" t="str">
        <f>C342&amp;IF(ISBLANK(U342),"","=")&amp;U342</f>
        <v>Accel_Spindle=1000</v>
      </c>
      <c r="W342"/>
      <c r="X342"/>
      <c r="Y342"/>
    </row>
    <row r="343" spans="1:25" s="76" customFormat="1" x14ac:dyDescent="0.3">
      <c r="A343">
        <v>342</v>
      </c>
      <c r="B343" t="s">
        <v>274</v>
      </c>
      <c r="C343" s="39" t="s">
        <v>358</v>
      </c>
      <c r="D343" s="39">
        <v>42</v>
      </c>
      <c r="E343" s="26"/>
      <c r="F343" s="26"/>
      <c r="G343" s="26"/>
      <c r="H343" s="46" t="str">
        <f>DEC2HEX(I343)</f>
        <v>6E</v>
      </c>
      <c r="I343" s="27">
        <v>110</v>
      </c>
      <c r="J343" s="27" t="str">
        <f>CHAR(I343)</f>
        <v>n</v>
      </c>
      <c r="K343" s="39"/>
      <c r="L343"/>
      <c r="M343" s="43"/>
      <c r="N343" s="51"/>
      <c r="O343" s="51"/>
      <c r="P343" s="51"/>
      <c r="Q343" s="40" t="str">
        <f>C343&amp;IF(ISBLANK(D343),"","=")&amp;D343</f>
        <v>SpeedPercentage_Spindle=42</v>
      </c>
      <c r="R343"/>
      <c r="S343" s="39">
        <v>100</v>
      </c>
      <c r="T343" s="40" t="str">
        <f>C343&amp;IF(ISBLANK(S343),"","=")&amp;S343</f>
        <v>SpeedPercentage_Spindle=100</v>
      </c>
      <c r="U343" s="39">
        <v>11</v>
      </c>
      <c r="V343" s="40" t="str">
        <f>C343&amp;IF(ISBLANK(U343),"","=")&amp;U343</f>
        <v>SpeedPercentage_Spindle=11</v>
      </c>
      <c r="W343"/>
      <c r="X343"/>
      <c r="Y343" s="30"/>
    </row>
    <row r="344" spans="1:25" x14ac:dyDescent="0.3">
      <c r="A344">
        <v>343</v>
      </c>
      <c r="B344" s="30"/>
      <c r="C344" s="45" t="s">
        <v>278</v>
      </c>
      <c r="D344" s="45"/>
      <c r="E344" s="30"/>
      <c r="F344" s="30"/>
      <c r="G344" s="30"/>
      <c r="H344" s="92"/>
      <c r="I344" s="30"/>
      <c r="J344" s="30"/>
      <c r="K344" s="45"/>
      <c r="L344" s="30"/>
      <c r="M344" s="72"/>
      <c r="N344" s="30"/>
      <c r="O344" s="30"/>
      <c r="P344" s="30"/>
      <c r="Q344" s="30" t="str">
        <f>C344&amp;IF(ISBLANK(D344),"","=")&amp;D344</f>
        <v>;Z Axis</v>
      </c>
      <c r="R344" s="30"/>
      <c r="S344" s="45"/>
      <c r="T344" s="30" t="str">
        <f>C344&amp;IF(ISBLANK(S344),"","=")&amp;S344</f>
        <v>;Z Axis</v>
      </c>
      <c r="U344" s="45"/>
      <c r="V344" s="30" t="str">
        <f>C344&amp;IF(ISBLANK(U344),"","=")&amp;U344</f>
        <v>;Z Axis</v>
      </c>
      <c r="W344" s="30"/>
      <c r="X344" s="30"/>
    </row>
    <row r="345" spans="1:25" x14ac:dyDescent="0.3">
      <c r="A345">
        <v>344</v>
      </c>
      <c r="B345" t="s">
        <v>274</v>
      </c>
      <c r="C345" s="39" t="s">
        <v>359</v>
      </c>
      <c r="D345" s="39">
        <v>5043</v>
      </c>
      <c r="E345" s="26"/>
      <c r="F345" s="26"/>
      <c r="G345" s="26"/>
      <c r="H345" s="46" t="str">
        <f>DEC2HEX(I345)</f>
        <v>B9</v>
      </c>
      <c r="I345" s="27">
        <v>185</v>
      </c>
      <c r="J345" s="27" t="str">
        <f>CHAR(I345)</f>
        <v>¹</v>
      </c>
      <c r="Q345" s="40" t="str">
        <f>C345&amp;IF(ISBLANK(D345),"","=")&amp;D345</f>
        <v>MaxSpeed_Z=5043</v>
      </c>
      <c r="S345" s="39">
        <v>30000</v>
      </c>
      <c r="T345" s="40" t="str">
        <f>C345&amp;IF(ISBLANK(S345),"","=")&amp;S345</f>
        <v>MaxSpeed_Z=30000</v>
      </c>
      <c r="U345" s="39">
        <v>1000</v>
      </c>
      <c r="V345" s="40" t="str">
        <f>C345&amp;IF(ISBLANK(U345),"","=")&amp;U345</f>
        <v>MaxSpeed_Z=1000</v>
      </c>
    </row>
    <row r="346" spans="1:25" x14ac:dyDescent="0.3">
      <c r="A346">
        <v>345</v>
      </c>
      <c r="B346" t="s">
        <v>274</v>
      </c>
      <c r="C346" s="39" t="s">
        <v>360</v>
      </c>
      <c r="D346" s="39">
        <v>5044</v>
      </c>
      <c r="E346" s="26"/>
      <c r="F346" s="26"/>
      <c r="G346" s="26"/>
      <c r="H346" s="46" t="str">
        <f>DEC2HEX(I346)</f>
        <v>BA</v>
      </c>
      <c r="I346" s="27">
        <v>186</v>
      </c>
      <c r="J346" s="27" t="str">
        <f>CHAR(I346)</f>
        <v>º</v>
      </c>
      <c r="Q346" s="40" t="str">
        <f>C346&amp;IF(ISBLANK(D346),"","=")&amp;D346</f>
        <v>Accel_Z=5044</v>
      </c>
      <c r="S346" s="39">
        <v>20000</v>
      </c>
      <c r="T346" s="40" t="str">
        <f>C346&amp;IF(ISBLANK(S346),"","=")&amp;S346</f>
        <v>Accel_Z=20000</v>
      </c>
      <c r="U346" s="39">
        <v>1000</v>
      </c>
      <c r="V346" s="40" t="str">
        <f>C346&amp;IF(ISBLANK(U346),"","=")&amp;U346</f>
        <v>Accel_Z=1000</v>
      </c>
    </row>
    <row r="347" spans="1:25" x14ac:dyDescent="0.3">
      <c r="A347">
        <v>346</v>
      </c>
      <c r="B347" t="s">
        <v>274</v>
      </c>
      <c r="C347" s="39" t="s">
        <v>361</v>
      </c>
      <c r="D347" s="39">
        <v>45</v>
      </c>
      <c r="E347" s="26"/>
      <c r="F347" s="26"/>
      <c r="G347" s="26"/>
      <c r="H347" s="46" t="str">
        <f>DEC2HEX(I347)</f>
        <v>6F</v>
      </c>
      <c r="I347" s="26">
        <v>111</v>
      </c>
      <c r="J347" s="27" t="str">
        <f>CHAR(I347)</f>
        <v>o</v>
      </c>
      <c r="Q347" s="40" t="str">
        <f>C347&amp;IF(ISBLANK(D347),"","=")&amp;D347</f>
        <v>SpeedPercentage_Z=45</v>
      </c>
      <c r="S347" s="39">
        <v>100</v>
      </c>
      <c r="T347" s="40" t="str">
        <f>C347&amp;IF(ISBLANK(S347),"","=")&amp;S347</f>
        <v>SpeedPercentage_Z=100</v>
      </c>
      <c r="U347" s="39">
        <v>11</v>
      </c>
      <c r="V347" s="40" t="str">
        <f>C347&amp;IF(ISBLANK(U347),"","=")&amp;U347</f>
        <v>SpeedPercentage_Z=11</v>
      </c>
    </row>
    <row r="348" spans="1:25" x14ac:dyDescent="0.3">
      <c r="A348">
        <v>347</v>
      </c>
      <c r="B348" s="30"/>
      <c r="C348" s="45" t="s">
        <v>279</v>
      </c>
      <c r="D348" s="45"/>
      <c r="E348" s="30"/>
      <c r="F348" s="30"/>
      <c r="G348" s="30"/>
      <c r="H348" s="92"/>
      <c r="I348" s="30"/>
      <c r="J348" s="30"/>
      <c r="K348" s="45"/>
      <c r="L348" s="30"/>
      <c r="M348" s="72"/>
      <c r="N348" s="30"/>
      <c r="O348" s="30"/>
      <c r="P348" s="30"/>
      <c r="Q348" s="30" t="str">
        <f>C348&amp;IF(ISBLANK(D348),"","=")&amp;D348</f>
        <v>;X Axis</v>
      </c>
      <c r="R348" s="30"/>
      <c r="S348" s="45"/>
      <c r="T348" s="30" t="str">
        <f>C348&amp;IF(ISBLANK(S348),"","=")&amp;S348</f>
        <v>;X Axis</v>
      </c>
      <c r="U348" s="45"/>
      <c r="V348" s="30" t="str">
        <f>C348&amp;IF(ISBLANK(U348),"","=")&amp;U348</f>
        <v>;X Axis</v>
      </c>
      <c r="W348" s="30"/>
      <c r="X348" s="30"/>
    </row>
    <row r="349" spans="1:25" x14ac:dyDescent="0.3">
      <c r="A349">
        <v>348</v>
      </c>
      <c r="B349" t="s">
        <v>274</v>
      </c>
      <c r="C349" s="39" t="s">
        <v>362</v>
      </c>
      <c r="D349" s="39">
        <v>5046</v>
      </c>
      <c r="E349" s="26"/>
      <c r="F349" s="26"/>
      <c r="G349" s="26"/>
      <c r="H349" s="46" t="str">
        <f>DEC2HEX(I349)</f>
        <v>B9</v>
      </c>
      <c r="I349" s="27">
        <v>185</v>
      </c>
      <c r="J349" s="27" t="str">
        <f>CHAR(I349)</f>
        <v>¹</v>
      </c>
      <c r="Q349" s="40" t="str">
        <f>C349&amp;IF(ISBLANK(D349),"","=")&amp;D349</f>
        <v>MaxSpeed_X=5046</v>
      </c>
      <c r="R349" s="110"/>
      <c r="S349" s="39">
        <v>30000</v>
      </c>
      <c r="T349" s="40" t="str">
        <f>C349&amp;IF(ISBLANK(S349),"","=")&amp;S349</f>
        <v>MaxSpeed_X=30000</v>
      </c>
      <c r="U349" s="39">
        <v>1000</v>
      </c>
      <c r="V349" s="40" t="str">
        <f>C349&amp;IF(ISBLANK(U349),"","=")&amp;U349</f>
        <v>MaxSpeed_X=1000</v>
      </c>
    </row>
    <row r="350" spans="1:25" x14ac:dyDescent="0.3">
      <c r="A350">
        <v>349</v>
      </c>
      <c r="B350" t="s">
        <v>274</v>
      </c>
      <c r="C350" s="39" t="s">
        <v>363</v>
      </c>
      <c r="D350" s="39">
        <v>5047</v>
      </c>
      <c r="E350" s="26"/>
      <c r="F350" s="26"/>
      <c r="G350" s="26"/>
      <c r="H350" s="46" t="str">
        <f>DEC2HEX(I350)</f>
        <v>BA</v>
      </c>
      <c r="I350" s="27">
        <v>186</v>
      </c>
      <c r="J350" s="27" t="str">
        <f>CHAR(I350)</f>
        <v>º</v>
      </c>
      <c r="Q350" s="40" t="str">
        <f>C350&amp;IF(ISBLANK(D350),"","=")&amp;D350</f>
        <v>Accel_X=5047</v>
      </c>
      <c r="S350" s="39">
        <v>20000</v>
      </c>
      <c r="T350" s="40" t="str">
        <f>C350&amp;IF(ISBLANK(S350),"","=")&amp;S350</f>
        <v>Accel_X=20000</v>
      </c>
      <c r="U350" s="39">
        <v>1000</v>
      </c>
      <c r="V350" s="40" t="str">
        <f>C350&amp;IF(ISBLANK(U350),"","=")&amp;U350</f>
        <v>Accel_X=1000</v>
      </c>
    </row>
    <row r="351" spans="1:25" x14ac:dyDescent="0.3">
      <c r="A351">
        <v>350</v>
      </c>
      <c r="B351" t="s">
        <v>274</v>
      </c>
      <c r="C351" s="39" t="s">
        <v>364</v>
      </c>
      <c r="D351" s="39">
        <v>48</v>
      </c>
      <c r="E351" s="26"/>
      <c r="F351" s="26"/>
      <c r="G351" s="26"/>
      <c r="H351" s="46" t="str">
        <f>DEC2HEX(I351)</f>
        <v>6F</v>
      </c>
      <c r="I351" s="26">
        <v>111</v>
      </c>
      <c r="J351" s="27" t="str">
        <f>CHAR(I351)</f>
        <v>o</v>
      </c>
      <c r="Q351" s="40" t="str">
        <f>C351&amp;IF(ISBLANK(D351),"","=")&amp;D351</f>
        <v>SpeedPercentage_X=48</v>
      </c>
      <c r="S351" s="39">
        <v>100</v>
      </c>
      <c r="T351" s="40" t="str">
        <f>C351&amp;IF(ISBLANK(S351),"","=")&amp;S351</f>
        <v>SpeedPercentage_X=100</v>
      </c>
      <c r="U351" s="39">
        <v>11</v>
      </c>
      <c r="V351" s="40" t="str">
        <f>C351&amp;IF(ISBLANK(U351),"","=")&amp;U351</f>
        <v>SpeedPercentage_X=11</v>
      </c>
    </row>
    <row r="352" spans="1:25" s="30" customFormat="1" x14ac:dyDescent="0.3">
      <c r="A352">
        <v>351</v>
      </c>
      <c r="C352" s="45" t="s">
        <v>281</v>
      </c>
      <c r="D352" s="45"/>
      <c r="H352" s="92"/>
      <c r="K352" s="45"/>
      <c r="M352" s="72"/>
      <c r="Q352" s="30" t="str">
        <f>C352&amp;IF(ISBLANK(D352),"","=")&amp;D352</f>
        <v>;M3 Axis</v>
      </c>
      <c r="S352" s="45"/>
      <c r="T352" s="30" t="str">
        <f>C352&amp;IF(ISBLANK(S352),"","=")&amp;S352</f>
        <v>;M3 Axis</v>
      </c>
      <c r="U352" s="45"/>
      <c r="V352" s="30" t="str">
        <f>C352&amp;IF(ISBLANK(U352),"","=")&amp;U352</f>
        <v>;M3 Axis</v>
      </c>
      <c r="Y352" s="27"/>
    </row>
    <row r="353" spans="1:25" x14ac:dyDescent="0.3">
      <c r="A353">
        <v>352</v>
      </c>
      <c r="B353" t="s">
        <v>274</v>
      </c>
      <c r="C353" s="39" t="s">
        <v>371</v>
      </c>
      <c r="D353" s="39">
        <v>5048</v>
      </c>
      <c r="E353" s="26"/>
      <c r="F353" s="26"/>
      <c r="G353" s="26"/>
      <c r="H353" s="46" t="str">
        <f>DEC2HEX(I353)</f>
        <v>B9</v>
      </c>
      <c r="I353" s="27">
        <v>185</v>
      </c>
      <c r="J353" s="27" t="str">
        <f>CHAR(I353)</f>
        <v>¹</v>
      </c>
      <c r="Q353" s="40" t="str">
        <f>C353&amp;IF(ISBLANK(D353),"","=")&amp;D353</f>
        <v>MaxSpeed_M3=5048</v>
      </c>
      <c r="S353" s="39">
        <v>30000</v>
      </c>
      <c r="T353" s="40" t="str">
        <f>C353&amp;IF(ISBLANK(S353),"","=")&amp;S353</f>
        <v>MaxSpeed_M3=30000</v>
      </c>
      <c r="U353" s="39">
        <v>1000</v>
      </c>
      <c r="V353" s="40" t="str">
        <f>C353&amp;IF(ISBLANK(U353),"","=")&amp;U353</f>
        <v>MaxSpeed_M3=1000</v>
      </c>
    </row>
    <row r="354" spans="1:25" x14ac:dyDescent="0.3">
      <c r="A354">
        <v>353</v>
      </c>
      <c r="B354" t="s">
        <v>274</v>
      </c>
      <c r="C354" s="110" t="s">
        <v>372</v>
      </c>
      <c r="D354" s="110">
        <v>5049</v>
      </c>
      <c r="E354" s="26"/>
      <c r="F354" s="26"/>
      <c r="G354" s="26"/>
      <c r="H354" s="114" t="str">
        <f>DEC2HEX(I354)</f>
        <v>BA</v>
      </c>
      <c r="I354" s="27">
        <v>186</v>
      </c>
      <c r="J354" s="27" t="str">
        <f>CHAR(I354)</f>
        <v>º</v>
      </c>
      <c r="Q354" s="40" t="str">
        <f>C354&amp;IF(ISBLANK(D354),"","=")&amp;D354</f>
        <v>Accel_M3=5049</v>
      </c>
      <c r="S354" s="110">
        <v>20000</v>
      </c>
      <c r="T354" s="40" t="str">
        <f>C354&amp;IF(ISBLANK(S354),"","=")&amp;S354</f>
        <v>Accel_M3=20000</v>
      </c>
      <c r="U354" s="110">
        <v>1000</v>
      </c>
    </row>
    <row r="355" spans="1:25" s="30" customFormat="1" x14ac:dyDescent="0.3">
      <c r="A355">
        <v>354</v>
      </c>
      <c r="B355" t="s">
        <v>274</v>
      </c>
      <c r="C355" s="39" t="s">
        <v>373</v>
      </c>
      <c r="D355" s="39">
        <v>49</v>
      </c>
      <c r="E355" s="26"/>
      <c r="F355" s="26"/>
      <c r="G355" s="26"/>
      <c r="H355" s="46" t="str">
        <f>DEC2HEX(I355)</f>
        <v>6F</v>
      </c>
      <c r="I355" s="26">
        <v>111</v>
      </c>
      <c r="J355" s="27" t="str">
        <f>CHAR(I355)</f>
        <v>o</v>
      </c>
      <c r="K355" s="39"/>
      <c r="L355"/>
      <c r="M355" s="43"/>
      <c r="N355" s="51"/>
      <c r="O355" s="51"/>
      <c r="P355" s="51"/>
      <c r="Q355" s="40" t="str">
        <f>C355&amp;IF(ISBLANK(D355),"","=")&amp;D355</f>
        <v>SpeedPercentage_M3=49</v>
      </c>
      <c r="R355"/>
      <c r="S355" s="39">
        <v>100</v>
      </c>
      <c r="T355" s="40" t="str">
        <f>C355&amp;IF(ISBLANK(S355),"","=")&amp;S355</f>
        <v>SpeedPercentage_M3=100</v>
      </c>
      <c r="U355" s="39">
        <v>11</v>
      </c>
      <c r="V355" s="40" t="str">
        <f>C355&amp;IF(ISBLANK(U355),"","=")&amp;U355</f>
        <v>SpeedPercentage_M3=11</v>
      </c>
      <c r="W355"/>
      <c r="X355"/>
      <c r="Y355"/>
    </row>
    <row r="356" spans="1:25" x14ac:dyDescent="0.3">
      <c r="A356">
        <v>355</v>
      </c>
      <c r="B356" s="30"/>
      <c r="C356" s="45" t="s">
        <v>282</v>
      </c>
      <c r="D356" s="45"/>
      <c r="E356" s="30"/>
      <c r="F356" s="30"/>
      <c r="G356" s="30"/>
      <c r="H356" s="92"/>
      <c r="I356" s="30"/>
      <c r="J356" s="30"/>
      <c r="K356" s="45"/>
      <c r="L356" s="30"/>
      <c r="M356" s="72"/>
      <c r="N356" s="30"/>
      <c r="O356" s="30"/>
      <c r="P356" s="30"/>
      <c r="Q356" s="30" t="str">
        <f>C356&amp;IF(ISBLANK(D356),"","=")&amp;D356</f>
        <v>;M4 Axis</v>
      </c>
      <c r="R356" s="30"/>
      <c r="S356" s="45"/>
      <c r="T356" s="30" t="str">
        <f>C356&amp;IF(ISBLANK(S356),"","=")&amp;S356</f>
        <v>;M4 Axis</v>
      </c>
      <c r="U356" s="45"/>
      <c r="V356" s="30" t="str">
        <f>C356&amp;IF(ISBLANK(U356),"","=")&amp;U356</f>
        <v>;M4 Axis</v>
      </c>
      <c r="W356" s="30"/>
      <c r="X356" s="30"/>
      <c r="Y356" s="30"/>
    </row>
    <row r="357" spans="1:25" x14ac:dyDescent="0.3">
      <c r="A357">
        <v>356</v>
      </c>
      <c r="B357" t="s">
        <v>274</v>
      </c>
      <c r="C357" s="39" t="s">
        <v>374</v>
      </c>
      <c r="D357" s="39">
        <v>5048</v>
      </c>
      <c r="E357" s="26"/>
      <c r="F357" s="26"/>
      <c r="G357" s="26"/>
      <c r="H357" s="46" t="str">
        <f>DEC2HEX(I357)</f>
        <v>B9</v>
      </c>
      <c r="I357" s="27">
        <v>185</v>
      </c>
      <c r="J357" s="27" t="str">
        <f>CHAR(I357)</f>
        <v>¹</v>
      </c>
      <c r="Q357" s="40" t="str">
        <f>C357&amp;IF(ISBLANK(D357),"","=")&amp;D357</f>
        <v>MaxSpeed_M4=5048</v>
      </c>
      <c r="S357" s="39">
        <v>30000</v>
      </c>
      <c r="T357" s="40" t="str">
        <f>C357&amp;IF(ISBLANK(S357),"","=")&amp;S357</f>
        <v>MaxSpeed_M4=30000</v>
      </c>
      <c r="U357" s="39">
        <v>1000</v>
      </c>
      <c r="V357" s="40" t="str">
        <f>C357&amp;IF(ISBLANK(U357),"","=")&amp;U357</f>
        <v>MaxSpeed_M4=1000</v>
      </c>
    </row>
    <row r="358" spans="1:25" x14ac:dyDescent="0.3">
      <c r="A358">
        <v>357</v>
      </c>
      <c r="B358" t="s">
        <v>274</v>
      </c>
      <c r="C358" s="39" t="s">
        <v>375</v>
      </c>
      <c r="D358" s="39">
        <v>5049</v>
      </c>
      <c r="E358" s="26"/>
      <c r="F358" s="26"/>
      <c r="G358" s="26"/>
      <c r="H358" s="46" t="str">
        <f>DEC2HEX(I358)</f>
        <v>BA</v>
      </c>
      <c r="I358" s="27">
        <v>186</v>
      </c>
      <c r="J358" s="27" t="str">
        <f>CHAR(I358)</f>
        <v>º</v>
      </c>
      <c r="Q358" s="40" t="str">
        <f>C358&amp;IF(ISBLANK(D358),"","=")&amp;D358</f>
        <v>Accel_M4=5049</v>
      </c>
      <c r="S358" s="39">
        <v>20000</v>
      </c>
      <c r="T358" s="40" t="str">
        <f>C358&amp;IF(ISBLANK(S358),"","=")&amp;S358</f>
        <v>Accel_M4=20000</v>
      </c>
      <c r="U358" s="39">
        <v>1000</v>
      </c>
      <c r="V358" s="40" t="str">
        <f>C358&amp;IF(ISBLANK(U358),"","=")&amp;U358</f>
        <v>Accel_M4=1000</v>
      </c>
    </row>
    <row r="359" spans="1:25" s="76" customFormat="1" x14ac:dyDescent="0.3">
      <c r="A359">
        <v>358</v>
      </c>
      <c r="B359" t="s">
        <v>274</v>
      </c>
      <c r="C359" s="39" t="s">
        <v>376</v>
      </c>
      <c r="D359" s="39">
        <v>49</v>
      </c>
      <c r="E359" s="26"/>
      <c r="F359" s="26"/>
      <c r="G359" s="26"/>
      <c r="H359" s="46" t="str">
        <f>DEC2HEX(I359)</f>
        <v>6F</v>
      </c>
      <c r="I359" s="26">
        <v>111</v>
      </c>
      <c r="J359" s="27" t="str">
        <f>CHAR(I359)</f>
        <v>o</v>
      </c>
      <c r="K359" s="39"/>
      <c r="L359"/>
      <c r="M359" s="43"/>
      <c r="N359" s="51"/>
      <c r="O359" s="51"/>
      <c r="P359" s="51"/>
      <c r="Q359" s="40" t="str">
        <f>C359&amp;IF(ISBLANK(D359),"","=")&amp;D359</f>
        <v>SpeedPercentage_M4=49</v>
      </c>
      <c r="R359"/>
      <c r="S359" s="39">
        <v>100</v>
      </c>
      <c r="T359" s="40" t="str">
        <f>C359&amp;IF(ISBLANK(S359),"","=")&amp;S359</f>
        <v>SpeedPercentage_M4=100</v>
      </c>
      <c r="U359" s="39">
        <v>11</v>
      </c>
      <c r="V359" s="40" t="str">
        <f>C359&amp;IF(ISBLANK(U359),"","=")&amp;U359</f>
        <v>SpeedPercentage_M4=11</v>
      </c>
      <c r="W359"/>
      <c r="X359"/>
      <c r="Y359"/>
    </row>
    <row r="360" spans="1:25" s="76" customFormat="1" x14ac:dyDescent="0.3">
      <c r="A360">
        <v>359</v>
      </c>
      <c r="B360"/>
      <c r="C360" s="39" t="s">
        <v>229</v>
      </c>
      <c r="D360" s="39"/>
      <c r="E360" s="26"/>
      <c r="F360" s="26"/>
      <c r="G360" s="26"/>
      <c r="H360" s="38"/>
      <c r="I360"/>
      <c r="J360"/>
      <c r="K360" s="39"/>
      <c r="L360"/>
      <c r="M360" s="43"/>
      <c r="N360" s="51"/>
      <c r="O360" s="51"/>
      <c r="P360" s="51"/>
      <c r="Q360" s="40" t="str">
        <f>C360&amp;IF(ISBLANK(D360),"","=")&amp;D360</f>
        <v>;</v>
      </c>
      <c r="R360"/>
      <c r="S360" s="39"/>
      <c r="T360" s="40" t="str">
        <f>C360&amp;IF(ISBLANK(S360),"","=")&amp;S360</f>
        <v>;</v>
      </c>
      <c r="U360" s="39"/>
      <c r="V360"/>
      <c r="W360"/>
      <c r="X360"/>
      <c r="Y360" s="30"/>
    </row>
    <row r="361" spans="1:25" s="76" customFormat="1" x14ac:dyDescent="0.3">
      <c r="A361">
        <v>360</v>
      </c>
      <c r="C361" s="77" t="s">
        <v>306</v>
      </c>
      <c r="D361" s="77"/>
      <c r="H361" s="78"/>
      <c r="K361" s="77"/>
      <c r="M361" s="79"/>
      <c r="Q361" s="76" t="str">
        <f>C361&amp;IF(ISBLANK(D361),"","=")&amp;D361</f>
        <v>[Rose]</v>
      </c>
      <c r="S361" s="77"/>
      <c r="T361" s="76" t="str">
        <f>C361&amp;IF(ISBLANK(S361),"","=")&amp;S361</f>
        <v>[Rose]</v>
      </c>
      <c r="U361" s="77"/>
      <c r="V361"/>
      <c r="W361"/>
      <c r="X361"/>
      <c r="Y361"/>
    </row>
    <row r="362" spans="1:25" x14ac:dyDescent="0.3">
      <c r="A362">
        <v>361</v>
      </c>
      <c r="C362" s="39" t="s">
        <v>229</v>
      </c>
      <c r="E362" s="26"/>
      <c r="F362" s="26"/>
      <c r="G362" s="26"/>
      <c r="Q362" s="40" t="str">
        <f>C362&amp;IF(ISBLANK(D362),"","=")&amp;D362</f>
        <v>;</v>
      </c>
      <c r="T362" s="40" t="str">
        <f>C362&amp;IF(ISBLANK(S362),"","=")&amp;S362</f>
        <v>;</v>
      </c>
    </row>
    <row r="363" spans="1:25" x14ac:dyDescent="0.3">
      <c r="A363">
        <v>362</v>
      </c>
      <c r="B363" t="s">
        <v>233</v>
      </c>
      <c r="C363" s="39" t="s">
        <v>260</v>
      </c>
      <c r="D363" s="39">
        <v>1</v>
      </c>
      <c r="E363" s="26">
        <v>100</v>
      </c>
      <c r="F363" s="26">
        <v>103</v>
      </c>
      <c r="G363" s="26"/>
      <c r="H363" s="46" t="str">
        <f>DEC2HEX(I363)</f>
        <v>42</v>
      </c>
      <c r="I363" s="27">
        <v>66</v>
      </c>
      <c r="J363" s="27" t="str">
        <f>CHAR(I363)</f>
        <v>B</v>
      </c>
      <c r="K363" s="110"/>
      <c r="L363">
        <f>IF(ISBLANK(D363),IF(E363&gt;0,F363-E363+1,0),0)</f>
        <v>0</v>
      </c>
      <c r="M363" s="43">
        <f>IF(ISBLANK(D363),0,IF(G363=0,F363-E363+1,0))</f>
        <v>4</v>
      </c>
      <c r="Q363" s="40" t="str">
        <f>C363&amp;IF(ISBLANK(D363),"","=")&amp;D363</f>
        <v>AxisId=1</v>
      </c>
      <c r="S363" s="39">
        <v>1</v>
      </c>
      <c r="T363" s="40" t="str">
        <f>C363&amp;IF(ISBLANK(S363),"","=")&amp;S363</f>
        <v>AxisId=1</v>
      </c>
      <c r="U363" s="39">
        <v>3</v>
      </c>
      <c r="V363" s="40" t="str">
        <f>C363&amp;IF(ISBLANK(U363),"","=")&amp;U363</f>
        <v>AxisId=3</v>
      </c>
    </row>
    <row r="364" spans="1:25" x14ac:dyDescent="0.3">
      <c r="A364">
        <v>363</v>
      </c>
      <c r="B364" t="s">
        <v>233</v>
      </c>
      <c r="C364" s="39" t="s">
        <v>416</v>
      </c>
      <c r="D364" s="39">
        <v>9</v>
      </c>
      <c r="E364" s="26"/>
      <c r="F364" s="26"/>
      <c r="G364" s="26"/>
      <c r="H364" s="46" t="str">
        <f>DEC2HEX(I364)</f>
        <v>54</v>
      </c>
      <c r="I364" s="27">
        <v>84</v>
      </c>
      <c r="J364" s="27" t="str">
        <f>CHAR(I364)</f>
        <v>T</v>
      </c>
      <c r="Q364" s="40" t="str">
        <f>C364&amp;IF(ISBLANK(D364),"","=")&amp;D364</f>
        <v>Rose_n=9</v>
      </c>
      <c r="S364" s="39">
        <v>9</v>
      </c>
      <c r="T364" s="40" t="str">
        <f>C364&amp;IF(ISBLANK(S364),"","=")&amp;S364</f>
        <v>Rose_n=9</v>
      </c>
      <c r="U364" s="39">
        <v>33</v>
      </c>
      <c r="V364" s="40" t="str">
        <f>C364&amp;IF(ISBLANK(U364),"","=")&amp;U364</f>
        <v>Rose_n=33</v>
      </c>
      <c r="Y364" s="30"/>
    </row>
    <row r="365" spans="1:25" x14ac:dyDescent="0.3">
      <c r="A365">
        <v>364</v>
      </c>
      <c r="B365" t="s">
        <v>233</v>
      </c>
      <c r="C365" s="39" t="s">
        <v>417</v>
      </c>
      <c r="D365" s="39">
        <v>5</v>
      </c>
      <c r="E365" s="26"/>
      <c r="F365" s="26"/>
      <c r="G365" s="26"/>
      <c r="H365" s="46" t="str">
        <f>DEC2HEX(I365)</f>
        <v>59</v>
      </c>
      <c r="I365" s="27">
        <v>89</v>
      </c>
      <c r="J365" s="27" t="str">
        <f>CHAR(I365)</f>
        <v>Y</v>
      </c>
      <c r="Q365" s="40" t="str">
        <f>C365&amp;IF(ISBLANK(D365),"","=")&amp;D365</f>
        <v>Rose_d=5</v>
      </c>
      <c r="S365" s="39">
        <v>5</v>
      </c>
      <c r="T365" s="40" t="str">
        <f>C365&amp;IF(ISBLANK(S365),"","=")&amp;S365</f>
        <v>Rose_d=5</v>
      </c>
      <c r="U365" s="39">
        <v>11</v>
      </c>
      <c r="V365" s="40" t="str">
        <f>C365&amp;IF(ISBLANK(U365),"","=")&amp;U365</f>
        <v>Rose_d=11</v>
      </c>
    </row>
    <row r="366" spans="1:25" x14ac:dyDescent="0.3">
      <c r="A366">
        <v>365</v>
      </c>
      <c r="B366" s="30"/>
      <c r="C366" s="45" t="s">
        <v>288</v>
      </c>
      <c r="D366" s="45"/>
      <c r="E366" s="30"/>
      <c r="F366" s="30"/>
      <c r="G366" s="30"/>
      <c r="H366" s="92"/>
      <c r="I366" s="30"/>
      <c r="J366" s="30"/>
      <c r="K366" s="45"/>
      <c r="L366" s="30"/>
      <c r="M366" s="72"/>
      <c r="N366" s="30"/>
      <c r="O366" s="30"/>
      <c r="P366" s="30"/>
      <c r="Q366" s="30" t="str">
        <f>C366&amp;IF(ISBLANK(D366),"","=")&amp;D366</f>
        <v>;Spindle</v>
      </c>
      <c r="R366" s="30"/>
      <c r="S366" s="45"/>
      <c r="T366" s="30" t="str">
        <f>C366&amp;IF(ISBLANK(S366),"","=")&amp;S366</f>
        <v>;Spindle</v>
      </c>
      <c r="U366" s="45"/>
      <c r="V366" s="30" t="str">
        <f>C366&amp;IF(ISBLANK(U366),"","=")&amp;U366</f>
        <v>;Spindle</v>
      </c>
      <c r="W366" s="30"/>
      <c r="X366" s="30"/>
    </row>
    <row r="367" spans="1:25" x14ac:dyDescent="0.3">
      <c r="A367">
        <v>366</v>
      </c>
      <c r="B367" t="s">
        <v>233</v>
      </c>
      <c r="C367" s="39" t="s">
        <v>348</v>
      </c>
      <c r="D367" s="39">
        <v>5687</v>
      </c>
      <c r="E367" s="26"/>
      <c r="F367" s="26"/>
      <c r="G367" s="26"/>
      <c r="H367" s="46" t="str">
        <f>DEC2HEX(I367)</f>
        <v>3A</v>
      </c>
      <c r="I367" s="27">
        <v>58</v>
      </c>
      <c r="J367" s="27" t="str">
        <f>CHAR(I367)</f>
        <v>:</v>
      </c>
      <c r="Q367" s="40" t="str">
        <f>C367&amp;IF(ISBLANK(D367),"","=")&amp;D367</f>
        <v>MaxSpeed_Spindle=5687</v>
      </c>
      <c r="S367" s="39">
        <v>5000</v>
      </c>
      <c r="T367" s="40" t="str">
        <f>C367&amp;IF(ISBLANK(S367),"","=")&amp;S367</f>
        <v>MaxSpeed_Spindle=5000</v>
      </c>
      <c r="U367" s="39">
        <v>1000</v>
      </c>
      <c r="V367" s="40" t="str">
        <f>C367&amp;IF(ISBLANK(U367),"","=")&amp;U367</f>
        <v>MaxSpeed_Spindle=1000</v>
      </c>
    </row>
    <row r="368" spans="1:25" x14ac:dyDescent="0.3">
      <c r="A368">
        <v>367</v>
      </c>
      <c r="B368" t="s">
        <v>233</v>
      </c>
      <c r="C368" s="39" t="s">
        <v>349</v>
      </c>
      <c r="D368" s="39">
        <v>6547</v>
      </c>
      <c r="E368" s="26"/>
      <c r="F368" s="26"/>
      <c r="G368" s="26"/>
      <c r="H368" s="46" t="str">
        <f>DEC2HEX(I368)</f>
        <v>3B</v>
      </c>
      <c r="I368" s="27">
        <v>59</v>
      </c>
      <c r="J368" s="27" t="str">
        <f>CHAR(I368)</f>
        <v>;</v>
      </c>
      <c r="Q368" s="40" t="str">
        <f>C368&amp;IF(ISBLANK(D368),"","=")&amp;D368</f>
        <v>Accel_Spindle=6547</v>
      </c>
      <c r="S368" s="39">
        <v>20000</v>
      </c>
      <c r="T368" s="40" t="str">
        <f>C368&amp;IF(ISBLANK(S368),"","=")&amp;S368</f>
        <v>Accel_Spindle=20000</v>
      </c>
      <c r="U368" s="39">
        <v>1000</v>
      </c>
      <c r="V368" s="40" t="str">
        <f>C368&amp;IF(ISBLANK(U368),"","=")&amp;U368</f>
        <v>Accel_Spindle=1000</v>
      </c>
      <c r="Y368" s="30"/>
    </row>
    <row r="369" spans="1:25" s="76" customFormat="1" x14ac:dyDescent="0.3">
      <c r="A369">
        <v>368</v>
      </c>
      <c r="B369" t="s">
        <v>233</v>
      </c>
      <c r="C369" s="39" t="s">
        <v>358</v>
      </c>
      <c r="D369" s="39">
        <v>82</v>
      </c>
      <c r="E369" s="26"/>
      <c r="F369" s="26"/>
      <c r="G369" s="26"/>
      <c r="H369" s="46" t="str">
        <f>DEC2HEX(I369)</f>
        <v>6E</v>
      </c>
      <c r="I369" s="27">
        <v>110</v>
      </c>
      <c r="J369" s="27" t="str">
        <f>CHAR(I369)</f>
        <v>n</v>
      </c>
      <c r="K369" s="39"/>
      <c r="L369"/>
      <c r="M369" s="43"/>
      <c r="N369" s="51"/>
      <c r="O369" s="51"/>
      <c r="P369" s="51"/>
      <c r="Q369" s="40" t="str">
        <f>C369&amp;IF(ISBLANK(D369),"","=")&amp;D369</f>
        <v>SpeedPercentage_Spindle=82</v>
      </c>
      <c r="R369"/>
      <c r="S369" s="39">
        <v>100</v>
      </c>
      <c r="T369" s="40" t="str">
        <f>C369&amp;IF(ISBLANK(S369),"","=")&amp;S369</f>
        <v>SpeedPercentage_Spindle=100</v>
      </c>
      <c r="U369" s="39">
        <v>11</v>
      </c>
      <c r="V369" s="40" t="str">
        <f>C369&amp;IF(ISBLANK(U369),"","=")&amp;U369</f>
        <v>SpeedPercentage_Spindle=11</v>
      </c>
      <c r="W369"/>
      <c r="X369"/>
      <c r="Y369"/>
    </row>
    <row r="370" spans="1:25" x14ac:dyDescent="0.3">
      <c r="A370">
        <v>369</v>
      </c>
      <c r="B370" t="s">
        <v>233</v>
      </c>
      <c r="C370" s="39" t="s">
        <v>418</v>
      </c>
      <c r="D370" s="39">
        <v>3.125</v>
      </c>
      <c r="E370" s="26"/>
      <c r="F370" s="26"/>
      <c r="G370" s="26"/>
      <c r="H370" s="46" t="str">
        <f>DEC2HEX(I370)</f>
        <v>61</v>
      </c>
      <c r="I370" s="27">
        <v>97</v>
      </c>
      <c r="J370" s="27" t="str">
        <f>CHAR(I370)</f>
        <v>a</v>
      </c>
      <c r="Q370" s="40" t="str">
        <f>C370&amp;IF(ISBLANK(D370),"","=")&amp;D370</f>
        <v>SpindleRevolutions=3.125</v>
      </c>
      <c r="S370" s="39">
        <v>0</v>
      </c>
      <c r="T370" s="40" t="str">
        <f>C370&amp;IF(ISBLANK(S370),"","=")&amp;S370</f>
        <v>SpindleRevolutions=0</v>
      </c>
      <c r="U370" s="39">
        <v>11</v>
      </c>
      <c r="V370" s="40" t="str">
        <f>C370&amp;IF(ISBLANK(U370),"","=")&amp;U370</f>
        <v>SpindleRevolutions=11</v>
      </c>
    </row>
    <row r="371" spans="1:25" s="30" customFormat="1" x14ac:dyDescent="0.3">
      <c r="A371">
        <v>370</v>
      </c>
      <c r="C371" s="45" t="s">
        <v>278</v>
      </c>
      <c r="D371" s="45"/>
      <c r="H371" s="92"/>
      <c r="K371" s="45"/>
      <c r="M371" s="72"/>
      <c r="Q371" s="30" t="str">
        <f>C371&amp;IF(ISBLANK(D371),"","=")&amp;D371</f>
        <v>;Z Axis</v>
      </c>
      <c r="S371" s="45"/>
      <c r="T371" s="30" t="str">
        <f>C371&amp;IF(ISBLANK(S371),"","=")&amp;S371</f>
        <v>;Z Axis</v>
      </c>
      <c r="U371" s="45"/>
      <c r="V371" s="30" t="str">
        <f>C371&amp;IF(ISBLANK(U371),"","=")&amp;U371</f>
        <v>;Z Axis</v>
      </c>
      <c r="Y371"/>
    </row>
    <row r="372" spans="1:25" x14ac:dyDescent="0.3">
      <c r="A372">
        <v>371</v>
      </c>
      <c r="B372" t="s">
        <v>233</v>
      </c>
      <c r="C372" s="39" t="s">
        <v>359</v>
      </c>
      <c r="D372" s="39">
        <v>5698</v>
      </c>
      <c r="E372" s="27"/>
      <c r="F372" s="27"/>
      <c r="G372" s="26"/>
      <c r="H372" s="46" t="str">
        <f>DEC2HEX(I372)</f>
        <v>B9</v>
      </c>
      <c r="I372" s="27">
        <v>185</v>
      </c>
      <c r="J372" s="27" t="str">
        <f>CHAR(I372)</f>
        <v>¹</v>
      </c>
      <c r="Q372" s="40" t="str">
        <f>C372&amp;IF(ISBLANK(D372),"","=")&amp;D372</f>
        <v>MaxSpeed_Z=5698</v>
      </c>
      <c r="R372" s="110"/>
      <c r="S372" s="39">
        <v>5000</v>
      </c>
      <c r="T372" s="40" t="str">
        <f>C372&amp;IF(ISBLANK(S372),"","=")&amp;S372</f>
        <v>MaxSpeed_Z=5000</v>
      </c>
      <c r="U372" s="39">
        <v>1000</v>
      </c>
      <c r="Y372" s="30"/>
    </row>
    <row r="373" spans="1:25" x14ac:dyDescent="0.3">
      <c r="A373">
        <v>372</v>
      </c>
      <c r="B373" t="s">
        <v>233</v>
      </c>
      <c r="C373" s="39" t="s">
        <v>360</v>
      </c>
      <c r="D373" s="39">
        <v>4569</v>
      </c>
      <c r="E373" s="26"/>
      <c r="F373" s="26"/>
      <c r="G373" s="26"/>
      <c r="H373" s="46" t="str">
        <f>DEC2HEX(I373)</f>
        <v>BA</v>
      </c>
      <c r="I373" s="27">
        <v>186</v>
      </c>
      <c r="J373" s="27" t="str">
        <f>CHAR(I373)</f>
        <v>º</v>
      </c>
      <c r="Q373" s="40" t="str">
        <f>C373&amp;IF(ISBLANK(D373),"","=")&amp;D373</f>
        <v>Accel_Z=4569</v>
      </c>
      <c r="S373" s="39">
        <v>20000</v>
      </c>
      <c r="T373" s="40" t="str">
        <f>C373&amp;IF(ISBLANK(S373),"","=")&amp;S373</f>
        <v>Accel_Z=20000</v>
      </c>
      <c r="U373" s="39">
        <v>1000</v>
      </c>
      <c r="V373" s="40" t="str">
        <f>C373&amp;IF(ISBLANK(U373),"","=")&amp;U373</f>
        <v>Accel_Z=1000</v>
      </c>
    </row>
    <row r="374" spans="1:25" x14ac:dyDescent="0.3">
      <c r="A374">
        <v>373</v>
      </c>
      <c r="B374" t="s">
        <v>233</v>
      </c>
      <c r="C374" s="39" t="s">
        <v>361</v>
      </c>
      <c r="D374" s="39">
        <v>84</v>
      </c>
      <c r="E374" s="26"/>
      <c r="F374" s="26"/>
      <c r="G374" s="26"/>
      <c r="H374" s="46" t="str">
        <f>DEC2HEX(I374)</f>
        <v>6F</v>
      </c>
      <c r="I374" s="26">
        <v>111</v>
      </c>
      <c r="J374" s="27" t="str">
        <f>CHAR(I374)</f>
        <v>o</v>
      </c>
      <c r="Q374" s="40" t="str">
        <f>C374&amp;IF(ISBLANK(D374),"","=")&amp;D374</f>
        <v>SpeedPercentage_Z=84</v>
      </c>
      <c r="S374" s="39">
        <v>100</v>
      </c>
      <c r="T374" s="40" t="str">
        <f>C374&amp;IF(ISBLANK(S374),"","=")&amp;S374</f>
        <v>SpeedPercentage_Z=100</v>
      </c>
      <c r="U374" s="39">
        <v>11</v>
      </c>
      <c r="V374" s="40" t="str">
        <f>C374&amp;IF(ISBLANK(U374),"","=")&amp;U374</f>
        <v>SpeedPercentage_Z=11</v>
      </c>
    </row>
    <row r="375" spans="1:25" x14ac:dyDescent="0.3">
      <c r="A375">
        <v>374</v>
      </c>
      <c r="B375" t="s">
        <v>233</v>
      </c>
      <c r="C375" s="39" t="s">
        <v>420</v>
      </c>
      <c r="D375" s="39">
        <v>2.6869999999999998</v>
      </c>
      <c r="E375" s="26"/>
      <c r="F375" s="26"/>
      <c r="G375" s="26"/>
      <c r="H375" s="46" t="str">
        <f>DEC2HEX(I375)</f>
        <v>E3</v>
      </c>
      <c r="I375" s="27">
        <v>227</v>
      </c>
      <c r="J375" s="27" t="str">
        <f>CHAR(I375)</f>
        <v>ã</v>
      </c>
      <c r="Q375" s="40" t="str">
        <f>C375&amp;IF(ISBLANK(D375),"","=")&amp;D375</f>
        <v>AxialAmplitude_Z=2.687</v>
      </c>
      <c r="S375" s="39">
        <v>0.5</v>
      </c>
      <c r="T375" s="40" t="str">
        <f>C375&amp;IF(ISBLANK(S375),"","=")&amp;S375</f>
        <v>AxialAmplitude_Z=0.5</v>
      </c>
      <c r="U375" s="39">
        <v>11</v>
      </c>
    </row>
    <row r="376" spans="1:25" x14ac:dyDescent="0.3">
      <c r="A376">
        <v>375</v>
      </c>
      <c r="B376" s="30"/>
      <c r="C376" s="45" t="s">
        <v>279</v>
      </c>
      <c r="D376" s="45"/>
      <c r="E376" s="30"/>
      <c r="F376" s="30"/>
      <c r="G376" s="30"/>
      <c r="H376" s="92"/>
      <c r="I376" s="30"/>
      <c r="J376" s="30"/>
      <c r="K376" s="45"/>
      <c r="L376" s="30"/>
      <c r="M376" s="72"/>
      <c r="N376" s="30"/>
      <c r="O376" s="30"/>
      <c r="P376" s="30"/>
      <c r="Q376" s="30" t="str">
        <f>C376&amp;IF(ISBLANK(D376),"","=")&amp;D376</f>
        <v>;X Axis</v>
      </c>
      <c r="R376" s="30"/>
      <c r="S376" s="45"/>
      <c r="T376" s="30" t="str">
        <f>C376&amp;IF(ISBLANK(S376),"","=")&amp;S376</f>
        <v>;X Axis</v>
      </c>
      <c r="U376" s="45"/>
      <c r="V376" s="30"/>
      <c r="W376" s="30"/>
      <c r="X376" s="30"/>
    </row>
    <row r="377" spans="1:25" x14ac:dyDescent="0.3">
      <c r="A377">
        <v>376</v>
      </c>
      <c r="B377" t="s">
        <v>233</v>
      </c>
      <c r="C377" s="39" t="s">
        <v>362</v>
      </c>
      <c r="D377" s="39">
        <v>657</v>
      </c>
      <c r="E377" s="26"/>
      <c r="F377" s="27"/>
      <c r="G377" s="26"/>
      <c r="H377" s="46" t="str">
        <f>DEC2HEX(I377)</f>
        <v>B9</v>
      </c>
      <c r="I377" s="27">
        <v>185</v>
      </c>
      <c r="J377" s="27" t="str">
        <f>CHAR(I377)</f>
        <v>¹</v>
      </c>
      <c r="Q377" s="40" t="str">
        <f>C377&amp;IF(ISBLANK(D377),"","=")&amp;D377</f>
        <v>MaxSpeed_X=657</v>
      </c>
      <c r="S377" s="39">
        <v>5000</v>
      </c>
      <c r="T377" s="40" t="str">
        <f>C377&amp;IF(ISBLANK(S377),"","=")&amp;S377</f>
        <v>MaxSpeed_X=5000</v>
      </c>
      <c r="U377" s="39">
        <v>1000</v>
      </c>
      <c r="V377" s="40" t="str">
        <f>C377&amp;IF(ISBLANK(U377),"","=")&amp;U377</f>
        <v>MaxSpeed_X=1000</v>
      </c>
    </row>
    <row r="378" spans="1:25" x14ac:dyDescent="0.3">
      <c r="A378">
        <v>377</v>
      </c>
      <c r="B378" t="s">
        <v>233</v>
      </c>
      <c r="C378" s="39" t="s">
        <v>363</v>
      </c>
      <c r="D378" s="39">
        <v>5214</v>
      </c>
      <c r="E378" s="26"/>
      <c r="F378" s="26"/>
      <c r="G378" s="26"/>
      <c r="H378" s="46" t="str">
        <f>DEC2HEX(I378)</f>
        <v>BA</v>
      </c>
      <c r="I378" s="27">
        <v>186</v>
      </c>
      <c r="J378" s="27" t="str">
        <f>CHAR(I378)</f>
        <v>º</v>
      </c>
      <c r="Q378" s="40" t="str">
        <f>C378&amp;IF(ISBLANK(D378),"","=")&amp;D378</f>
        <v>Accel_X=5214</v>
      </c>
      <c r="S378" s="39">
        <v>20000</v>
      </c>
      <c r="T378" s="40" t="str">
        <f>C378&amp;IF(ISBLANK(S378),"","=")&amp;S378</f>
        <v>Accel_X=20000</v>
      </c>
      <c r="U378" s="39">
        <v>1000</v>
      </c>
      <c r="V378" s="40" t="str">
        <f>C378&amp;IF(ISBLANK(U378),"","=")&amp;U378</f>
        <v>Accel_X=1000</v>
      </c>
    </row>
    <row r="379" spans="1:25" x14ac:dyDescent="0.3">
      <c r="A379">
        <v>378</v>
      </c>
      <c r="B379" t="s">
        <v>233</v>
      </c>
      <c r="C379" s="39" t="s">
        <v>364</v>
      </c>
      <c r="D379" s="39">
        <v>83</v>
      </c>
      <c r="E379" s="26"/>
      <c r="F379" s="26"/>
      <c r="G379" s="26"/>
      <c r="H379" s="46" t="str">
        <f>DEC2HEX(I379)</f>
        <v>6F</v>
      </c>
      <c r="I379" s="26">
        <v>111</v>
      </c>
      <c r="J379" s="27" t="str">
        <f>CHAR(I379)</f>
        <v>o</v>
      </c>
      <c r="Q379" s="40" t="str">
        <f>C379&amp;IF(ISBLANK(D379),"","=")&amp;D379</f>
        <v>SpeedPercentage_X=83</v>
      </c>
      <c r="S379" s="39">
        <v>100</v>
      </c>
      <c r="T379" s="40" t="str">
        <f>C379&amp;IF(ISBLANK(S379),"","=")&amp;S379</f>
        <v>SpeedPercentage_X=100</v>
      </c>
      <c r="U379" s="39">
        <v>11</v>
      </c>
      <c r="V379" s="40" t="str">
        <f>C379&amp;IF(ISBLANK(U379),"","=")&amp;U379</f>
        <v>SpeedPercentage_X=11</v>
      </c>
    </row>
    <row r="380" spans="1:25" x14ac:dyDescent="0.3">
      <c r="A380">
        <v>379</v>
      </c>
      <c r="B380" t="s">
        <v>233</v>
      </c>
      <c r="C380" s="39" t="s">
        <v>422</v>
      </c>
      <c r="D380" s="39">
        <v>2.5</v>
      </c>
      <c r="E380" s="26"/>
      <c r="F380" s="26"/>
      <c r="G380" s="26"/>
      <c r="H380" s="46" t="str">
        <f>DEC2HEX(I380)</f>
        <v>E3</v>
      </c>
      <c r="I380" s="27">
        <v>227</v>
      </c>
      <c r="J380" s="27" t="str">
        <f>CHAR(I380)</f>
        <v>ã</v>
      </c>
      <c r="Q380" s="40" t="str">
        <f>C380&amp;IF(ISBLANK(D380),"","=")&amp;D380</f>
        <v>AxialAmplitude_X=2.5</v>
      </c>
      <c r="R380" s="110"/>
      <c r="S380" s="39">
        <v>0.5</v>
      </c>
      <c r="T380" s="40" t="str">
        <f>C380&amp;IF(ISBLANK(S380),"","=")&amp;S380</f>
        <v>AxialAmplitude_X=0.5</v>
      </c>
      <c r="U380" s="39">
        <v>11</v>
      </c>
      <c r="V380" s="40" t="str">
        <f>C380&amp;IF(ISBLANK(U380),"","=")&amp;U380</f>
        <v>AxialAmplitude_X=11</v>
      </c>
    </row>
    <row r="381" spans="1:25" x14ac:dyDescent="0.3">
      <c r="A381">
        <v>380</v>
      </c>
      <c r="B381" s="30"/>
      <c r="C381" s="45" t="s">
        <v>281</v>
      </c>
      <c r="D381" s="45"/>
      <c r="E381" s="30"/>
      <c r="F381" s="30"/>
      <c r="G381" s="30"/>
      <c r="H381" s="92"/>
      <c r="I381" s="30"/>
      <c r="J381" s="30"/>
      <c r="K381" s="45"/>
      <c r="L381" s="30"/>
      <c r="M381" s="72"/>
      <c r="N381" s="30"/>
      <c r="O381" s="30"/>
      <c r="P381" s="30"/>
      <c r="Q381" s="30" t="str">
        <f>C381&amp;IF(ISBLANK(D381),"","=")&amp;D381</f>
        <v>;M3 Axis</v>
      </c>
      <c r="R381" s="30"/>
      <c r="S381" s="45"/>
      <c r="T381" s="30" t="str">
        <f>C381&amp;IF(ISBLANK(S381),"","=")&amp;S381</f>
        <v>;M3 Axis</v>
      </c>
      <c r="U381" s="45"/>
      <c r="V381" s="30" t="str">
        <f>C381&amp;IF(ISBLANK(U381),"","=")&amp;U381</f>
        <v>;M3 Axis</v>
      </c>
      <c r="W381" s="30"/>
      <c r="X381" s="30"/>
    </row>
    <row r="382" spans="1:25" x14ac:dyDescent="0.3">
      <c r="A382">
        <v>381</v>
      </c>
      <c r="B382" t="s">
        <v>233</v>
      </c>
      <c r="C382" s="39" t="s">
        <v>371</v>
      </c>
      <c r="D382" s="39">
        <v>4785</v>
      </c>
      <c r="E382" s="26"/>
      <c r="F382" s="26"/>
      <c r="G382" s="26"/>
      <c r="H382" s="46" t="str">
        <f>DEC2HEX(I382)</f>
        <v>B9</v>
      </c>
      <c r="I382" s="27">
        <v>185</v>
      </c>
      <c r="J382" s="27" t="str">
        <f>CHAR(I382)</f>
        <v>¹</v>
      </c>
      <c r="Q382" s="40" t="str">
        <f>C382&amp;IF(ISBLANK(D382),"","=")&amp;D382</f>
        <v>MaxSpeed_M3=4785</v>
      </c>
      <c r="R382" s="110"/>
      <c r="S382" s="39">
        <v>5000</v>
      </c>
      <c r="T382" s="40" t="str">
        <f>C382&amp;IF(ISBLANK(S382),"","=")&amp;S382</f>
        <v>MaxSpeed_M3=5000</v>
      </c>
      <c r="U382" s="39">
        <v>11</v>
      </c>
      <c r="V382" s="40" t="str">
        <f>C382&amp;IF(ISBLANK(U382),"","=")&amp;U382</f>
        <v>MaxSpeed_M3=11</v>
      </c>
      <c r="Y382" s="30"/>
    </row>
    <row r="383" spans="1:25" x14ac:dyDescent="0.3">
      <c r="A383">
        <v>382</v>
      </c>
      <c r="B383" t="s">
        <v>233</v>
      </c>
      <c r="C383" s="39" t="s">
        <v>372</v>
      </c>
      <c r="D383" s="39">
        <v>5123</v>
      </c>
      <c r="E383" s="26"/>
      <c r="F383" s="26"/>
      <c r="G383" s="26"/>
      <c r="H383" s="46" t="str">
        <f>DEC2HEX(I383)</f>
        <v>BA</v>
      </c>
      <c r="I383" s="27">
        <v>186</v>
      </c>
      <c r="J383" s="27" t="str">
        <f>CHAR(I383)</f>
        <v>º</v>
      </c>
      <c r="Q383" s="40" t="str">
        <f>C383&amp;IF(ISBLANK(D383),"","=")&amp;D383</f>
        <v>Accel_M3=5123</v>
      </c>
      <c r="R383" s="110"/>
      <c r="S383" s="39">
        <v>20000</v>
      </c>
      <c r="T383" s="40" t="str">
        <f>C383&amp;IF(ISBLANK(S383),"","=")&amp;S383</f>
        <v>Accel_M3=20000</v>
      </c>
      <c r="U383" s="39">
        <v>11</v>
      </c>
      <c r="V383" s="40" t="str">
        <f>C383&amp;IF(ISBLANK(U383),"","=")&amp;U383</f>
        <v>Accel_M3=11</v>
      </c>
    </row>
    <row r="384" spans="1:25" x14ac:dyDescent="0.3">
      <c r="A384">
        <v>383</v>
      </c>
      <c r="B384" t="s">
        <v>233</v>
      </c>
      <c r="C384" s="39" t="s">
        <v>373</v>
      </c>
      <c r="D384" s="39">
        <v>80</v>
      </c>
      <c r="E384" s="26"/>
      <c r="F384" s="26"/>
      <c r="G384" s="26"/>
      <c r="H384" s="46" t="str">
        <f>DEC2HEX(I384)</f>
        <v>6F</v>
      </c>
      <c r="I384" s="26">
        <v>111</v>
      </c>
      <c r="J384" s="27" t="str">
        <f>CHAR(I384)</f>
        <v>o</v>
      </c>
      <c r="Q384" s="40" t="str">
        <f>C384&amp;IF(ISBLANK(D384),"","=")&amp;D384</f>
        <v>SpeedPercentage_M3=80</v>
      </c>
      <c r="S384" s="39">
        <v>100</v>
      </c>
      <c r="T384" s="40" t="str">
        <f>C384&amp;IF(ISBLANK(S384),"","=")&amp;S384</f>
        <v>SpeedPercentage_M3=100</v>
      </c>
      <c r="U384" s="39">
        <v>11</v>
      </c>
      <c r="V384" s="40" t="str">
        <f>C384&amp;IF(ISBLANK(U384),"","=")&amp;U384</f>
        <v>SpeedPercentage_M3=11</v>
      </c>
    </row>
    <row r="385" spans="1:25" x14ac:dyDescent="0.3">
      <c r="A385">
        <v>384</v>
      </c>
      <c r="B385" t="s">
        <v>233</v>
      </c>
      <c r="C385" s="39" t="s">
        <v>424</v>
      </c>
      <c r="D385" s="39">
        <v>3.5</v>
      </c>
      <c r="E385" s="26"/>
      <c r="F385" s="26"/>
      <c r="G385" s="26"/>
      <c r="H385" s="46" t="str">
        <f>DEC2HEX(I385)</f>
        <v>E3</v>
      </c>
      <c r="I385" s="27">
        <v>227</v>
      </c>
      <c r="J385" s="27" t="str">
        <f>CHAR(I385)</f>
        <v>ã</v>
      </c>
      <c r="Q385" s="40" t="str">
        <f>C385&amp;IF(ISBLANK(D385),"","=")&amp;D385</f>
        <v>AxialAmplitude_M3=3.5</v>
      </c>
      <c r="R385" s="110"/>
      <c r="S385" s="39">
        <v>0.5</v>
      </c>
      <c r="T385" s="40" t="str">
        <f>C385&amp;IF(ISBLANK(S385),"","=")&amp;S385</f>
        <v>AxialAmplitude_M3=0.5</v>
      </c>
      <c r="U385" s="39">
        <v>11</v>
      </c>
      <c r="V385" s="40" t="str">
        <f>C385&amp;IF(ISBLANK(U385),"","=")&amp;U385</f>
        <v>AxialAmplitude_M3=11</v>
      </c>
    </row>
    <row r="386" spans="1:25" x14ac:dyDescent="0.3">
      <c r="A386">
        <v>385</v>
      </c>
      <c r="B386" s="30"/>
      <c r="C386" s="45" t="s">
        <v>282</v>
      </c>
      <c r="D386" s="45"/>
      <c r="E386" s="30"/>
      <c r="F386" s="30"/>
      <c r="G386" s="30"/>
      <c r="H386" s="92"/>
      <c r="I386" s="30"/>
      <c r="J386" s="30"/>
      <c r="K386" s="45"/>
      <c r="L386" s="30"/>
      <c r="M386" s="72"/>
      <c r="N386" s="30"/>
      <c r="O386" s="30"/>
      <c r="P386" s="30"/>
      <c r="Q386" s="30" t="str">
        <f>C386&amp;IF(ISBLANK(D386),"","=")&amp;D386</f>
        <v>;M4 Axis</v>
      </c>
      <c r="R386" s="30"/>
      <c r="S386" s="45"/>
      <c r="T386" s="30" t="str">
        <f>C386&amp;IF(ISBLANK(S386),"","=")&amp;S386</f>
        <v>;M4 Axis</v>
      </c>
      <c r="U386" s="45"/>
      <c r="V386" s="30"/>
      <c r="W386" s="30"/>
      <c r="X386" s="30"/>
    </row>
    <row r="387" spans="1:25" x14ac:dyDescent="0.3">
      <c r="A387">
        <v>386</v>
      </c>
      <c r="B387" t="s">
        <v>233</v>
      </c>
      <c r="C387" s="39" t="s">
        <v>374</v>
      </c>
      <c r="D387" s="39">
        <v>1100</v>
      </c>
      <c r="E387" s="26"/>
      <c r="F387" s="26"/>
      <c r="G387" s="26"/>
      <c r="H387" s="46" t="str">
        <f>DEC2HEX(I387)</f>
        <v>B9</v>
      </c>
      <c r="I387" s="27">
        <v>185</v>
      </c>
      <c r="J387" s="27" t="str">
        <f>CHAR(I387)</f>
        <v>¹</v>
      </c>
      <c r="Q387" s="40" t="str">
        <f>C387&amp;IF(ISBLANK(D387),"","=")&amp;D387</f>
        <v>MaxSpeed_M4=1100</v>
      </c>
      <c r="R387" s="110"/>
      <c r="S387" s="39">
        <v>5000</v>
      </c>
      <c r="T387" s="40" t="str">
        <f>C387&amp;IF(ISBLANK(S387),"","=")&amp;S387</f>
        <v>MaxSpeed_M4=5000</v>
      </c>
      <c r="U387" s="39">
        <v>11</v>
      </c>
      <c r="Y387" s="30"/>
    </row>
    <row r="388" spans="1:25" s="30" customFormat="1" x14ac:dyDescent="0.3">
      <c r="A388">
        <v>387</v>
      </c>
      <c r="B388" t="s">
        <v>233</v>
      </c>
      <c r="C388" s="39" t="s">
        <v>375</v>
      </c>
      <c r="D388" s="39">
        <v>5000</v>
      </c>
      <c r="E388" s="26"/>
      <c r="F388" s="26"/>
      <c r="G388" s="26"/>
      <c r="H388" s="46" t="str">
        <f>DEC2HEX(I388)</f>
        <v>BA</v>
      </c>
      <c r="I388" s="27">
        <v>186</v>
      </c>
      <c r="J388" s="27" t="str">
        <f>CHAR(I388)</f>
        <v>º</v>
      </c>
      <c r="K388" s="39"/>
      <c r="L388"/>
      <c r="M388" s="43"/>
      <c r="N388" s="51"/>
      <c r="O388" s="51"/>
      <c r="P388" s="51"/>
      <c r="Q388" s="40" t="str">
        <f>C388&amp;IF(ISBLANK(D388),"","=")&amp;D388</f>
        <v>Accel_M4=5000</v>
      </c>
      <c r="R388" s="110"/>
      <c r="S388" s="39">
        <v>20000</v>
      </c>
      <c r="T388" s="40" t="str">
        <f>C388&amp;IF(ISBLANK(S388),"","=")&amp;S388</f>
        <v>Accel_M4=20000</v>
      </c>
      <c r="U388" s="39">
        <v>11</v>
      </c>
      <c r="V388"/>
      <c r="W388"/>
      <c r="X388"/>
      <c r="Y388"/>
    </row>
    <row r="389" spans="1:25" x14ac:dyDescent="0.3">
      <c r="A389">
        <v>388</v>
      </c>
      <c r="B389" t="s">
        <v>233</v>
      </c>
      <c r="C389" s="39" t="s">
        <v>376</v>
      </c>
      <c r="D389" s="39">
        <v>81</v>
      </c>
      <c r="E389" s="26"/>
      <c r="F389" s="26"/>
      <c r="G389" s="26"/>
      <c r="H389" s="46" t="str">
        <f>DEC2HEX(I389)</f>
        <v>6F</v>
      </c>
      <c r="I389" s="26">
        <v>111</v>
      </c>
      <c r="J389" s="27" t="str">
        <f>CHAR(I389)</f>
        <v>o</v>
      </c>
      <c r="Q389" s="40" t="str">
        <f>C389&amp;IF(ISBLANK(D389),"","=")&amp;D389</f>
        <v>SpeedPercentage_M4=81</v>
      </c>
      <c r="S389" s="39">
        <v>100</v>
      </c>
      <c r="T389" s="40" t="str">
        <f>C389&amp;IF(ISBLANK(S389),"","=")&amp;S389</f>
        <v>SpeedPercentage_M4=100</v>
      </c>
      <c r="U389" s="39">
        <v>11</v>
      </c>
    </row>
    <row r="390" spans="1:25" x14ac:dyDescent="0.3">
      <c r="A390">
        <v>389</v>
      </c>
      <c r="B390" t="s">
        <v>233</v>
      </c>
      <c r="C390" s="39" t="s">
        <v>426</v>
      </c>
      <c r="D390" s="39">
        <v>3.5680000000000001</v>
      </c>
      <c r="E390" s="26"/>
      <c r="F390" s="26"/>
      <c r="G390" s="26"/>
      <c r="H390" s="46" t="str">
        <f>DEC2HEX(I390)</f>
        <v>E3</v>
      </c>
      <c r="I390" s="27">
        <v>227</v>
      </c>
      <c r="J390" s="27" t="str">
        <f>CHAR(I390)</f>
        <v>ã</v>
      </c>
      <c r="Q390" s="40" t="str">
        <f>C390&amp;IF(ISBLANK(D390),"","=")&amp;D390</f>
        <v>AxialAmplitude_M4=3.568</v>
      </c>
      <c r="S390" s="39">
        <v>0.5</v>
      </c>
      <c r="T390" s="40" t="str">
        <f>C390&amp;IF(ISBLANK(S390),"","=")&amp;S390</f>
        <v>AxialAmplitude_M4=0.5</v>
      </c>
      <c r="U390" s="39">
        <v>11</v>
      </c>
    </row>
    <row r="391" spans="1:25" x14ac:dyDescent="0.3">
      <c r="A391">
        <v>390</v>
      </c>
      <c r="B391" s="1"/>
      <c r="C391" s="41" t="s">
        <v>494</v>
      </c>
      <c r="D391" s="41"/>
      <c r="E391" s="1"/>
      <c r="F391" s="1"/>
      <c r="G391" s="1"/>
      <c r="H391" s="119"/>
      <c r="I391" s="1"/>
      <c r="J391" s="1"/>
      <c r="K391" s="41"/>
      <c r="L391" s="1"/>
      <c r="M391" s="44"/>
      <c r="N391" s="1"/>
      <c r="O391" s="1"/>
      <c r="P391" s="1"/>
      <c r="Q391" s="1" t="str">
        <f>C391&amp;IF(ISBLANK(D391),"","=")&amp;D391</f>
        <v>;End ini</v>
      </c>
      <c r="R391" s="1"/>
      <c r="S391" s="41"/>
      <c r="T391" s="1" t="str">
        <f>C391&amp;IF(ISBLANK(S391),"","=")&amp;S391</f>
        <v>;End ini</v>
      </c>
      <c r="U391" s="41"/>
    </row>
    <row r="392" spans="1:25" x14ac:dyDescent="0.3">
      <c r="A392">
        <v>391</v>
      </c>
      <c r="B392" s="34" t="s">
        <v>0</v>
      </c>
      <c r="C392" s="42" t="s">
        <v>187</v>
      </c>
      <c r="D392" s="42" t="s">
        <v>442</v>
      </c>
      <c r="E392" s="34">
        <v>112</v>
      </c>
      <c r="F392" s="34">
        <v>125</v>
      </c>
      <c r="G392" s="34"/>
      <c r="H392" s="69" t="str">
        <f>DEC2HEX(I392)</f>
        <v>BE</v>
      </c>
      <c r="I392" s="35">
        <v>190</v>
      </c>
      <c r="J392" s="35" t="str">
        <f>CHAR(I392)</f>
        <v>¾</v>
      </c>
      <c r="K392" s="42"/>
      <c r="L392">
        <f>IF(ISBLANK(D392),IF(E392&gt;0,F392-E392+1,0),0)</f>
        <v>0</v>
      </c>
      <c r="M392" s="43">
        <f>IF(ISBLANK(D392),0,IF(G392=0,F392-E392+1,0))</f>
        <v>14</v>
      </c>
      <c r="S392" s="42" t="s">
        <v>442</v>
      </c>
      <c r="U392" s="42" t="s">
        <v>442</v>
      </c>
      <c r="Y392" s="30"/>
    </row>
    <row r="393" spans="1:25" s="30" customFormat="1" x14ac:dyDescent="0.3">
      <c r="A393">
        <v>392</v>
      </c>
      <c r="B393" s="34" t="s">
        <v>274</v>
      </c>
      <c r="C393" s="42" t="s">
        <v>479</v>
      </c>
      <c r="D393" s="42" t="s">
        <v>442</v>
      </c>
      <c r="E393" s="34">
        <v>126</v>
      </c>
      <c r="F393" s="34">
        <v>139</v>
      </c>
      <c r="G393" s="34"/>
      <c r="H393" s="69" t="str">
        <f>DEC2HEX(I393)</f>
        <v>BE</v>
      </c>
      <c r="I393" s="35">
        <v>190</v>
      </c>
      <c r="J393" s="35" t="str">
        <f>CHAR(I393)</f>
        <v>¾</v>
      </c>
      <c r="K393" s="42"/>
      <c r="L393">
        <f>IF(ISBLANK(D393),IF(E393&gt;0,F393-E393+1,0),0)</f>
        <v>0</v>
      </c>
      <c r="M393" s="43">
        <f>IF(ISBLANK(D393),0,IF(G393=0,F393-E393+1,0))</f>
        <v>14</v>
      </c>
      <c r="N393" s="51"/>
      <c r="O393" s="51"/>
      <c r="P393" s="51"/>
      <c r="Q393" s="40"/>
      <c r="R393"/>
      <c r="S393" s="42" t="s">
        <v>442</v>
      </c>
      <c r="T393"/>
      <c r="U393" s="42" t="s">
        <v>442</v>
      </c>
      <c r="V393"/>
      <c r="W393"/>
      <c r="X393"/>
      <c r="Y393"/>
    </row>
    <row r="394" spans="1:25" x14ac:dyDescent="0.3">
      <c r="A394">
        <v>393</v>
      </c>
      <c r="B394" s="34" t="s">
        <v>42</v>
      </c>
      <c r="C394" s="42" t="s">
        <v>188</v>
      </c>
      <c r="D394" s="42" t="s">
        <v>442</v>
      </c>
      <c r="E394" s="35">
        <v>444</v>
      </c>
      <c r="F394" s="34">
        <v>451</v>
      </c>
      <c r="G394" s="35"/>
      <c r="H394" s="93"/>
      <c r="I394" s="35"/>
      <c r="J394" s="35"/>
      <c r="K394" s="42"/>
      <c r="L394">
        <f>IF(ISBLANK(D394),IF(E394&gt;0,F394-E394+1,0),0)</f>
        <v>0</v>
      </c>
      <c r="M394" s="43">
        <f>IF(ISBLANK(D394),0,IF(G394=0,F394-E394+1,0))</f>
        <v>8</v>
      </c>
      <c r="S394" s="42" t="s">
        <v>442</v>
      </c>
      <c r="U394" s="42" t="s">
        <v>442</v>
      </c>
    </row>
    <row r="395" spans="1:25" x14ac:dyDescent="0.3">
      <c r="A395">
        <v>394</v>
      </c>
      <c r="B395" s="34" t="s">
        <v>233</v>
      </c>
      <c r="C395" s="42" t="s">
        <v>404</v>
      </c>
      <c r="D395" s="42">
        <v>1</v>
      </c>
      <c r="E395" s="35">
        <v>240</v>
      </c>
      <c r="F395" s="35">
        <v>243</v>
      </c>
      <c r="G395" s="34"/>
      <c r="H395" s="69" t="str">
        <f>DEC2HEX(I395)</f>
        <v>46</v>
      </c>
      <c r="I395" s="35">
        <v>70</v>
      </c>
      <c r="J395" s="35" t="str">
        <f>CHAR(I395)</f>
        <v>F</v>
      </c>
      <c r="K395" s="42"/>
      <c r="L395">
        <f>IF(ISBLANK(D395),IF(E395&gt;0,F395-E395+1,0),0)</f>
        <v>0</v>
      </c>
      <c r="M395" s="43">
        <f>IF(ISBLANK(D395),0,IF(G395=0,F395-E395+1,0))</f>
        <v>4</v>
      </c>
      <c r="Q395" s="40" t="str">
        <f>C395&amp;IF(ISBLANK(D395),"","=")&amp;D395</f>
        <v>RadialOrAxial=1</v>
      </c>
      <c r="S395" s="39">
        <v>0</v>
      </c>
      <c r="T395" s="40" t="str">
        <f>C395&amp;IF(ISBLANK(S395),"","=")&amp;S395</f>
        <v>RadialOrAxial=0</v>
      </c>
      <c r="U395" s="39">
        <v>1</v>
      </c>
      <c r="V395" s="40" t="str">
        <f>C395&amp;IF(ISBLANK(U395),"","=")&amp;U395</f>
        <v>RadialOrAxial=1</v>
      </c>
    </row>
    <row r="396" spans="1:25" x14ac:dyDescent="0.3">
      <c r="A396">
        <v>395</v>
      </c>
      <c r="B396" s="34" t="s">
        <v>233</v>
      </c>
      <c r="C396" s="42" t="s">
        <v>419</v>
      </c>
      <c r="D396" s="42">
        <v>2.1469999999999998</v>
      </c>
      <c r="E396" s="34"/>
      <c r="F396" s="34"/>
      <c r="G396" s="34"/>
      <c r="H396" s="69" t="str">
        <f>DEC2HEX(I396)</f>
        <v>E4</v>
      </c>
      <c r="I396" s="35">
        <v>228</v>
      </c>
      <c r="J396" s="35" t="str">
        <f>CHAR(I396)</f>
        <v>ä</v>
      </c>
      <c r="K396" s="42"/>
      <c r="Q396" s="40" t="str">
        <f>C396&amp;IF(ISBLANK(D396),"","=")&amp;D396</f>
        <v>RadialAmplitude_Z=2.147</v>
      </c>
      <c r="S396" s="39">
        <v>0.5</v>
      </c>
      <c r="T396" s="40" t="str">
        <f>C396&amp;IF(ISBLANK(S396),"","=")&amp;S396</f>
        <v>RadialAmplitude_Z=0.5</v>
      </c>
      <c r="U396" s="39">
        <v>11</v>
      </c>
      <c r="V396" s="40" t="str">
        <f>C396&amp;IF(ISBLANK(U396),"","=")&amp;U396</f>
        <v>RadialAmplitude_Z=11</v>
      </c>
    </row>
    <row r="397" spans="1:25" x14ac:dyDescent="0.3">
      <c r="A397">
        <v>396</v>
      </c>
      <c r="B397" s="34" t="s">
        <v>233</v>
      </c>
      <c r="C397" s="42" t="s">
        <v>421</v>
      </c>
      <c r="D397" s="42">
        <v>1.258</v>
      </c>
      <c r="E397" s="34"/>
      <c r="F397" s="34"/>
      <c r="G397" s="34"/>
      <c r="H397" s="69" t="str">
        <f>DEC2HEX(I397)</f>
        <v>E4</v>
      </c>
      <c r="I397" s="35">
        <v>228</v>
      </c>
      <c r="J397" s="35" t="str">
        <f>CHAR(I397)</f>
        <v>ä</v>
      </c>
      <c r="K397" s="42"/>
      <c r="Q397" s="40" t="str">
        <f>C397&amp;IF(ISBLANK(D397),"","=")&amp;D397</f>
        <v>RadialAmplitude_X=1.258</v>
      </c>
      <c r="S397" s="39">
        <v>0.5</v>
      </c>
      <c r="T397" s="40" t="str">
        <f>C397&amp;IF(ISBLANK(S397),"","=")&amp;S397</f>
        <v>RadialAmplitude_X=0.5</v>
      </c>
      <c r="U397" s="39">
        <v>11</v>
      </c>
      <c r="V397" s="40" t="str">
        <f>C397&amp;IF(ISBLANK(U397),"","=")&amp;U397</f>
        <v>RadialAmplitude_X=11</v>
      </c>
      <c r="Y397" s="30"/>
    </row>
    <row r="398" spans="1:25" x14ac:dyDescent="0.3">
      <c r="A398">
        <v>397</v>
      </c>
      <c r="B398" s="34" t="s">
        <v>233</v>
      </c>
      <c r="C398" s="42" t="s">
        <v>423</v>
      </c>
      <c r="D398" s="42">
        <v>3.4780000000000002</v>
      </c>
      <c r="E398" s="34"/>
      <c r="F398" s="34"/>
      <c r="G398" s="34"/>
      <c r="H398" s="69" t="str">
        <f>DEC2HEX(I398)</f>
        <v>E4</v>
      </c>
      <c r="I398" s="35">
        <v>228</v>
      </c>
      <c r="J398" s="35" t="str">
        <f>CHAR(I398)</f>
        <v>ä</v>
      </c>
      <c r="K398" s="42"/>
      <c r="Q398" s="40" t="str">
        <f>C398&amp;IF(ISBLANK(D398),"","=")&amp;D398</f>
        <v>RadialAmplitude_M3=3.478</v>
      </c>
      <c r="S398" s="39">
        <v>0.5</v>
      </c>
      <c r="T398" s="40" t="str">
        <f>C398&amp;IF(ISBLANK(S398),"","=")&amp;S398</f>
        <v>RadialAmplitude_M3=0.5</v>
      </c>
      <c r="U398" s="39">
        <v>11</v>
      </c>
      <c r="V398" s="40" t="str">
        <f>C398&amp;IF(ISBLANK(U398),"","=")&amp;U398</f>
        <v>RadialAmplitude_M3=11</v>
      </c>
    </row>
    <row r="399" spans="1:25" x14ac:dyDescent="0.3">
      <c r="A399">
        <v>398</v>
      </c>
      <c r="B399" s="34" t="s">
        <v>233</v>
      </c>
      <c r="C399" s="42" t="s">
        <v>425</v>
      </c>
      <c r="D399" s="42">
        <v>2.6890000000000001</v>
      </c>
      <c r="E399" s="34"/>
      <c r="F399" s="34"/>
      <c r="G399" s="34"/>
      <c r="H399" s="69" t="str">
        <f>DEC2HEX(I399)</f>
        <v>E4</v>
      </c>
      <c r="I399" s="35">
        <v>228</v>
      </c>
      <c r="J399" s="35" t="str">
        <f>CHAR(I399)</f>
        <v>ä</v>
      </c>
      <c r="K399" s="42"/>
      <c r="Q399" s="40" t="str">
        <f>C399&amp;IF(ISBLANK(D399),"","=")&amp;D399</f>
        <v>RadialAmplitude_M4=2.689</v>
      </c>
      <c r="S399" s="39">
        <v>0.5</v>
      </c>
      <c r="T399" s="40" t="str">
        <f>C399&amp;IF(ISBLANK(S399),"","=")&amp;S399</f>
        <v>RadialAmplitude_M4=0.5</v>
      </c>
      <c r="U399" s="39">
        <v>11</v>
      </c>
    </row>
    <row r="400" spans="1:25" x14ac:dyDescent="0.3">
      <c r="A400">
        <v>399</v>
      </c>
      <c r="B400" s="58" t="s">
        <v>36</v>
      </c>
      <c r="C400" s="59" t="s">
        <v>475</v>
      </c>
      <c r="D400" s="59"/>
      <c r="E400" s="58"/>
      <c r="F400" s="58"/>
      <c r="G400" s="58"/>
      <c r="H400" s="60" t="str">
        <f>DEC2HEX(I400)</f>
        <v>F7</v>
      </c>
      <c r="I400" s="61">
        <v>247</v>
      </c>
      <c r="J400" s="61" t="str">
        <f>CHAR(I400)</f>
        <v>÷</v>
      </c>
      <c r="S400" s="59"/>
      <c r="U400" s="59"/>
      <c r="V400" s="40" t="str">
        <f>C400&amp;IF(ISBLANK(U400),"","=")&amp;U400</f>
        <v>Greek Key: Do Pattern (Left and Right )</v>
      </c>
    </row>
    <row r="401" spans="1:25" s="29" customFormat="1" x14ac:dyDescent="0.3">
      <c r="A401">
        <v>400</v>
      </c>
      <c r="B401" s="58" t="s">
        <v>274</v>
      </c>
      <c r="C401" s="59" t="s">
        <v>560</v>
      </c>
      <c r="D401" s="59"/>
      <c r="E401" s="58"/>
      <c r="F401" s="58"/>
      <c r="G401" s="58"/>
      <c r="H401" s="60" t="str">
        <f>DEC2HEX(I401)</f>
        <v>3D</v>
      </c>
      <c r="I401" s="61">
        <v>61</v>
      </c>
      <c r="J401" s="61" t="str">
        <f>CHAR(I401)</f>
        <v>=</v>
      </c>
      <c r="K401" s="39"/>
      <c r="L401"/>
      <c r="M401" s="110"/>
      <c r="N401" s="51"/>
      <c r="O401" s="51"/>
      <c r="P401" s="51"/>
      <c r="Q401" s="40"/>
      <c r="R401"/>
      <c r="S401" s="59"/>
      <c r="T401"/>
      <c r="U401" s="59"/>
      <c r="V401"/>
      <c r="W401"/>
      <c r="X401"/>
      <c r="Y401"/>
    </row>
    <row r="402" spans="1:25" x14ac:dyDescent="0.3">
      <c r="A402">
        <v>401</v>
      </c>
      <c r="B402" s="58" t="s">
        <v>274</v>
      </c>
      <c r="C402" s="59" t="s">
        <v>559</v>
      </c>
      <c r="D402" s="59"/>
      <c r="E402" s="58"/>
      <c r="F402" s="58"/>
      <c r="G402" s="58"/>
      <c r="H402" s="60" t="str">
        <f>DEC2HEX(I402)</f>
        <v>3E</v>
      </c>
      <c r="I402" s="61">
        <v>62</v>
      </c>
      <c r="J402" s="61" t="str">
        <f>CHAR(I402)</f>
        <v>&gt;</v>
      </c>
      <c r="S402" s="59"/>
      <c r="U402" s="59"/>
      <c r="Y402" s="30"/>
    </row>
    <row r="403" spans="1:25" s="30" customFormat="1" x14ac:dyDescent="0.3">
      <c r="A403">
        <v>402</v>
      </c>
      <c r="B403" s="58" t="s">
        <v>185</v>
      </c>
      <c r="C403" s="59" t="s">
        <v>476</v>
      </c>
      <c r="D403" s="59"/>
      <c r="E403" s="58"/>
      <c r="F403" s="58"/>
      <c r="G403" s="58"/>
      <c r="H403" s="60" t="str">
        <f>DEC2HEX(I403)</f>
        <v>40</v>
      </c>
      <c r="I403" s="61">
        <v>64</v>
      </c>
      <c r="J403" s="61" t="str">
        <f>CHAR(I403)</f>
        <v>@</v>
      </c>
      <c r="K403" s="39"/>
      <c r="L403"/>
      <c r="M403" s="43"/>
      <c r="N403" s="51"/>
      <c r="O403" s="51"/>
      <c r="P403" s="51"/>
      <c r="Q403" s="40"/>
      <c r="R403"/>
      <c r="S403" s="59"/>
      <c r="T403"/>
      <c r="U403" s="59"/>
      <c r="V403"/>
      <c r="W403"/>
      <c r="X403"/>
      <c r="Y403"/>
    </row>
    <row r="404" spans="1:25" x14ac:dyDescent="0.3">
      <c r="A404">
        <v>403</v>
      </c>
      <c r="B404" s="58" t="s">
        <v>5</v>
      </c>
      <c r="C404" s="111" t="s">
        <v>504</v>
      </c>
      <c r="D404" s="111"/>
      <c r="E404" s="58"/>
      <c r="F404" s="58"/>
      <c r="G404" s="58"/>
      <c r="H404" s="115" t="str">
        <f>DEC2HEX(I404)</f>
        <v>43</v>
      </c>
      <c r="I404" s="61">
        <v>67</v>
      </c>
      <c r="J404" s="61" t="str">
        <f>CHAR(I404)</f>
        <v>C</v>
      </c>
      <c r="S404" s="111"/>
      <c r="U404" s="111"/>
    </row>
    <row r="405" spans="1:25" x14ac:dyDescent="0.3">
      <c r="A405">
        <v>404</v>
      </c>
      <c r="B405" s="58" t="s">
        <v>35</v>
      </c>
      <c r="C405" s="111" t="s">
        <v>450</v>
      </c>
      <c r="D405" s="111"/>
      <c r="E405" s="58"/>
      <c r="F405" s="58"/>
      <c r="G405" s="58"/>
      <c r="H405" s="115" t="str">
        <f>DEC2HEX(I405)</f>
        <v>4A</v>
      </c>
      <c r="I405" s="61">
        <v>74</v>
      </c>
      <c r="J405" s="61" t="str">
        <f>CHAR(I405)</f>
        <v>J</v>
      </c>
      <c r="S405" s="111"/>
      <c r="U405" s="111"/>
    </row>
    <row r="406" spans="1:25" x14ac:dyDescent="0.3">
      <c r="A406">
        <v>405</v>
      </c>
      <c r="B406" s="58" t="s">
        <v>35</v>
      </c>
      <c r="C406" s="111" t="s">
        <v>451</v>
      </c>
      <c r="D406" s="111"/>
      <c r="E406" s="58"/>
      <c r="F406" s="58"/>
      <c r="G406" s="58"/>
      <c r="H406" s="115" t="str">
        <f>DEC2HEX(I406)</f>
        <v>4B</v>
      </c>
      <c r="I406" s="61">
        <v>75</v>
      </c>
      <c r="J406" s="61" t="str">
        <f>CHAR(I406)</f>
        <v>K</v>
      </c>
      <c r="S406" s="111"/>
      <c r="U406" s="111"/>
      <c r="Y406" s="27"/>
    </row>
    <row r="407" spans="1:25" x14ac:dyDescent="0.3">
      <c r="A407">
        <v>406</v>
      </c>
      <c r="B407" s="58" t="s">
        <v>452</v>
      </c>
      <c r="C407" s="111" t="s">
        <v>453</v>
      </c>
      <c r="D407" s="111"/>
      <c r="E407" s="58"/>
      <c r="F407" s="58"/>
      <c r="G407" s="58"/>
      <c r="H407" s="115" t="str">
        <f>DEC2HEX(I407)</f>
        <v>4E</v>
      </c>
      <c r="I407" s="61">
        <v>78</v>
      </c>
      <c r="J407" s="61" t="str">
        <f>CHAR(I407)</f>
        <v>N</v>
      </c>
      <c r="S407" s="111"/>
      <c r="U407" s="111"/>
    </row>
    <row r="408" spans="1:25" x14ac:dyDescent="0.3">
      <c r="A408">
        <v>407</v>
      </c>
      <c r="B408" s="58" t="s">
        <v>0</v>
      </c>
      <c r="C408" s="111" t="s">
        <v>454</v>
      </c>
      <c r="D408" s="111"/>
      <c r="E408" s="58"/>
      <c r="F408" s="58"/>
      <c r="G408" s="58"/>
      <c r="H408" s="115" t="str">
        <f>DEC2HEX(I408)</f>
        <v>51</v>
      </c>
      <c r="I408" s="61">
        <v>81</v>
      </c>
      <c r="J408" s="61" t="str">
        <f>CHAR(I408)</f>
        <v>Q</v>
      </c>
      <c r="S408" s="111"/>
      <c r="U408" s="111"/>
    </row>
    <row r="409" spans="1:25" s="76" customFormat="1" x14ac:dyDescent="0.3">
      <c r="A409">
        <v>408</v>
      </c>
      <c r="B409" s="58" t="s">
        <v>0</v>
      </c>
      <c r="C409" s="59" t="s">
        <v>455</v>
      </c>
      <c r="D409" s="59"/>
      <c r="E409" s="58"/>
      <c r="F409" s="58"/>
      <c r="G409" s="58"/>
      <c r="H409" s="60" t="str">
        <f>DEC2HEX(I409)</f>
        <v>52</v>
      </c>
      <c r="I409" s="61">
        <v>82</v>
      </c>
      <c r="J409" s="61" t="str">
        <f>CHAR(I409)</f>
        <v>R</v>
      </c>
      <c r="K409" s="39"/>
      <c r="L409"/>
      <c r="M409" s="43"/>
      <c r="N409" s="51"/>
      <c r="O409" s="51"/>
      <c r="P409" s="51"/>
      <c r="Q409" s="40"/>
      <c r="R409"/>
      <c r="S409" s="59"/>
      <c r="T409"/>
      <c r="U409" s="59"/>
      <c r="V409"/>
      <c r="W409"/>
      <c r="X409"/>
      <c r="Y409"/>
    </row>
    <row r="410" spans="1:25" x14ac:dyDescent="0.3">
      <c r="A410">
        <v>409</v>
      </c>
      <c r="B410" s="58" t="s">
        <v>462</v>
      </c>
      <c r="C410" s="59" t="s">
        <v>456</v>
      </c>
      <c r="D410" s="91"/>
      <c r="E410" s="61"/>
      <c r="F410" s="58"/>
      <c r="G410" s="58"/>
      <c r="H410" s="60" t="str">
        <f>DEC2HEX(I410)</f>
        <v>53</v>
      </c>
      <c r="I410" s="61">
        <v>83</v>
      </c>
      <c r="J410" s="61" t="str">
        <f>CHAR(I410)</f>
        <v>S</v>
      </c>
      <c r="S410" s="91"/>
      <c r="U410" s="91"/>
      <c r="V410" s="40" t="str">
        <f>C410&amp;IF(ISBLANK(U410),"","=")&amp;U410</f>
        <v>Stop Steppers in local functions</v>
      </c>
    </row>
    <row r="411" spans="1:25" x14ac:dyDescent="0.3">
      <c r="A411">
        <v>410</v>
      </c>
      <c r="B411" s="58" t="s">
        <v>5</v>
      </c>
      <c r="C411" s="59" t="s">
        <v>499</v>
      </c>
      <c r="D411" s="59"/>
      <c r="E411" s="58"/>
      <c r="F411" s="58"/>
      <c r="G411" s="58"/>
      <c r="H411" s="60" t="str">
        <f>DEC2HEX(I411)</f>
        <v>5A</v>
      </c>
      <c r="I411" s="61">
        <v>90</v>
      </c>
      <c r="J411" s="61" t="str">
        <f>CHAR(I411)</f>
        <v>Z</v>
      </c>
      <c r="S411" s="59"/>
      <c r="U411" s="59"/>
      <c r="V411" s="40" t="str">
        <f>C411&amp;IF(ISBLANK(U411),"","=")&amp;U411</f>
        <v>Run: Axis Clockwise</v>
      </c>
    </row>
    <row r="412" spans="1:25" x14ac:dyDescent="0.3">
      <c r="A412">
        <v>411</v>
      </c>
      <c r="B412" s="58" t="s">
        <v>5</v>
      </c>
      <c r="C412" s="59" t="s">
        <v>500</v>
      </c>
      <c r="D412" s="59"/>
      <c r="E412" s="58"/>
      <c r="F412" s="58"/>
      <c r="G412" s="58"/>
      <c r="H412" s="60" t="str">
        <f>DEC2HEX(I412)</f>
        <v>5B</v>
      </c>
      <c r="I412" s="61">
        <v>91</v>
      </c>
      <c r="J412" s="61" t="str">
        <f>CHAR(I412)</f>
        <v>[</v>
      </c>
      <c r="S412" s="59"/>
      <c r="U412" s="59"/>
      <c r="V412" s="40" t="str">
        <f>C412&amp;IF(ISBLANK(U412),"","=")&amp;U412</f>
        <v>Run: Axis counter clockwise</v>
      </c>
    </row>
    <row r="413" spans="1:25" x14ac:dyDescent="0.3">
      <c r="A413">
        <v>412</v>
      </c>
      <c r="B413" s="58" t="s">
        <v>236</v>
      </c>
      <c r="C413" s="59" t="s">
        <v>457</v>
      </c>
      <c r="D413" s="59"/>
      <c r="E413" s="58"/>
      <c r="F413" s="58"/>
      <c r="G413" s="58"/>
      <c r="H413" s="60" t="str">
        <f>DEC2HEX(I413)</f>
        <v>5E</v>
      </c>
      <c r="I413" s="61">
        <v>94</v>
      </c>
      <c r="J413" s="61" t="str">
        <f>CHAR(I413)</f>
        <v>^</v>
      </c>
      <c r="S413" s="59"/>
      <c r="U413" s="59"/>
      <c r="V413" s="40" t="str">
        <f>C413&amp;IF(ISBLANK(U413),"","=")&amp;U413</f>
        <v>Enable axis stepper</v>
      </c>
    </row>
    <row r="414" spans="1:25" s="1" customFormat="1" x14ac:dyDescent="0.3">
      <c r="A414">
        <v>413</v>
      </c>
      <c r="B414" s="58" t="s">
        <v>236</v>
      </c>
      <c r="C414" s="59" t="s">
        <v>458</v>
      </c>
      <c r="D414" s="59"/>
      <c r="E414" s="58"/>
      <c r="F414" s="58"/>
      <c r="G414" s="58"/>
      <c r="H414" s="60" t="str">
        <f>DEC2HEX(I414)</f>
        <v>5E</v>
      </c>
      <c r="I414" s="61">
        <v>94</v>
      </c>
      <c r="J414" s="61" t="str">
        <f>CHAR(I414)</f>
        <v>^</v>
      </c>
      <c r="K414" s="39"/>
      <c r="L414"/>
      <c r="M414" s="43"/>
      <c r="N414" s="51"/>
      <c r="O414" s="51"/>
      <c r="P414" s="51"/>
      <c r="Q414" s="40"/>
      <c r="R414"/>
      <c r="S414" s="59"/>
      <c r="T414"/>
      <c r="U414" s="59"/>
      <c r="V414" s="40" t="str">
        <f>C414&amp;IF(ISBLANK(U414),"","=")&amp;U414</f>
        <v xml:space="preserve">Enable spindle stepper </v>
      </c>
      <c r="W414"/>
      <c r="X414"/>
      <c r="Y414"/>
    </row>
    <row r="415" spans="1:25" x14ac:dyDescent="0.3">
      <c r="A415">
        <v>414</v>
      </c>
      <c r="B415" s="58" t="s">
        <v>236</v>
      </c>
      <c r="C415" s="59" t="s">
        <v>459</v>
      </c>
      <c r="D415" s="59"/>
      <c r="E415" s="58"/>
      <c r="F415" s="58"/>
      <c r="G415" s="58"/>
      <c r="H415" s="60" t="str">
        <f>DEC2HEX(I415)</f>
        <v>5F</v>
      </c>
      <c r="I415" s="61">
        <v>95</v>
      </c>
      <c r="J415" s="61" t="str">
        <f>CHAR(I415)</f>
        <v>_</v>
      </c>
      <c r="S415" s="59"/>
      <c r="U415" s="59"/>
      <c r="V415" s="40" t="str">
        <f>C415&amp;IF(ISBLANK(U415),"","=")&amp;U415</f>
        <v>Disable axis stepper</v>
      </c>
      <c r="Y415" s="27"/>
    </row>
    <row r="416" spans="1:25" x14ac:dyDescent="0.3">
      <c r="A416">
        <v>415</v>
      </c>
      <c r="B416" s="58" t="s">
        <v>236</v>
      </c>
      <c r="C416" s="111" t="s">
        <v>460</v>
      </c>
      <c r="D416" s="111"/>
      <c r="E416" s="58"/>
      <c r="F416" s="58"/>
      <c r="G416" s="58"/>
      <c r="H416" s="115" t="str">
        <f>DEC2HEX(I416)</f>
        <v>5F</v>
      </c>
      <c r="I416" s="61">
        <v>95</v>
      </c>
      <c r="J416" s="61" t="str">
        <f>CHAR(I416)</f>
        <v>_</v>
      </c>
      <c r="S416" s="111"/>
      <c r="U416" s="111"/>
      <c r="V416" s="40" t="str">
        <f>C416&amp;IF(ISBLANK(U416),"","=")&amp;U416</f>
        <v>Disable spindle stepper</v>
      </c>
    </row>
    <row r="417" spans="1:22" x14ac:dyDescent="0.3">
      <c r="A417">
        <v>416</v>
      </c>
      <c r="B417" s="58" t="s">
        <v>434</v>
      </c>
      <c r="C417" s="59" t="s">
        <v>461</v>
      </c>
      <c r="D417" s="59"/>
      <c r="E417" s="58"/>
      <c r="F417" s="58"/>
      <c r="G417" s="58"/>
      <c r="H417" s="60" t="str">
        <f>DEC2HEX(I417)</f>
        <v>62</v>
      </c>
      <c r="I417" s="61">
        <v>98</v>
      </c>
      <c r="J417" s="61" t="str">
        <f>CHAR(I417)</f>
        <v>b</v>
      </c>
      <c r="S417" s="59"/>
      <c r="U417" s="59"/>
      <c r="V417" s="40" t="str">
        <f>C417&amp;IF(ISBLANK(U417),"","=")&amp;U417</f>
        <v>Refresh Setup EEPROM</v>
      </c>
    </row>
    <row r="418" spans="1:22" x14ac:dyDescent="0.3">
      <c r="A418">
        <v>417</v>
      </c>
      <c r="B418" s="58" t="s">
        <v>5</v>
      </c>
      <c r="C418" s="59" t="s">
        <v>501</v>
      </c>
      <c r="D418" s="59"/>
      <c r="E418" s="58"/>
      <c r="F418" s="58"/>
      <c r="G418" s="58"/>
      <c r="H418" s="60" t="str">
        <f>DEC2HEX(I418)</f>
        <v>63</v>
      </c>
      <c r="I418" s="61">
        <v>99</v>
      </c>
      <c r="J418" s="61" t="str">
        <f>CHAR(I418)</f>
        <v>c</v>
      </c>
      <c r="S418" s="59"/>
      <c r="U418" s="59"/>
      <c r="V418" s="40" t="str">
        <f>C418&amp;IF(ISBLANK(U418),"","=")&amp;U418</f>
        <v>Run: Axis Stop</v>
      </c>
    </row>
    <row r="419" spans="1:22" x14ac:dyDescent="0.3">
      <c r="A419">
        <v>418</v>
      </c>
      <c r="B419" s="58" t="s">
        <v>236</v>
      </c>
      <c r="C419" s="59" t="s">
        <v>482</v>
      </c>
      <c r="D419" s="59"/>
      <c r="E419" s="58"/>
      <c r="F419" s="58"/>
      <c r="G419" s="58"/>
      <c r="H419" s="60" t="str">
        <f>DEC2HEX(I419)</f>
        <v>64</v>
      </c>
      <c r="I419" s="61">
        <v>100</v>
      </c>
      <c r="J419" s="61" t="str">
        <f>CHAR(I419)</f>
        <v>d</v>
      </c>
      <c r="S419" s="59"/>
      <c r="U419" s="59"/>
      <c r="V419" s="40" t="str">
        <f>C419&amp;IF(ISBLANK(U419),"","=")&amp;U419</f>
        <v>Run single motor CW</v>
      </c>
    </row>
    <row r="420" spans="1:22" x14ac:dyDescent="0.3">
      <c r="A420">
        <v>419</v>
      </c>
      <c r="B420" s="58" t="s">
        <v>236</v>
      </c>
      <c r="C420" s="59" t="s">
        <v>482</v>
      </c>
      <c r="D420" s="59"/>
      <c r="E420" s="58"/>
      <c r="F420" s="58"/>
      <c r="G420" s="58"/>
      <c r="H420" s="60" t="str">
        <f>DEC2HEX(I420)</f>
        <v>65</v>
      </c>
      <c r="I420" s="61">
        <v>101</v>
      </c>
      <c r="J420" s="61" t="str">
        <f>CHAR(I420)</f>
        <v>e</v>
      </c>
      <c r="S420" s="59"/>
      <c r="U420" s="59"/>
      <c r="V420" s="40" t="str">
        <f>C420&amp;IF(ISBLANK(U420),"","=")&amp;U420</f>
        <v>Run single motor CW</v>
      </c>
    </row>
    <row r="421" spans="1:22" x14ac:dyDescent="0.3">
      <c r="A421">
        <v>420</v>
      </c>
      <c r="B421" s="58" t="s">
        <v>233</v>
      </c>
      <c r="C421" s="59" t="s">
        <v>463</v>
      </c>
      <c r="D421" s="59"/>
      <c r="E421" s="58"/>
      <c r="F421" s="58"/>
      <c r="G421" s="58"/>
      <c r="H421" s="60" t="str">
        <f>DEC2HEX(I421)</f>
        <v>69</v>
      </c>
      <c r="I421" s="61">
        <v>105</v>
      </c>
      <c r="J421" s="61" t="str">
        <f>CHAR(I421)</f>
        <v>i</v>
      </c>
      <c r="S421" s="59"/>
      <c r="U421" s="59"/>
      <c r="V421" s="40" t="str">
        <f>C421&amp;IF(ISBLANK(U421),"","=")&amp;U421</f>
        <v>Rose: DoRose CCW</v>
      </c>
    </row>
    <row r="422" spans="1:22" x14ac:dyDescent="0.3">
      <c r="A422">
        <v>421</v>
      </c>
      <c r="B422" s="58" t="s">
        <v>5</v>
      </c>
      <c r="C422" s="59" t="s">
        <v>502</v>
      </c>
      <c r="D422" s="59"/>
      <c r="E422" s="58"/>
      <c r="F422" s="58"/>
      <c r="G422" s="58"/>
      <c r="H422" s="60" t="str">
        <f>DEC2HEX(I422)</f>
        <v>6B</v>
      </c>
      <c r="I422" s="61">
        <v>107</v>
      </c>
      <c r="J422" s="61" t="str">
        <f>CHAR(I422)</f>
        <v>k</v>
      </c>
      <c r="S422" s="59"/>
      <c r="U422" s="59"/>
      <c r="V422" s="40" t="str">
        <f>C422&amp;IF(ISBLANK(U422),"","=")&amp;U422</f>
        <v>Run: Spindle Clockwise</v>
      </c>
    </row>
    <row r="423" spans="1:22" x14ac:dyDescent="0.3">
      <c r="A423">
        <v>422</v>
      </c>
      <c r="B423" s="58" t="s">
        <v>5</v>
      </c>
      <c r="C423" s="59" t="s">
        <v>503</v>
      </c>
      <c r="D423" s="59"/>
      <c r="E423" s="58"/>
      <c r="F423" s="58"/>
      <c r="G423" s="58"/>
      <c r="H423" s="60" t="str">
        <f>DEC2HEX(I423)</f>
        <v>6C</v>
      </c>
      <c r="I423" s="61">
        <v>108</v>
      </c>
      <c r="J423" s="61" t="str">
        <f>CHAR(I423)</f>
        <v>l</v>
      </c>
      <c r="S423" s="59"/>
      <c r="U423" s="59"/>
      <c r="V423" s="40" t="str">
        <f>C423&amp;IF(ISBLANK(U423),"","=")&amp;U423</f>
        <v>Run: Spindle counter clockwise</v>
      </c>
    </row>
    <row r="424" spans="1:22" x14ac:dyDescent="0.3">
      <c r="A424">
        <v>423</v>
      </c>
      <c r="B424" s="58" t="s">
        <v>236</v>
      </c>
      <c r="C424" s="59" t="s">
        <v>481</v>
      </c>
      <c r="D424" s="59"/>
      <c r="E424" s="58"/>
      <c r="F424" s="58"/>
      <c r="G424" s="58"/>
      <c r="H424" s="60" t="str">
        <f>DEC2HEX(I424)</f>
        <v>6D</v>
      </c>
      <c r="I424" s="61">
        <v>109</v>
      </c>
      <c r="J424" s="61" t="s">
        <v>33</v>
      </c>
      <c r="S424" s="59"/>
      <c r="U424" s="59"/>
      <c r="V424" s="40" t="str">
        <f>C424&amp;IF(ISBLANK(U424),"","=")&amp;U424</f>
        <v>Run Multi</v>
      </c>
    </row>
    <row r="425" spans="1:22" x14ac:dyDescent="0.3">
      <c r="A425">
        <v>424</v>
      </c>
      <c r="B425" s="58" t="s">
        <v>183</v>
      </c>
      <c r="C425" s="59" t="s">
        <v>464</v>
      </c>
      <c r="D425" s="59"/>
      <c r="E425" s="58"/>
      <c r="F425" s="58"/>
      <c r="G425" s="58"/>
      <c r="H425" s="60" t="str">
        <f>DEC2HEX(I425)</f>
        <v>A3</v>
      </c>
      <c r="I425" s="61">
        <v>163</v>
      </c>
      <c r="J425" s="61" t="str">
        <f>CHAR(I425)</f>
        <v>£</v>
      </c>
      <c r="S425" s="59"/>
      <c r="U425" s="59"/>
      <c r="V425" s="40" t="str">
        <f>C425&amp;IF(ISBLANK(U425),"","=")&amp;U425</f>
        <v>Show pageLimits EEPROM</v>
      </c>
    </row>
    <row r="426" spans="1:22" x14ac:dyDescent="0.3">
      <c r="A426">
        <v>425</v>
      </c>
      <c r="B426" s="58" t="s">
        <v>184</v>
      </c>
      <c r="C426" s="59" t="s">
        <v>465</v>
      </c>
      <c r="D426" s="59"/>
      <c r="E426" s="58"/>
      <c r="F426" s="58"/>
      <c r="G426" s="58"/>
      <c r="H426" s="60" t="str">
        <f>DEC2HEX(I426)</f>
        <v>A4</v>
      </c>
      <c r="I426" s="61">
        <v>164</v>
      </c>
      <c r="J426" s="61" t="str">
        <f>CHAR(I426)</f>
        <v>¤</v>
      </c>
      <c r="S426" s="59"/>
      <c r="U426" s="59"/>
      <c r="V426" s="40" t="str">
        <f>C426&amp;IF(ISBLANK(U426),"","=")&amp;U426</f>
        <v>Show pageReturns EEPROM</v>
      </c>
    </row>
    <row r="427" spans="1:22" x14ac:dyDescent="0.3">
      <c r="A427">
        <v>426</v>
      </c>
      <c r="B427" s="58" t="s">
        <v>5</v>
      </c>
      <c r="C427" s="59" t="s">
        <v>505</v>
      </c>
      <c r="D427" s="59"/>
      <c r="E427" s="58"/>
      <c r="F427" s="58"/>
      <c r="G427" s="58"/>
      <c r="H427" s="60" t="str">
        <f>DEC2HEX(I427)</f>
        <v>A5</v>
      </c>
      <c r="I427" s="61">
        <v>165</v>
      </c>
      <c r="J427" s="61" t="str">
        <f>CHAR(I427)</f>
        <v>¥</v>
      </c>
      <c r="S427" s="59"/>
      <c r="U427" s="59"/>
      <c r="V427" s="40" t="str">
        <f>C427&amp;IF(ISBLANK(U427),"","=")&amp;U427</f>
        <v>Run: X axis CCW</v>
      </c>
    </row>
    <row r="428" spans="1:22" x14ac:dyDescent="0.3">
      <c r="A428">
        <v>427</v>
      </c>
      <c r="B428" s="58" t="s">
        <v>5</v>
      </c>
      <c r="C428" s="59" t="s">
        <v>506</v>
      </c>
      <c r="D428" s="59"/>
      <c r="E428" s="58"/>
      <c r="F428" s="58"/>
      <c r="G428" s="58"/>
      <c r="H428" s="60" t="str">
        <f>DEC2HEX(I428)</f>
        <v>A6</v>
      </c>
      <c r="I428" s="61">
        <v>166</v>
      </c>
      <c r="J428" s="61" t="str">
        <f>CHAR(I428)</f>
        <v>¦</v>
      </c>
      <c r="S428" s="59"/>
      <c r="U428" s="59"/>
      <c r="V428" s="40" t="str">
        <f>C428&amp;IF(ISBLANK(U428),"","=")&amp;U428</f>
        <v>Run: X axis CW</v>
      </c>
    </row>
    <row r="429" spans="1:22" x14ac:dyDescent="0.3">
      <c r="A429">
        <v>428</v>
      </c>
      <c r="B429" s="58" t="s">
        <v>5</v>
      </c>
      <c r="C429" s="59" t="s">
        <v>507</v>
      </c>
      <c r="D429" s="59"/>
      <c r="E429" s="58"/>
      <c r="F429" s="58"/>
      <c r="G429" s="58"/>
      <c r="H429" s="60" t="str">
        <f>DEC2HEX(I429)</f>
        <v>AB</v>
      </c>
      <c r="I429" s="61">
        <v>171</v>
      </c>
      <c r="J429" s="61" t="str">
        <f>CHAR(I429)</f>
        <v>«</v>
      </c>
      <c r="S429" s="59"/>
      <c r="U429" s="59"/>
      <c r="V429" s="40" t="str">
        <f>C429&amp;IF(ISBLANK(U429),"","=")&amp;U429</f>
        <v>Run: M3 axis CCW</v>
      </c>
    </row>
    <row r="430" spans="1:22" x14ac:dyDescent="0.3">
      <c r="A430">
        <v>429</v>
      </c>
      <c r="B430" s="58" t="s">
        <v>5</v>
      </c>
      <c r="C430" s="59" t="s">
        <v>508</v>
      </c>
      <c r="D430" s="59"/>
      <c r="E430" s="58"/>
      <c r="F430" s="58"/>
      <c r="G430" s="58"/>
      <c r="H430" s="60" t="str">
        <f>DEC2HEX(I430)</f>
        <v>AC</v>
      </c>
      <c r="I430" s="61">
        <v>172</v>
      </c>
      <c r="J430" s="61" t="str">
        <f>CHAR(I430)</f>
        <v>¬</v>
      </c>
      <c r="S430" s="59"/>
      <c r="U430" s="59"/>
      <c r="V430" s="40" t="str">
        <f>C430&amp;IF(ISBLANK(U430),"","=")&amp;U430</f>
        <v>Run: M3 axis CW</v>
      </c>
    </row>
    <row r="431" spans="1:22" x14ac:dyDescent="0.3">
      <c r="A431">
        <v>430</v>
      </c>
      <c r="B431" s="58" t="s">
        <v>42</v>
      </c>
      <c r="C431" s="59" t="s">
        <v>466</v>
      </c>
      <c r="D431" s="59"/>
      <c r="E431" s="58"/>
      <c r="F431" s="58"/>
      <c r="G431" s="58"/>
      <c r="H431" s="60" t="str">
        <f>DEC2HEX(I431)</f>
        <v>B7</v>
      </c>
      <c r="I431" s="61">
        <v>183</v>
      </c>
      <c r="J431" s="61" t="str">
        <f>CHAR(I431)</f>
        <v>·</v>
      </c>
      <c r="S431" s="59"/>
      <c r="U431" s="59"/>
      <c r="V431" s="40" t="str">
        <f>C431&amp;IF(ISBLANK(U431),"","=")&amp;U431</f>
        <v>Move: CCW (In)</v>
      </c>
    </row>
    <row r="432" spans="1:22" x14ac:dyDescent="0.3">
      <c r="A432">
        <v>431</v>
      </c>
      <c r="B432" s="58" t="s">
        <v>42</v>
      </c>
      <c r="C432" s="59" t="s">
        <v>467</v>
      </c>
      <c r="D432" s="59"/>
      <c r="E432" s="58"/>
      <c r="F432" s="58"/>
      <c r="G432" s="58"/>
      <c r="H432" s="60" t="str">
        <f>DEC2HEX(I432)</f>
        <v>B8</v>
      </c>
      <c r="I432" s="61">
        <v>184</v>
      </c>
      <c r="J432" s="61" t="str">
        <f>CHAR(I432)</f>
        <v>¸</v>
      </c>
      <c r="S432" s="59"/>
      <c r="U432" s="59"/>
      <c r="V432" s="40" t="str">
        <f>C432&amp;IF(ISBLANK(U432),"","=")&amp;U432</f>
        <v>Move: CW (Ouit)</v>
      </c>
    </row>
    <row r="433" spans="1:25" x14ac:dyDescent="0.3">
      <c r="A433">
        <v>432</v>
      </c>
      <c r="B433" s="58" t="s">
        <v>433</v>
      </c>
      <c r="C433" s="59" t="s">
        <v>478</v>
      </c>
      <c r="D433" s="59"/>
      <c r="E433" s="58"/>
      <c r="F433" s="58"/>
      <c r="G433" s="58"/>
      <c r="H433" s="60" t="str">
        <f>DEC2HEX(I433)</f>
        <v>C6</v>
      </c>
      <c r="I433" s="61">
        <v>198</v>
      </c>
      <c r="J433" s="61" t="str">
        <f>CHAR(I433)</f>
        <v>Æ</v>
      </c>
      <c r="S433" s="59"/>
      <c r="U433" s="59"/>
      <c r="V433" s="40" t="str">
        <f>C433&amp;IF(ISBLANK(U433),"","=")&amp;U433</f>
        <v>Rec: Run</v>
      </c>
    </row>
    <row r="434" spans="1:25" x14ac:dyDescent="0.3">
      <c r="A434">
        <v>433</v>
      </c>
      <c r="B434" s="58" t="s">
        <v>233</v>
      </c>
      <c r="C434" s="59" t="s">
        <v>468</v>
      </c>
      <c r="D434" s="59"/>
      <c r="E434" s="58"/>
      <c r="F434" s="58"/>
      <c r="G434" s="58"/>
      <c r="H434" s="60" t="str">
        <f>DEC2HEX(I434)</f>
        <v>C9</v>
      </c>
      <c r="I434" s="61">
        <v>201</v>
      </c>
      <c r="J434" s="61" t="str">
        <f>CHAR(I434)</f>
        <v>É</v>
      </c>
      <c r="S434" s="59"/>
      <c r="U434" s="59"/>
      <c r="V434" s="40" t="str">
        <f>C434&amp;IF(ISBLANK(U434),"","=")&amp;U434</f>
        <v>Rose: CW</v>
      </c>
    </row>
    <row r="435" spans="1:25" x14ac:dyDescent="0.3">
      <c r="A435">
        <v>434</v>
      </c>
      <c r="B435" s="58" t="s">
        <v>462</v>
      </c>
      <c r="C435" s="59" t="s">
        <v>469</v>
      </c>
      <c r="D435" s="59"/>
      <c r="E435" s="58"/>
      <c r="F435" s="58"/>
      <c r="G435" s="58"/>
      <c r="H435" s="60" t="str">
        <f>DEC2HEX(I435)</f>
        <v>CE</v>
      </c>
      <c r="I435" s="61">
        <v>206</v>
      </c>
      <c r="J435" s="61" t="str">
        <f>CHAR(I435)</f>
        <v>Î</v>
      </c>
      <c r="S435" s="59"/>
      <c r="U435" s="59"/>
      <c r="V435" s="40" t="str">
        <f>C435&amp;IF(ISBLANK(U435),"","=")&amp;U435</f>
        <v>Return: Spindle and Z axis</v>
      </c>
    </row>
    <row r="436" spans="1:25" x14ac:dyDescent="0.3">
      <c r="A436">
        <v>435</v>
      </c>
      <c r="B436" s="58" t="s">
        <v>5</v>
      </c>
      <c r="C436" s="59" t="s">
        <v>509</v>
      </c>
      <c r="D436" s="59"/>
      <c r="E436" s="58"/>
      <c r="F436" s="58"/>
      <c r="G436" s="58"/>
      <c r="H436" s="60" t="str">
        <f>DEC2HEX(I436)</f>
        <v>D1</v>
      </c>
      <c r="I436" s="61">
        <v>209</v>
      </c>
      <c r="J436" s="61" t="str">
        <f>CHAR(I436)</f>
        <v>Ñ</v>
      </c>
      <c r="S436" s="59"/>
      <c r="U436" s="59"/>
      <c r="V436" s="40" t="str">
        <f>C436&amp;IF(ISBLANK(U436),"","=")&amp;U436</f>
        <v>Run: M4 axis CCW</v>
      </c>
    </row>
    <row r="437" spans="1:25" x14ac:dyDescent="0.3">
      <c r="A437">
        <v>436</v>
      </c>
      <c r="B437" s="58" t="s">
        <v>5</v>
      </c>
      <c r="C437" s="59" t="s">
        <v>510</v>
      </c>
      <c r="D437" s="59"/>
      <c r="E437" s="58"/>
      <c r="F437" s="58"/>
      <c r="G437" s="58"/>
      <c r="H437" s="60" t="str">
        <f>DEC2HEX(I437)</f>
        <v>D2</v>
      </c>
      <c r="I437" s="61">
        <v>210</v>
      </c>
      <c r="J437" s="61" t="str">
        <f>CHAR(I437)</f>
        <v>Ò</v>
      </c>
      <c r="S437" s="59"/>
      <c r="U437" s="59"/>
      <c r="V437" s="40" t="str">
        <f>C437&amp;IF(ISBLANK(U437),"","=")&amp;U437</f>
        <v>Run: M4 axis CW</v>
      </c>
    </row>
    <row r="438" spans="1:25" x14ac:dyDescent="0.3">
      <c r="A438">
        <v>437</v>
      </c>
      <c r="B438" s="58" t="s">
        <v>462</v>
      </c>
      <c r="C438" s="59" t="s">
        <v>470</v>
      </c>
      <c r="D438" s="59"/>
      <c r="E438" s="58"/>
      <c r="F438" s="58"/>
      <c r="G438" s="58"/>
      <c r="H438" s="60" t="str">
        <f>DEC2HEX(I438)</f>
        <v>D7</v>
      </c>
      <c r="I438" s="61">
        <v>215</v>
      </c>
      <c r="J438" s="61" t="str">
        <f>CHAR(I438)</f>
        <v>×</v>
      </c>
      <c r="S438" s="59"/>
      <c r="U438" s="59"/>
      <c r="V438" s="40" t="str">
        <f>C438&amp;IF(ISBLANK(U438),"","=")&amp;U438</f>
        <v>Return: Spindle and X axis</v>
      </c>
    </row>
    <row r="439" spans="1:25" x14ac:dyDescent="0.3">
      <c r="A439">
        <v>438</v>
      </c>
      <c r="B439" s="58" t="s">
        <v>233</v>
      </c>
      <c r="C439" s="59" t="s">
        <v>471</v>
      </c>
      <c r="D439" s="59"/>
      <c r="E439" s="58"/>
      <c r="F439" s="58"/>
      <c r="G439" s="58"/>
      <c r="H439" s="60" t="str">
        <f>DEC2HEX(I439)</f>
        <v>E7</v>
      </c>
      <c r="I439" s="61">
        <v>231</v>
      </c>
      <c r="J439" s="61" t="str">
        <f>CHAR(I439)</f>
        <v>ç</v>
      </c>
      <c r="S439" s="59"/>
      <c r="U439" s="59"/>
      <c r="V439" s="40" t="str">
        <f>C439&amp;IF(ISBLANK(U439),"","=")&amp;U439</f>
        <v>Rose: axis and spindle Return</v>
      </c>
    </row>
    <row r="440" spans="1:25" x14ac:dyDescent="0.3">
      <c r="A440">
        <v>439</v>
      </c>
      <c r="B440" s="58" t="s">
        <v>462</v>
      </c>
      <c r="C440" s="59" t="s">
        <v>472</v>
      </c>
      <c r="D440" s="59"/>
      <c r="E440" s="58"/>
      <c r="F440" s="58"/>
      <c r="G440" s="58"/>
      <c r="H440" s="60" t="str">
        <f>DEC2HEX(I440)</f>
        <v>EC</v>
      </c>
      <c r="I440" s="61">
        <v>236</v>
      </c>
      <c r="J440" s="61" t="str">
        <f>CHAR(I440)</f>
        <v>ì</v>
      </c>
      <c r="S440" s="59"/>
      <c r="U440" s="59"/>
      <c r="V440" s="40" t="str">
        <f>C440&amp;IF(ISBLANK(U440),"","=")&amp;U440</f>
        <v>Clear Stepper positions</v>
      </c>
    </row>
    <row r="441" spans="1:25" x14ac:dyDescent="0.3">
      <c r="A441">
        <v>440</v>
      </c>
      <c r="B441" s="58" t="s">
        <v>473</v>
      </c>
      <c r="C441" s="59" t="s">
        <v>474</v>
      </c>
      <c r="D441" s="59"/>
      <c r="E441" s="58"/>
      <c r="F441" s="58"/>
      <c r="G441" s="58"/>
      <c r="H441" s="60" t="str">
        <f>DEC2HEX(I441)</f>
        <v>ED</v>
      </c>
      <c r="I441" s="61">
        <v>237</v>
      </c>
      <c r="J441" s="61" t="str">
        <f>CHAR(I441)</f>
        <v>í</v>
      </c>
      <c r="S441" s="59"/>
      <c r="U441" s="59"/>
      <c r="V441" s="40" t="str">
        <f>C441&amp;IF(ISBLANK(U441),"","=")&amp;U441</f>
        <v>Track Position</v>
      </c>
    </row>
    <row r="442" spans="1:25" s="30" customFormat="1" x14ac:dyDescent="0.3">
      <c r="A442">
        <v>441</v>
      </c>
      <c r="B442" s="58" t="s">
        <v>236</v>
      </c>
      <c r="C442" s="59" t="s">
        <v>483</v>
      </c>
      <c r="D442" s="59"/>
      <c r="E442" s="58"/>
      <c r="F442" s="58"/>
      <c r="G442" s="58"/>
      <c r="H442" s="60" t="str">
        <f>DEC2HEX(I442)</f>
        <v>48</v>
      </c>
      <c r="I442" s="61">
        <v>72</v>
      </c>
      <c r="J442" s="61" t="str">
        <f>CHAR(I442)</f>
        <v>H</v>
      </c>
      <c r="K442" s="39"/>
      <c r="L442"/>
      <c r="M442" s="43"/>
      <c r="N442" s="51"/>
      <c r="O442" s="51"/>
      <c r="P442" s="51"/>
      <c r="Q442" s="40"/>
      <c r="R442" s="27"/>
      <c r="S442" s="59"/>
      <c r="T442" s="27"/>
      <c r="U442" s="59"/>
      <c r="V442" s="40" t="str">
        <f>C442&amp;IF(ISBLANK(U442),"","=")&amp;U442</f>
        <v>Return multiple</v>
      </c>
      <c r="W442"/>
      <c r="X442"/>
      <c r="Y442"/>
    </row>
    <row r="443" spans="1:25" x14ac:dyDescent="0.3">
      <c r="A443">
        <v>442</v>
      </c>
      <c r="B443" s="58" t="s">
        <v>462</v>
      </c>
      <c r="C443" s="59" t="s">
        <v>491</v>
      </c>
      <c r="D443" s="59"/>
      <c r="E443" s="58"/>
      <c r="F443" s="58"/>
      <c r="G443" s="58"/>
      <c r="H443" s="60" t="str">
        <f>DEC2HEX(I443)</f>
        <v>7C</v>
      </c>
      <c r="I443" s="61">
        <v>124</v>
      </c>
      <c r="J443" s="61" t="str">
        <f>CHAR(I443)</f>
        <v>|</v>
      </c>
      <c r="R443" s="27"/>
      <c r="S443" s="59"/>
      <c r="T443" s="27"/>
      <c r="U443" s="59"/>
      <c r="V443" s="40" t="str">
        <f>C443&amp;IF(ISBLANK(U443),"","=")&amp;U443</f>
        <v>Show EEPROM Teensy and Nextion</v>
      </c>
    </row>
    <row r="444" spans="1:25" x14ac:dyDescent="0.3">
      <c r="A444">
        <v>443</v>
      </c>
      <c r="B444" s="58" t="s">
        <v>462</v>
      </c>
      <c r="C444" s="59" t="s">
        <v>492</v>
      </c>
      <c r="D444" s="59"/>
      <c r="E444" s="58"/>
      <c r="F444" s="58"/>
      <c r="G444" s="58"/>
      <c r="H444" s="60" t="str">
        <f>DEC2HEX(I444)</f>
        <v>7D</v>
      </c>
      <c r="I444" s="61">
        <v>125</v>
      </c>
      <c r="J444" s="61" t="str">
        <f>CHAR(I444)</f>
        <v>}</v>
      </c>
      <c r="R444" s="27"/>
      <c r="S444" s="59"/>
      <c r="T444" s="27"/>
      <c r="U444" s="59"/>
      <c r="V444" s="40" t="str">
        <f>C444&amp;IF(ISBLANK(U444),"","=")&amp;U444</f>
        <v>Show Axis Id (Debugging)</v>
      </c>
    </row>
    <row r="445" spans="1:25" x14ac:dyDescent="0.3">
      <c r="A445">
        <v>444</v>
      </c>
      <c r="B445" s="58" t="s">
        <v>433</v>
      </c>
      <c r="C445" s="59" t="s">
        <v>624</v>
      </c>
      <c r="D445" s="59"/>
      <c r="E445" s="58"/>
      <c r="F445" s="58"/>
      <c r="G445" s="58"/>
      <c r="H445" s="60" t="str">
        <f>DEC2HEX(I445)</f>
        <v>58</v>
      </c>
      <c r="I445" s="61">
        <v>88</v>
      </c>
      <c r="J445" s="61" t="str">
        <f>CHAR(I445)</f>
        <v>X</v>
      </c>
      <c r="V445" s="40" t="str">
        <f>C445&amp;IF(ISBLANK(U445),"","=")&amp;U445</f>
        <v>Load Setup Page</v>
      </c>
    </row>
    <row r="446" spans="1:25" x14ac:dyDescent="0.3">
      <c r="A446">
        <v>445</v>
      </c>
      <c r="B446" s="58" t="s">
        <v>185</v>
      </c>
      <c r="C446" s="59" t="s">
        <v>449</v>
      </c>
      <c r="D446" s="59"/>
      <c r="E446" s="58"/>
      <c r="F446" s="58"/>
      <c r="G446" s="58"/>
      <c r="H446" s="60" t="str">
        <f>DEC2HEX(I446)</f>
        <v>41</v>
      </c>
      <c r="I446" s="61">
        <v>65</v>
      </c>
      <c r="J446" s="61" t="str">
        <f>CHAR(I446)</f>
        <v>A</v>
      </c>
      <c r="S446" s="59"/>
      <c r="U446" s="59"/>
    </row>
    <row r="447" spans="1:25" s="30" customFormat="1" x14ac:dyDescent="0.3">
      <c r="A447">
        <v>446</v>
      </c>
      <c r="B447" s="58" t="s">
        <v>185</v>
      </c>
      <c r="C447" s="59" t="s">
        <v>634</v>
      </c>
      <c r="D447" s="59"/>
      <c r="E447" s="58"/>
      <c r="F447" s="58"/>
      <c r="G447" s="58"/>
      <c r="H447" s="60" t="str">
        <f>DEC2HEX(I447)</f>
        <v>3C</v>
      </c>
      <c r="I447" s="61">
        <v>60</v>
      </c>
      <c r="J447" s="61" t="str">
        <f>CHAR(I447)</f>
        <v>&lt;</v>
      </c>
      <c r="K447" s="122"/>
      <c r="L447"/>
      <c r="M447" s="43"/>
      <c r="N447" s="51"/>
      <c r="O447" s="51"/>
      <c r="P447" s="51"/>
      <c r="Q447" s="40"/>
      <c r="R447"/>
      <c r="S447" s="39"/>
      <c r="T447"/>
      <c r="U447" s="39"/>
      <c r="V447" s="40" t="str">
        <f>C447&amp;IF(ISBLANK(U447),"","=")&amp;U447</f>
        <v>Write_Ini</v>
      </c>
      <c r="W447"/>
      <c r="X447"/>
      <c r="Y447"/>
    </row>
    <row r="448" spans="1:25" x14ac:dyDescent="0.3">
      <c r="A448">
        <v>447</v>
      </c>
      <c r="H448" s="47" t="str">
        <f>DEC2HEX(I448)</f>
        <v>B4</v>
      </c>
      <c r="I448" s="2">
        <v>180</v>
      </c>
      <c r="J448" s="2" t="str">
        <f>CHAR(I448)</f>
        <v>´</v>
      </c>
      <c r="K448" s="41" t="s">
        <v>39</v>
      </c>
    </row>
    <row r="449" spans="1:25" x14ac:dyDescent="0.3">
      <c r="A449">
        <v>448</v>
      </c>
      <c r="H449" s="47" t="str">
        <f>DEC2HEX(I449)</f>
        <v>C5</v>
      </c>
      <c r="I449" s="2">
        <v>197</v>
      </c>
      <c r="J449" s="2" t="str">
        <f>CHAR(I449)</f>
        <v>Å</v>
      </c>
      <c r="K449" s="41" t="s">
        <v>38</v>
      </c>
    </row>
    <row r="450" spans="1:25" s="76" customFormat="1" x14ac:dyDescent="0.3">
      <c r="A450">
        <v>449</v>
      </c>
      <c r="B450"/>
      <c r="C450" s="39"/>
      <c r="D450" s="39"/>
      <c r="E450"/>
      <c r="F450"/>
      <c r="G450"/>
      <c r="H450" s="53" t="str">
        <f>DEC2HEX(I450)</f>
        <v>E2</v>
      </c>
      <c r="I450" s="52">
        <v>226</v>
      </c>
      <c r="J450" s="52" t="str">
        <f>CHAR(I450)</f>
        <v>â</v>
      </c>
      <c r="K450" s="73" t="s">
        <v>38</v>
      </c>
      <c r="L450"/>
      <c r="M450" s="43"/>
      <c r="N450" s="51"/>
      <c r="O450" s="51"/>
      <c r="P450" s="51"/>
      <c r="Q450" s="40"/>
      <c r="R450"/>
      <c r="S450" s="39"/>
      <c r="T450"/>
      <c r="U450" s="39"/>
      <c r="V450"/>
      <c r="W450"/>
      <c r="X450"/>
      <c r="Y450"/>
    </row>
    <row r="451" spans="1:25" x14ac:dyDescent="0.3">
      <c r="A451">
        <v>450</v>
      </c>
      <c r="H451" s="53" t="str">
        <f>DEC2HEX(I451)</f>
        <v>E5</v>
      </c>
      <c r="I451" s="52">
        <v>229</v>
      </c>
      <c r="J451" s="52" t="str">
        <f>CHAR(I451)</f>
        <v>å</v>
      </c>
      <c r="K451" s="73" t="s">
        <v>38</v>
      </c>
    </row>
    <row r="452" spans="1:25" x14ac:dyDescent="0.3">
      <c r="A452">
        <v>451</v>
      </c>
      <c r="H452" s="53" t="str">
        <f>DEC2HEX(I452)</f>
        <v>EE</v>
      </c>
      <c r="I452" s="52">
        <v>238</v>
      </c>
      <c r="J452" s="52" t="str">
        <f>CHAR(I452)</f>
        <v>î</v>
      </c>
      <c r="K452" s="73" t="s">
        <v>38</v>
      </c>
    </row>
    <row r="453" spans="1:25" s="30" customFormat="1" x14ac:dyDescent="0.3">
      <c r="A453">
        <v>452</v>
      </c>
      <c r="B453"/>
      <c r="C453" s="39"/>
      <c r="D453" s="39"/>
      <c r="E453"/>
      <c r="F453"/>
      <c r="G453"/>
      <c r="H453" s="53" t="str">
        <f>DEC2HEX(I453)</f>
        <v>F1</v>
      </c>
      <c r="I453" s="52">
        <v>241</v>
      </c>
      <c r="J453" s="52" t="str">
        <f>CHAR(I453)</f>
        <v>ñ</v>
      </c>
      <c r="K453" s="73" t="s">
        <v>38</v>
      </c>
      <c r="L453"/>
      <c r="M453" s="43"/>
      <c r="N453" s="51"/>
      <c r="O453" s="51"/>
      <c r="P453" s="51"/>
      <c r="Q453" s="40"/>
      <c r="R453"/>
      <c r="S453" s="39"/>
      <c r="T453"/>
      <c r="U453" s="39"/>
      <c r="V453"/>
      <c r="W453"/>
      <c r="X453"/>
      <c r="Y453"/>
    </row>
    <row r="454" spans="1:25" x14ac:dyDescent="0.3">
      <c r="A454">
        <v>453</v>
      </c>
      <c r="H454" s="53" t="str">
        <f>DEC2HEX(I454)</f>
        <v>F8</v>
      </c>
      <c r="I454" s="52">
        <v>248</v>
      </c>
      <c r="J454" s="52" t="str">
        <f>CHAR(I454)</f>
        <v>ø</v>
      </c>
      <c r="K454" s="73" t="s">
        <v>38</v>
      </c>
    </row>
    <row r="455" spans="1:25" x14ac:dyDescent="0.3">
      <c r="A455">
        <v>454</v>
      </c>
      <c r="H455" s="53" t="str">
        <f>DEC2HEX(I455)</f>
        <v>F9</v>
      </c>
      <c r="I455" s="52">
        <v>249</v>
      </c>
      <c r="J455" s="52" t="str">
        <f>CHAR(I455)</f>
        <v>ù</v>
      </c>
      <c r="K455" s="73" t="s">
        <v>38</v>
      </c>
    </row>
    <row r="456" spans="1:25" x14ac:dyDescent="0.3">
      <c r="A456">
        <v>455</v>
      </c>
      <c r="H456" s="53" t="str">
        <f>DEC2HEX(I456)</f>
        <v>FA</v>
      </c>
      <c r="I456" s="52">
        <v>250</v>
      </c>
      <c r="J456" s="52" t="str">
        <f>CHAR(I456)</f>
        <v>ú</v>
      </c>
      <c r="K456" s="73" t="s">
        <v>38</v>
      </c>
    </row>
    <row r="457" spans="1:25" x14ac:dyDescent="0.3">
      <c r="A457">
        <v>456</v>
      </c>
      <c r="H457" s="53" t="str">
        <f>DEC2HEX(I457)</f>
        <v>FD</v>
      </c>
      <c r="I457" s="52">
        <v>253</v>
      </c>
      <c r="J457" s="52" t="str">
        <f>CHAR(I457)</f>
        <v>ý</v>
      </c>
      <c r="K457" s="73" t="s">
        <v>38</v>
      </c>
    </row>
    <row r="458" spans="1:25" x14ac:dyDescent="0.3">
      <c r="A458">
        <v>457</v>
      </c>
      <c r="H458" s="47" t="str">
        <f>DEC2HEX(I458)</f>
        <v>FF</v>
      </c>
      <c r="I458" s="2">
        <v>255</v>
      </c>
      <c r="J458" s="2" t="str">
        <f>CHAR(I458)</f>
        <v>ÿ</v>
      </c>
      <c r="K458" s="41" t="s">
        <v>39</v>
      </c>
    </row>
    <row r="459" spans="1:25" s="30" customFormat="1" x14ac:dyDescent="0.3">
      <c r="A459">
        <v>458</v>
      </c>
      <c r="B459"/>
      <c r="C459" s="39"/>
      <c r="D459" s="39"/>
      <c r="E459"/>
      <c r="F459"/>
      <c r="G459"/>
      <c r="H459" s="53" t="str">
        <f>DEC2HEX(I459)</f>
        <v>21</v>
      </c>
      <c r="I459" s="52">
        <v>33</v>
      </c>
      <c r="J459" s="52" t="str">
        <f>CHAR(I459)</f>
        <v>!</v>
      </c>
      <c r="K459" s="73" t="s">
        <v>38</v>
      </c>
      <c r="L459"/>
      <c r="M459" s="43"/>
      <c r="N459" s="51"/>
      <c r="O459" s="51"/>
      <c r="P459" s="51"/>
      <c r="Q459" s="40"/>
      <c r="R459"/>
      <c r="S459" s="39"/>
      <c r="T459"/>
      <c r="U459" s="39"/>
      <c r="V459" s="40" t="str">
        <f>C459&amp;IF(ISBLANK(U459),"","=")&amp;U459</f>
        <v/>
      </c>
      <c r="W459"/>
      <c r="X459"/>
      <c r="Y459"/>
    </row>
    <row r="460" spans="1:25" x14ac:dyDescent="0.3">
      <c r="A460">
        <v>459</v>
      </c>
      <c r="H460" s="53" t="str">
        <f>DEC2HEX(I460)</f>
        <v>22</v>
      </c>
      <c r="I460" s="52">
        <v>34</v>
      </c>
      <c r="J460" s="52" t="str">
        <f>CHAR(I460)</f>
        <v>"</v>
      </c>
      <c r="K460" s="73" t="s">
        <v>38</v>
      </c>
      <c r="V460" s="40" t="str">
        <f>C460&amp;IF(ISBLANK(U460),"","=")&amp;U460</f>
        <v/>
      </c>
    </row>
    <row r="461" spans="1:25" x14ac:dyDescent="0.3">
      <c r="A461">
        <v>460</v>
      </c>
      <c r="H461" s="53" t="str">
        <f>DEC2HEX(I461)</f>
        <v>23</v>
      </c>
      <c r="I461" s="52">
        <v>35</v>
      </c>
      <c r="J461" s="52" t="str">
        <f>CHAR(I461)</f>
        <v>#</v>
      </c>
      <c r="K461" s="73" t="s">
        <v>38</v>
      </c>
      <c r="V461" s="40" t="str">
        <f>C461&amp;IF(ISBLANK(U461),"","=")&amp;U461</f>
        <v/>
      </c>
      <c r="Y461" s="30"/>
    </row>
    <row r="462" spans="1:25" x14ac:dyDescent="0.3">
      <c r="A462">
        <v>461</v>
      </c>
      <c r="H462" s="53" t="str">
        <f>DEC2HEX(I462)</f>
        <v>24</v>
      </c>
      <c r="I462" s="52">
        <v>36</v>
      </c>
      <c r="J462" s="52" t="str">
        <f>CHAR(I462)</f>
        <v>$</v>
      </c>
      <c r="K462" s="73" t="s">
        <v>38</v>
      </c>
      <c r="V462" s="40" t="str">
        <f>C462&amp;IF(ISBLANK(U462),"","=")&amp;U462</f>
        <v/>
      </c>
    </row>
    <row r="463" spans="1:25" x14ac:dyDescent="0.3">
      <c r="A463">
        <v>462</v>
      </c>
      <c r="H463" s="53" t="str">
        <f>DEC2HEX(I463)</f>
        <v>25</v>
      </c>
      <c r="I463" s="52">
        <v>37</v>
      </c>
      <c r="J463" s="52" t="str">
        <f>CHAR(I463)</f>
        <v>%</v>
      </c>
      <c r="K463" s="73" t="s">
        <v>38</v>
      </c>
      <c r="V463" s="40" t="str">
        <f>C463&amp;IF(ISBLANK(U463),"","=")&amp;U463</f>
        <v/>
      </c>
    </row>
    <row r="464" spans="1:25" x14ac:dyDescent="0.3">
      <c r="A464">
        <v>463</v>
      </c>
      <c r="H464" s="53" t="str">
        <f>DEC2HEX(I464)</f>
        <v>26</v>
      </c>
      <c r="I464" s="52">
        <v>38</v>
      </c>
      <c r="J464" s="52" t="str">
        <f>CHAR(I464)</f>
        <v>&amp;</v>
      </c>
      <c r="K464" s="73" t="s">
        <v>38</v>
      </c>
      <c r="V464" s="40" t="str">
        <f>C464&amp;IF(ISBLANK(U464),"","=")&amp;U464</f>
        <v/>
      </c>
    </row>
    <row r="465" spans="1:25" x14ac:dyDescent="0.3">
      <c r="A465">
        <v>464</v>
      </c>
      <c r="H465" s="53" t="str">
        <f>DEC2HEX(I465)</f>
        <v>27</v>
      </c>
      <c r="I465" s="52">
        <v>39</v>
      </c>
      <c r="J465" s="52" t="str">
        <f>CHAR(I465)</f>
        <v>'</v>
      </c>
      <c r="K465" s="73" t="s">
        <v>38</v>
      </c>
      <c r="V465" s="40" t="str">
        <f>C465&amp;IF(ISBLANK(U465),"","=")&amp;U465</f>
        <v/>
      </c>
    </row>
    <row r="466" spans="1:25" x14ac:dyDescent="0.3">
      <c r="A466">
        <v>465</v>
      </c>
      <c r="H466" s="53" t="str">
        <f>DEC2HEX(I466)</f>
        <v>28</v>
      </c>
      <c r="I466" s="52">
        <v>40</v>
      </c>
      <c r="J466" s="52" t="str">
        <f>CHAR(I466)</f>
        <v>(</v>
      </c>
      <c r="K466" s="73" t="s">
        <v>38</v>
      </c>
      <c r="V466" s="40" t="str">
        <f>C466&amp;IF(ISBLANK(U466),"","=")&amp;U466</f>
        <v/>
      </c>
      <c r="W466" s="30"/>
      <c r="X466" s="30"/>
    </row>
    <row r="467" spans="1:25" x14ac:dyDescent="0.3">
      <c r="A467">
        <v>466</v>
      </c>
      <c r="H467" s="53" t="str">
        <f>DEC2HEX(I467)</f>
        <v>29</v>
      </c>
      <c r="I467" s="52">
        <v>41</v>
      </c>
      <c r="J467" s="52" t="str">
        <f>CHAR(I467)</f>
        <v>)</v>
      </c>
      <c r="K467" s="73" t="s">
        <v>38</v>
      </c>
      <c r="V467" s="40" t="str">
        <f>C467&amp;IF(ISBLANK(U467),"","=")&amp;U467</f>
        <v/>
      </c>
    </row>
    <row r="468" spans="1:25" x14ac:dyDescent="0.3">
      <c r="A468">
        <v>467</v>
      </c>
      <c r="H468" s="53" t="str">
        <f>DEC2HEX(I468)</f>
        <v>2A</v>
      </c>
      <c r="I468" s="52">
        <v>42</v>
      </c>
      <c r="J468" s="52" t="str">
        <f>CHAR(I468)</f>
        <v>*</v>
      </c>
      <c r="K468" s="118" t="s">
        <v>38</v>
      </c>
      <c r="V468" s="40" t="str">
        <f>C468&amp;IF(ISBLANK(U468),"","=")&amp;U468</f>
        <v/>
      </c>
    </row>
    <row r="469" spans="1:25" x14ac:dyDescent="0.3">
      <c r="A469">
        <v>468</v>
      </c>
      <c r="H469" s="53" t="str">
        <f>DEC2HEX(I469)</f>
        <v>2B</v>
      </c>
      <c r="I469" s="52">
        <v>43</v>
      </c>
      <c r="J469" s="52" t="str">
        <f>CHAR(I469)</f>
        <v>+</v>
      </c>
      <c r="K469" s="118" t="s">
        <v>38</v>
      </c>
      <c r="V469" s="40" t="str">
        <f>C469&amp;IF(ISBLANK(U469),"","=")&amp;U469</f>
        <v/>
      </c>
    </row>
    <row r="470" spans="1:25" s="76" customFormat="1" x14ac:dyDescent="0.3">
      <c r="A470">
        <v>469</v>
      </c>
      <c r="B470"/>
      <c r="C470" s="110"/>
      <c r="D470" s="39"/>
      <c r="E470"/>
      <c r="F470"/>
      <c r="G470"/>
      <c r="H470" s="53" t="str">
        <f>DEC2HEX(I470)</f>
        <v>2C</v>
      </c>
      <c r="I470" s="52">
        <v>44</v>
      </c>
      <c r="J470" s="52" t="str">
        <f>CHAR(I470)</f>
        <v>,</v>
      </c>
      <c r="K470" s="118" t="s">
        <v>38</v>
      </c>
      <c r="L470"/>
      <c r="M470" s="43"/>
      <c r="N470" s="51"/>
      <c r="O470" s="51"/>
      <c r="P470" s="51"/>
      <c r="Q470" s="40"/>
      <c r="R470"/>
      <c r="S470" s="39"/>
      <c r="T470"/>
      <c r="U470" s="39"/>
      <c r="V470" s="40" t="str">
        <f>C470&amp;IF(ISBLANK(U470),"","=")&amp;U470</f>
        <v/>
      </c>
      <c r="W470"/>
      <c r="X470"/>
      <c r="Y470"/>
    </row>
    <row r="471" spans="1:25" x14ac:dyDescent="0.3">
      <c r="A471">
        <v>470</v>
      </c>
      <c r="C471" s="110"/>
      <c r="H471" s="53" t="str">
        <f>DEC2HEX(I471)</f>
        <v>2D</v>
      </c>
      <c r="I471" s="52">
        <v>45</v>
      </c>
      <c r="J471" s="52" t="str">
        <f>CHAR(I471)</f>
        <v>-</v>
      </c>
      <c r="K471" s="118" t="s">
        <v>38</v>
      </c>
      <c r="V471" s="40" t="str">
        <f>C471&amp;IF(ISBLANK(U471),"","=")&amp;U471</f>
        <v/>
      </c>
    </row>
    <row r="472" spans="1:25" x14ac:dyDescent="0.3">
      <c r="A472">
        <v>471</v>
      </c>
      <c r="C472" s="110"/>
      <c r="H472" s="120" t="str">
        <f>DEC2HEX(I472)</f>
        <v>2F</v>
      </c>
      <c r="I472" s="2">
        <v>47</v>
      </c>
      <c r="J472" s="2" t="str">
        <f>CHAR(I472)</f>
        <v>/</v>
      </c>
      <c r="K472" s="41" t="s">
        <v>39</v>
      </c>
      <c r="V472" s="40" t="str">
        <f>C472&amp;IF(ISBLANK(U472),"","=")&amp;U472</f>
        <v/>
      </c>
    </row>
    <row r="473" spans="1:25" s="29" customFormat="1" x14ac:dyDescent="0.3">
      <c r="A473">
        <v>472</v>
      </c>
      <c r="B473"/>
      <c r="C473" s="110"/>
      <c r="D473" s="39"/>
      <c r="E473"/>
      <c r="F473"/>
      <c r="G473"/>
      <c r="H473" s="120" t="str">
        <f>DEC2HEX(I473)</f>
        <v>30</v>
      </c>
      <c r="I473" s="2">
        <v>48</v>
      </c>
      <c r="J473" s="2" t="str">
        <f>CHAR(I473)</f>
        <v>0</v>
      </c>
      <c r="K473" s="41" t="s">
        <v>39</v>
      </c>
      <c r="L473"/>
      <c r="M473" s="43"/>
      <c r="N473" s="51"/>
      <c r="O473" s="51"/>
      <c r="P473" s="51"/>
      <c r="Q473" s="40"/>
      <c r="R473"/>
      <c r="S473" s="39"/>
      <c r="T473"/>
      <c r="U473" s="39"/>
      <c r="V473" s="40" t="str">
        <f>C473&amp;IF(ISBLANK(U473),"","=")&amp;U473</f>
        <v/>
      </c>
      <c r="W473"/>
      <c r="X473"/>
      <c r="Y473"/>
    </row>
    <row r="474" spans="1:25" x14ac:dyDescent="0.3">
      <c r="A474">
        <v>473</v>
      </c>
      <c r="H474" s="47" t="str">
        <f>DEC2HEX(I474)</f>
        <v>31</v>
      </c>
      <c r="I474" s="2">
        <v>49</v>
      </c>
      <c r="J474" s="2" t="str">
        <f>CHAR(I474)</f>
        <v>1</v>
      </c>
      <c r="K474" s="41" t="s">
        <v>39</v>
      </c>
      <c r="V474" s="40" t="str">
        <f>C474&amp;IF(ISBLANK(U474),"","=")&amp;U474</f>
        <v/>
      </c>
      <c r="W474" s="30"/>
      <c r="X474" s="30"/>
    </row>
    <row r="475" spans="1:25" x14ac:dyDescent="0.3">
      <c r="A475">
        <v>474</v>
      </c>
      <c r="C475" s="110"/>
      <c r="H475" s="120" t="str">
        <f>DEC2HEX(I475)</f>
        <v>32</v>
      </c>
      <c r="I475" s="2">
        <v>50</v>
      </c>
      <c r="J475" s="2" t="str">
        <f>CHAR(I475)</f>
        <v>2</v>
      </c>
      <c r="K475" s="41" t="s">
        <v>39</v>
      </c>
      <c r="V475" s="40" t="str">
        <f>C475&amp;IF(ISBLANK(U475),"","=")&amp;U475</f>
        <v/>
      </c>
    </row>
    <row r="476" spans="1:25" x14ac:dyDescent="0.3">
      <c r="A476">
        <v>475</v>
      </c>
      <c r="C476" s="110"/>
      <c r="H476" s="47" t="str">
        <f>DEC2HEX(I476)</f>
        <v>33</v>
      </c>
      <c r="I476" s="2">
        <v>51</v>
      </c>
      <c r="J476" s="2" t="str">
        <f>CHAR(I476)</f>
        <v>3</v>
      </c>
      <c r="K476" s="41" t="s">
        <v>39</v>
      </c>
      <c r="V476" s="40" t="str">
        <f>C476&amp;IF(ISBLANK(U476),"","=")&amp;U476</f>
        <v/>
      </c>
    </row>
    <row r="477" spans="1:25" x14ac:dyDescent="0.3">
      <c r="A477">
        <v>476</v>
      </c>
      <c r="H477" s="47" t="str">
        <f>DEC2HEX(I477)</f>
        <v>34</v>
      </c>
      <c r="I477" s="2">
        <v>52</v>
      </c>
      <c r="J477" s="2" t="str">
        <f>CHAR(I477)</f>
        <v>4</v>
      </c>
      <c r="K477" s="117" t="s">
        <v>39</v>
      </c>
      <c r="V477" s="40" t="str">
        <f>C477&amp;IF(ISBLANK(U477),"","=")&amp;U477</f>
        <v/>
      </c>
    </row>
    <row r="478" spans="1:25" x14ac:dyDescent="0.3">
      <c r="A478">
        <v>477</v>
      </c>
      <c r="H478" s="47" t="str">
        <f>DEC2HEX(I478)</f>
        <v>35</v>
      </c>
      <c r="I478" s="2">
        <v>53</v>
      </c>
      <c r="J478" s="2" t="str">
        <f>CHAR(I478)</f>
        <v>5</v>
      </c>
      <c r="K478" s="117" t="s">
        <v>39</v>
      </c>
      <c r="V478" s="40" t="str">
        <f>C478&amp;IF(ISBLANK(U478),"","=")&amp;U478</f>
        <v/>
      </c>
    </row>
    <row r="479" spans="1:25" x14ac:dyDescent="0.3">
      <c r="A479">
        <v>478</v>
      </c>
      <c r="C479" s="110"/>
      <c r="H479" s="47" t="str">
        <f>DEC2HEX(I479)</f>
        <v>36</v>
      </c>
      <c r="I479" s="2">
        <v>54</v>
      </c>
      <c r="J479" s="2" t="str">
        <f>CHAR(I479)</f>
        <v>6</v>
      </c>
      <c r="K479" s="41" t="s">
        <v>39</v>
      </c>
      <c r="V479" s="40" t="str">
        <f>C479&amp;IF(ISBLANK(U479),"","=")&amp;U479</f>
        <v/>
      </c>
    </row>
    <row r="480" spans="1:25" x14ac:dyDescent="0.3">
      <c r="A480">
        <v>479</v>
      </c>
      <c r="H480" s="47" t="str">
        <f>DEC2HEX(I480)</f>
        <v>37</v>
      </c>
      <c r="I480" s="2">
        <v>55</v>
      </c>
      <c r="J480" s="2" t="str">
        <f>CHAR(I480)</f>
        <v>7</v>
      </c>
      <c r="K480" s="41" t="s">
        <v>39</v>
      </c>
      <c r="V480" s="40" t="str">
        <f>C480&amp;IF(ISBLANK(U480),"","=")&amp;U480</f>
        <v/>
      </c>
    </row>
    <row r="481" spans="1:25" x14ac:dyDescent="0.3">
      <c r="A481">
        <v>480</v>
      </c>
      <c r="H481" s="47" t="str">
        <f>DEC2HEX(I481)</f>
        <v>38</v>
      </c>
      <c r="I481" s="2">
        <v>56</v>
      </c>
      <c r="J481" s="2" t="str">
        <f>CHAR(I481)</f>
        <v>8</v>
      </c>
      <c r="K481" s="41" t="s">
        <v>39</v>
      </c>
      <c r="V481" s="40" t="str">
        <f>C481&amp;IF(ISBLANK(U481),"","=")&amp;U481</f>
        <v/>
      </c>
    </row>
    <row r="482" spans="1:25" x14ac:dyDescent="0.3">
      <c r="A482">
        <v>481</v>
      </c>
      <c r="H482" s="47" t="str">
        <f>DEC2HEX(I482)</f>
        <v>39</v>
      </c>
      <c r="I482" s="2">
        <v>57</v>
      </c>
      <c r="J482" s="2" t="str">
        <f>CHAR(I482)</f>
        <v>9</v>
      </c>
      <c r="K482" s="41" t="s">
        <v>39</v>
      </c>
      <c r="V482" s="40" t="str">
        <f>C482&amp;IF(ISBLANK(U482),"","=")&amp;U482</f>
        <v/>
      </c>
    </row>
    <row r="483" spans="1:25" s="76" customFormat="1" x14ac:dyDescent="0.3">
      <c r="A483">
        <v>482</v>
      </c>
      <c r="B483"/>
      <c r="C483" s="39"/>
      <c r="D483" s="39"/>
      <c r="E483"/>
      <c r="F483"/>
      <c r="G483"/>
      <c r="H483" s="47" t="str">
        <f>DEC2HEX(I483)</f>
        <v>5C</v>
      </c>
      <c r="I483" s="2">
        <v>92</v>
      </c>
      <c r="J483" s="2" t="str">
        <f>CHAR(I483)</f>
        <v>\</v>
      </c>
      <c r="K483" s="41" t="s">
        <v>39</v>
      </c>
      <c r="L483"/>
      <c r="M483" s="43"/>
      <c r="N483" s="51"/>
      <c r="O483" s="51"/>
      <c r="P483" s="51"/>
      <c r="Q483" s="40"/>
      <c r="R483"/>
      <c r="S483" s="39"/>
      <c r="T483"/>
      <c r="U483" s="39"/>
      <c r="V483" s="40" t="str">
        <f>C483&amp;IF(ISBLANK(U483),"","=")&amp;U483</f>
        <v/>
      </c>
      <c r="W483"/>
      <c r="X483"/>
      <c r="Y483"/>
    </row>
    <row r="484" spans="1:25" x14ac:dyDescent="0.3">
      <c r="A484">
        <v>483</v>
      </c>
      <c r="H484" s="47" t="str">
        <f>DEC2HEX(I484)</f>
        <v>60</v>
      </c>
      <c r="I484" s="2">
        <v>96</v>
      </c>
      <c r="J484" s="2" t="str">
        <f>CHAR(I484)</f>
        <v>`</v>
      </c>
      <c r="K484" s="41" t="s">
        <v>39</v>
      </c>
      <c r="V484" s="40" t="str">
        <f>C484&amp;IF(ISBLANK(U484),"","=")&amp;U484</f>
        <v/>
      </c>
    </row>
    <row r="485" spans="1:25" x14ac:dyDescent="0.3">
      <c r="A485">
        <v>484</v>
      </c>
      <c r="H485" s="47" t="str">
        <f>DEC2HEX(I485)</f>
        <v>7F</v>
      </c>
      <c r="I485" s="2">
        <v>127</v>
      </c>
      <c r="J485" s="2" t="str">
        <f>CHAR(I485)</f>
        <v></v>
      </c>
      <c r="K485" s="41" t="s">
        <v>39</v>
      </c>
      <c r="V485" s="40" t="str">
        <f>C485&amp;IF(ISBLANK(U485),"","=")&amp;U485</f>
        <v/>
      </c>
    </row>
    <row r="486" spans="1:25" x14ac:dyDescent="0.3">
      <c r="A486">
        <v>485</v>
      </c>
      <c r="H486" s="47" t="str">
        <f>DEC2HEX(I486)</f>
        <v>80</v>
      </c>
      <c r="I486" s="2">
        <v>128</v>
      </c>
      <c r="J486" s="2" t="str">
        <f>CHAR(I486)</f>
        <v>€</v>
      </c>
      <c r="K486" s="41" t="s">
        <v>39</v>
      </c>
      <c r="V486" s="40" t="str">
        <f>C486&amp;IF(ISBLANK(U486),"","=")&amp;U486</f>
        <v/>
      </c>
    </row>
    <row r="487" spans="1:25" x14ac:dyDescent="0.3">
      <c r="A487">
        <v>486</v>
      </c>
      <c r="H487" s="47" t="str">
        <f>DEC2HEX(I487)</f>
        <v>81</v>
      </c>
      <c r="I487" s="2">
        <v>129</v>
      </c>
      <c r="J487" s="2" t="str">
        <f>CHAR(I487)</f>
        <v></v>
      </c>
      <c r="K487" s="41" t="s">
        <v>39</v>
      </c>
      <c r="V487" s="40" t="str">
        <f>C487&amp;IF(ISBLANK(U487),"","=")&amp;U487</f>
        <v/>
      </c>
    </row>
    <row r="488" spans="1:25" s="29" customFormat="1" x14ac:dyDescent="0.3">
      <c r="A488">
        <v>487</v>
      </c>
      <c r="B488"/>
      <c r="C488" s="39"/>
      <c r="D488" s="39"/>
      <c r="E488"/>
      <c r="F488"/>
      <c r="G488"/>
      <c r="H488" s="47" t="str">
        <f>DEC2HEX(I488)</f>
        <v>82</v>
      </c>
      <c r="I488" s="2">
        <v>130</v>
      </c>
      <c r="J488" s="2" t="str">
        <f>CHAR(I488)</f>
        <v>‚</v>
      </c>
      <c r="K488" s="41" t="s">
        <v>39</v>
      </c>
      <c r="L488"/>
      <c r="M488" s="43"/>
      <c r="N488" s="51"/>
      <c r="O488" s="51"/>
      <c r="P488" s="51"/>
      <c r="Q488" s="40"/>
      <c r="R488"/>
      <c r="S488" s="39"/>
      <c r="T488"/>
      <c r="U488" s="39"/>
      <c r="V488" s="40" t="str">
        <f>C488&amp;IF(ISBLANK(U488),"","=")&amp;U488</f>
        <v/>
      </c>
      <c r="W488"/>
      <c r="X488"/>
      <c r="Y488"/>
    </row>
    <row r="489" spans="1:25" x14ac:dyDescent="0.3">
      <c r="A489">
        <v>488</v>
      </c>
      <c r="H489" s="47" t="str">
        <f>DEC2HEX(I489)</f>
        <v>83</v>
      </c>
      <c r="I489" s="2">
        <v>131</v>
      </c>
      <c r="J489" s="2" t="str">
        <f>CHAR(I489)</f>
        <v>ƒ</v>
      </c>
      <c r="K489" s="41" t="s">
        <v>39</v>
      </c>
      <c r="V489" s="40" t="str">
        <f>C489&amp;IF(ISBLANK(U489),"","=")&amp;U489</f>
        <v/>
      </c>
    </row>
    <row r="490" spans="1:25" x14ac:dyDescent="0.3">
      <c r="A490">
        <v>489</v>
      </c>
      <c r="H490" s="47" t="str">
        <f>DEC2HEX(I490)</f>
        <v>84</v>
      </c>
      <c r="I490" s="2">
        <v>132</v>
      </c>
      <c r="J490" s="2" t="str">
        <f>CHAR(I490)</f>
        <v>„</v>
      </c>
      <c r="K490" s="41" t="s">
        <v>39</v>
      </c>
      <c r="V490" s="40" t="str">
        <f>C490&amp;IF(ISBLANK(U490),"","=")&amp;U490</f>
        <v/>
      </c>
      <c r="W490" s="30"/>
      <c r="X490" s="30"/>
    </row>
    <row r="491" spans="1:25" s="76" customFormat="1" x14ac:dyDescent="0.3">
      <c r="A491">
        <v>490</v>
      </c>
      <c r="B491"/>
      <c r="C491" s="39"/>
      <c r="D491" s="39"/>
      <c r="E491"/>
      <c r="F491"/>
      <c r="G491"/>
      <c r="H491" s="47" t="str">
        <f>DEC2HEX(I491)</f>
        <v>85</v>
      </c>
      <c r="I491" s="2">
        <v>133</v>
      </c>
      <c r="J491" s="2" t="str">
        <f>CHAR(I491)</f>
        <v>…</v>
      </c>
      <c r="K491" s="41" t="s">
        <v>39</v>
      </c>
      <c r="L491"/>
      <c r="M491" s="43"/>
      <c r="N491" s="51"/>
      <c r="O491" s="51"/>
      <c r="P491" s="51"/>
      <c r="Q491" s="40"/>
      <c r="R491"/>
      <c r="S491" s="39"/>
      <c r="T491"/>
      <c r="U491" s="39"/>
      <c r="V491" s="40" t="str">
        <f>C491&amp;IF(ISBLANK(U491),"","=")&amp;U491</f>
        <v/>
      </c>
      <c r="W491"/>
      <c r="X491"/>
      <c r="Y491"/>
    </row>
    <row r="492" spans="1:25" x14ac:dyDescent="0.3">
      <c r="A492">
        <v>491</v>
      </c>
      <c r="H492" s="47" t="str">
        <f>DEC2HEX(I492)</f>
        <v>86</v>
      </c>
      <c r="I492" s="2">
        <v>134</v>
      </c>
      <c r="J492" s="2" t="str">
        <f>CHAR(I492)</f>
        <v>†</v>
      </c>
      <c r="K492" s="41" t="s">
        <v>39</v>
      </c>
      <c r="V492" s="40" t="str">
        <f>C492&amp;IF(ISBLANK(U492),"","=")&amp;U492</f>
        <v/>
      </c>
    </row>
    <row r="493" spans="1:25" x14ac:dyDescent="0.3">
      <c r="A493">
        <v>492</v>
      </c>
      <c r="H493" s="47" t="str">
        <f>DEC2HEX(I493)</f>
        <v>87</v>
      </c>
      <c r="I493" s="2">
        <v>135</v>
      </c>
      <c r="J493" s="2" t="str">
        <f>CHAR(I493)</f>
        <v>‡</v>
      </c>
      <c r="K493" s="41" t="s">
        <v>39</v>
      </c>
      <c r="V493" s="40" t="str">
        <f>C493&amp;IF(ISBLANK(U493),"","=")&amp;U493</f>
        <v/>
      </c>
    </row>
    <row r="494" spans="1:25" x14ac:dyDescent="0.3">
      <c r="A494">
        <v>493</v>
      </c>
      <c r="H494" s="47" t="str">
        <f>DEC2HEX(I494)</f>
        <v>88</v>
      </c>
      <c r="I494" s="2">
        <v>136</v>
      </c>
      <c r="J494" s="2" t="str">
        <f>CHAR(I494)</f>
        <v>ˆ</v>
      </c>
      <c r="K494" s="41" t="s">
        <v>39</v>
      </c>
      <c r="V494" s="40" t="str">
        <f>C494&amp;IF(ISBLANK(U494),"","=")&amp;U494</f>
        <v/>
      </c>
    </row>
    <row r="495" spans="1:25" x14ac:dyDescent="0.3">
      <c r="A495">
        <v>494</v>
      </c>
      <c r="H495" s="47" t="str">
        <f>DEC2HEX(I495)</f>
        <v>89</v>
      </c>
      <c r="I495" s="2">
        <v>137</v>
      </c>
      <c r="J495" s="2" t="str">
        <f>CHAR(I495)</f>
        <v>‰</v>
      </c>
      <c r="K495" s="41" t="s">
        <v>39</v>
      </c>
      <c r="V495" s="40" t="str">
        <f>C495&amp;IF(ISBLANK(U495),"","=")&amp;U495</f>
        <v/>
      </c>
    </row>
    <row r="496" spans="1:25" s="29" customFormat="1" x14ac:dyDescent="0.3">
      <c r="A496">
        <v>495</v>
      </c>
      <c r="B496"/>
      <c r="C496" s="39"/>
      <c r="D496" s="39"/>
      <c r="E496"/>
      <c r="F496"/>
      <c r="G496"/>
      <c r="H496" s="47" t="str">
        <f>DEC2HEX(I496)</f>
        <v>8A</v>
      </c>
      <c r="I496" s="2">
        <v>138</v>
      </c>
      <c r="J496" s="2" t="str">
        <f>CHAR(I496)</f>
        <v>Š</v>
      </c>
      <c r="K496" s="41" t="s">
        <v>39</v>
      </c>
      <c r="L496"/>
      <c r="M496" s="43"/>
      <c r="N496" s="51"/>
      <c r="O496" s="51"/>
      <c r="P496" s="51"/>
      <c r="Q496" s="40"/>
      <c r="R496"/>
      <c r="S496" s="39"/>
      <c r="T496"/>
      <c r="U496" s="39"/>
      <c r="V496" s="40" t="str">
        <f>C496&amp;IF(ISBLANK(U496),"","=")&amp;U496</f>
        <v/>
      </c>
      <c r="W496"/>
      <c r="X496"/>
      <c r="Y496" s="30"/>
    </row>
    <row r="497" spans="1:25" x14ac:dyDescent="0.3">
      <c r="A497">
        <v>496</v>
      </c>
      <c r="H497" s="47" t="str">
        <f>DEC2HEX(I497)</f>
        <v>8B</v>
      </c>
      <c r="I497" s="2">
        <v>139</v>
      </c>
      <c r="J497" s="2" t="str">
        <f>CHAR(I497)</f>
        <v>‹</v>
      </c>
      <c r="K497" s="41" t="s">
        <v>39</v>
      </c>
      <c r="V497" s="40" t="str">
        <f>C497&amp;IF(ISBLANK(U497),"","=")&amp;U497</f>
        <v/>
      </c>
      <c r="W497" s="30"/>
      <c r="X497" s="30"/>
    </row>
    <row r="498" spans="1:25" x14ac:dyDescent="0.3">
      <c r="A498">
        <v>497</v>
      </c>
      <c r="H498" s="47" t="str">
        <f>DEC2HEX(I498)</f>
        <v>8C</v>
      </c>
      <c r="I498" s="2">
        <v>140</v>
      </c>
      <c r="J498" s="2" t="str">
        <f>CHAR(I498)</f>
        <v>Œ</v>
      </c>
      <c r="K498" s="41" t="s">
        <v>39</v>
      </c>
      <c r="V498" s="40" t="str">
        <f>C498&amp;IF(ISBLANK(U498),"","=")&amp;U498</f>
        <v/>
      </c>
    </row>
    <row r="499" spans="1:25" s="76" customFormat="1" x14ac:dyDescent="0.3">
      <c r="A499">
        <v>498</v>
      </c>
      <c r="B499"/>
      <c r="C499" s="39"/>
      <c r="D499" s="39"/>
      <c r="E499"/>
      <c r="F499"/>
      <c r="G499"/>
      <c r="H499" s="47" t="str">
        <f>DEC2HEX(I499)</f>
        <v>8D</v>
      </c>
      <c r="I499" s="2">
        <v>141</v>
      </c>
      <c r="J499" s="2" t="str">
        <f>CHAR(I499)</f>
        <v></v>
      </c>
      <c r="K499" s="41" t="s">
        <v>39</v>
      </c>
      <c r="L499"/>
      <c r="M499" s="43"/>
      <c r="N499" s="51"/>
      <c r="O499" s="51"/>
      <c r="P499" s="51"/>
      <c r="Q499" s="40"/>
      <c r="R499"/>
      <c r="S499" s="39"/>
      <c r="T499"/>
      <c r="U499" s="39"/>
      <c r="V499" s="40" t="str">
        <f>C499&amp;IF(ISBLANK(U499),"","=")&amp;U499</f>
        <v/>
      </c>
      <c r="W499"/>
      <c r="X499"/>
      <c r="Y499"/>
    </row>
    <row r="500" spans="1:25" x14ac:dyDescent="0.3">
      <c r="A500">
        <v>499</v>
      </c>
      <c r="H500" s="47" t="str">
        <f>DEC2HEX(I500)</f>
        <v>8E</v>
      </c>
      <c r="I500" s="2">
        <v>142</v>
      </c>
      <c r="J500" s="2" t="str">
        <f>CHAR(I500)</f>
        <v>Ž</v>
      </c>
      <c r="K500" s="41" t="s">
        <v>39</v>
      </c>
      <c r="V500" s="40" t="str">
        <f>C500&amp;IF(ISBLANK(U500),"","=")&amp;U500</f>
        <v/>
      </c>
    </row>
    <row r="501" spans="1:25" x14ac:dyDescent="0.3">
      <c r="A501">
        <v>500</v>
      </c>
      <c r="H501" s="47" t="str">
        <f>DEC2HEX(I501)</f>
        <v>8F</v>
      </c>
      <c r="I501" s="2">
        <v>143</v>
      </c>
      <c r="J501" s="2" t="str">
        <f>CHAR(I501)</f>
        <v></v>
      </c>
      <c r="K501" s="41" t="s">
        <v>39</v>
      </c>
      <c r="V501" s="40" t="str">
        <f>C501&amp;IF(ISBLANK(U501),"","=")&amp;U501</f>
        <v/>
      </c>
    </row>
    <row r="502" spans="1:25" x14ac:dyDescent="0.3">
      <c r="A502">
        <v>501</v>
      </c>
      <c r="H502" s="47" t="str">
        <f>DEC2HEX(I502)</f>
        <v>90</v>
      </c>
      <c r="I502" s="2">
        <v>144</v>
      </c>
      <c r="J502" s="2" t="str">
        <f>CHAR(I502)</f>
        <v></v>
      </c>
      <c r="K502" s="41" t="s">
        <v>39</v>
      </c>
      <c r="V502" s="40" t="str">
        <f>C502&amp;IF(ISBLANK(U502),"","=")&amp;U502</f>
        <v/>
      </c>
    </row>
    <row r="503" spans="1:25" s="29" customFormat="1" x14ac:dyDescent="0.3">
      <c r="A503">
        <v>502</v>
      </c>
      <c r="B503"/>
      <c r="C503" s="39"/>
      <c r="D503" s="39"/>
      <c r="E503"/>
      <c r="F503"/>
      <c r="G503"/>
      <c r="H503" s="47" t="str">
        <f>DEC2HEX(I503)</f>
        <v>91</v>
      </c>
      <c r="I503" s="2">
        <v>145</v>
      </c>
      <c r="J503" s="2" t="str">
        <f>CHAR(I503)</f>
        <v>‘</v>
      </c>
      <c r="K503" s="41" t="s">
        <v>39</v>
      </c>
      <c r="L503"/>
      <c r="M503" s="43"/>
      <c r="N503" s="51"/>
      <c r="O503" s="51"/>
      <c r="P503" s="51"/>
      <c r="Q503" s="40"/>
      <c r="R503"/>
      <c r="S503" s="39"/>
      <c r="T503"/>
      <c r="U503" s="39"/>
      <c r="V503" s="40" t="str">
        <f>C503&amp;IF(ISBLANK(U503),"","=")&amp;U503</f>
        <v/>
      </c>
      <c r="W503"/>
      <c r="X503"/>
      <c r="Y503"/>
    </row>
    <row r="504" spans="1:25" x14ac:dyDescent="0.3">
      <c r="A504">
        <v>503</v>
      </c>
      <c r="H504" s="47" t="str">
        <f>DEC2HEX(I504)</f>
        <v>92</v>
      </c>
      <c r="I504" s="2">
        <v>146</v>
      </c>
      <c r="J504" s="2" t="str">
        <f>CHAR(I504)</f>
        <v>’</v>
      </c>
      <c r="K504" s="41" t="s">
        <v>39</v>
      </c>
      <c r="V504" s="40" t="str">
        <f>C504&amp;IF(ISBLANK(U504),"","=")&amp;U504</f>
        <v/>
      </c>
      <c r="W504" s="76"/>
      <c r="X504" s="76"/>
    </row>
    <row r="505" spans="1:25" x14ac:dyDescent="0.3">
      <c r="A505">
        <v>504</v>
      </c>
      <c r="H505" s="47" t="str">
        <f>DEC2HEX(I505)</f>
        <v>93</v>
      </c>
      <c r="I505" s="2">
        <v>147</v>
      </c>
      <c r="J505" s="2" t="str">
        <f>CHAR(I505)</f>
        <v>“</v>
      </c>
      <c r="K505" s="41" t="s">
        <v>39</v>
      </c>
      <c r="V505" s="40" t="str">
        <f>C505&amp;IF(ISBLANK(U505),"","=")&amp;U505</f>
        <v/>
      </c>
      <c r="W505" s="76"/>
      <c r="X505" s="76"/>
    </row>
    <row r="506" spans="1:25" x14ac:dyDescent="0.3">
      <c r="A506">
        <v>505</v>
      </c>
      <c r="H506" s="47" t="str">
        <f>DEC2HEX(I506)</f>
        <v>94</v>
      </c>
      <c r="I506" s="2">
        <v>148</v>
      </c>
      <c r="J506" s="2" t="str">
        <f>CHAR(I506)</f>
        <v>”</v>
      </c>
      <c r="K506" s="41" t="s">
        <v>39</v>
      </c>
      <c r="V506" s="40" t="str">
        <f>C506&amp;IF(ISBLANK(U506),"","=")&amp;U506</f>
        <v/>
      </c>
      <c r="W506" s="76"/>
      <c r="X506" s="76"/>
    </row>
    <row r="507" spans="1:25" x14ac:dyDescent="0.3">
      <c r="A507">
        <v>506</v>
      </c>
      <c r="C507" s="110"/>
      <c r="D507" s="110"/>
      <c r="H507" s="120" t="str">
        <f>DEC2HEX(I507)</f>
        <v>95</v>
      </c>
      <c r="I507" s="2">
        <v>149</v>
      </c>
      <c r="J507" s="2" t="str">
        <f>CHAR(I507)</f>
        <v>•</v>
      </c>
      <c r="K507" s="41" t="s">
        <v>39</v>
      </c>
      <c r="S507" s="110"/>
      <c r="U507" s="110"/>
      <c r="V507" s="40" t="str">
        <f>C507&amp;IF(ISBLANK(U507),"","=")&amp;U507</f>
        <v/>
      </c>
      <c r="W507" s="76"/>
      <c r="X507" s="76"/>
    </row>
    <row r="508" spans="1:25" x14ac:dyDescent="0.3">
      <c r="A508">
        <v>507</v>
      </c>
      <c r="H508" s="47" t="str">
        <f>DEC2HEX(I508)</f>
        <v>96</v>
      </c>
      <c r="I508" s="2">
        <v>150</v>
      </c>
      <c r="J508" s="2" t="str">
        <f>CHAR(I508)</f>
        <v>–</v>
      </c>
      <c r="K508" s="41" t="s">
        <v>39</v>
      </c>
      <c r="V508" s="40" t="str">
        <f>C508&amp;IF(ISBLANK(U508),"","=")&amp;U508</f>
        <v/>
      </c>
      <c r="W508" s="76"/>
      <c r="X508" s="76"/>
    </row>
    <row r="509" spans="1:25" x14ac:dyDescent="0.3">
      <c r="A509">
        <v>508</v>
      </c>
      <c r="H509" s="47" t="str">
        <f>DEC2HEX(I509)</f>
        <v>97</v>
      </c>
      <c r="I509" s="2">
        <v>151</v>
      </c>
      <c r="J509" s="2" t="str">
        <f>CHAR(I509)</f>
        <v>—</v>
      </c>
      <c r="K509" s="41" t="s">
        <v>39</v>
      </c>
      <c r="V509" s="40" t="str">
        <f>C509&amp;IF(ISBLANK(U509),"","=")&amp;U509</f>
        <v/>
      </c>
      <c r="W509" s="76"/>
      <c r="X509" s="76"/>
    </row>
    <row r="510" spans="1:25" x14ac:dyDescent="0.3">
      <c r="A510">
        <v>509</v>
      </c>
      <c r="H510" s="47" t="str">
        <f>DEC2HEX(I510)</f>
        <v>98</v>
      </c>
      <c r="I510" s="2">
        <v>152</v>
      </c>
      <c r="J510" s="2" t="str">
        <f>CHAR(I510)</f>
        <v>˜</v>
      </c>
      <c r="K510" s="41" t="s">
        <v>39</v>
      </c>
    </row>
    <row r="511" spans="1:25" x14ac:dyDescent="0.3">
      <c r="A511">
        <v>510</v>
      </c>
      <c r="H511" s="47" t="str">
        <f>DEC2HEX(I511)</f>
        <v>99</v>
      </c>
      <c r="I511" s="2">
        <v>153</v>
      </c>
      <c r="J511" s="2" t="str">
        <f>CHAR(I511)</f>
        <v>™</v>
      </c>
      <c r="K511" s="41" t="s">
        <v>39</v>
      </c>
    </row>
    <row r="512" spans="1:25" x14ac:dyDescent="0.3">
      <c r="A512">
        <v>511</v>
      </c>
      <c r="H512" s="47" t="str">
        <f>DEC2HEX(I512)</f>
        <v>9A</v>
      </c>
      <c r="I512" s="2">
        <v>154</v>
      </c>
      <c r="J512" s="2" t="str">
        <f>CHAR(I512)</f>
        <v>š</v>
      </c>
      <c r="K512" s="117" t="s">
        <v>39</v>
      </c>
    </row>
    <row r="513" spans="1:25" x14ac:dyDescent="0.3">
      <c r="A513">
        <v>512</v>
      </c>
      <c r="H513" s="47" t="str">
        <f>DEC2HEX(I513)</f>
        <v>9B</v>
      </c>
      <c r="I513" s="2">
        <v>155</v>
      </c>
      <c r="J513" s="2" t="str">
        <f>CHAR(I513)</f>
        <v>›</v>
      </c>
      <c r="K513" s="117" t="s">
        <v>39</v>
      </c>
    </row>
    <row r="514" spans="1:25" x14ac:dyDescent="0.3">
      <c r="A514">
        <v>513</v>
      </c>
      <c r="H514" s="47" t="str">
        <f>DEC2HEX(I514)</f>
        <v>9C</v>
      </c>
      <c r="I514" s="2">
        <v>156</v>
      </c>
      <c r="J514" s="2" t="str">
        <f>CHAR(I514)</f>
        <v>œ</v>
      </c>
      <c r="K514" s="117" t="s">
        <v>39</v>
      </c>
    </row>
    <row r="515" spans="1:25" x14ac:dyDescent="0.3">
      <c r="A515">
        <v>514</v>
      </c>
      <c r="H515" s="47" t="str">
        <f>DEC2HEX(I515)</f>
        <v>9D</v>
      </c>
      <c r="I515" s="2">
        <v>157</v>
      </c>
      <c r="J515" s="2" t="str">
        <f>CHAR(I515)</f>
        <v></v>
      </c>
      <c r="K515" s="117" t="s">
        <v>39</v>
      </c>
    </row>
    <row r="516" spans="1:25" x14ac:dyDescent="0.3">
      <c r="A516">
        <v>515</v>
      </c>
      <c r="H516" s="47" t="str">
        <f>DEC2HEX(I516)</f>
        <v>9E</v>
      </c>
      <c r="I516" s="2">
        <v>158</v>
      </c>
      <c r="J516" s="2" t="str">
        <f>CHAR(I516)</f>
        <v>ž</v>
      </c>
      <c r="K516" s="117" t="s">
        <v>39</v>
      </c>
      <c r="Y516" s="30"/>
    </row>
    <row r="517" spans="1:25" x14ac:dyDescent="0.3">
      <c r="A517">
        <v>516</v>
      </c>
      <c r="H517" s="47" t="str">
        <f>DEC2HEX(I517)</f>
        <v>9F</v>
      </c>
      <c r="I517" s="2">
        <v>159</v>
      </c>
      <c r="J517" s="2" t="str">
        <f>CHAR(I517)</f>
        <v>Ÿ</v>
      </c>
      <c r="K517" s="117" t="s">
        <v>39</v>
      </c>
    </row>
    <row r="518" spans="1:25" x14ac:dyDescent="0.3">
      <c r="A518">
        <v>517</v>
      </c>
      <c r="H518" s="47" t="str">
        <f>DEC2HEX(I518)</f>
        <v>A0</v>
      </c>
      <c r="I518" s="2">
        <v>160</v>
      </c>
      <c r="J518" s="2" t="str">
        <f>CHAR(I518)</f>
        <v> </v>
      </c>
      <c r="K518" s="117" t="s">
        <v>39</v>
      </c>
      <c r="L518" s="4"/>
    </row>
    <row r="519" spans="1:25" x14ac:dyDescent="0.3">
      <c r="A519">
        <v>518</v>
      </c>
      <c r="H519" s="47" t="str">
        <f>DEC2HEX(I519)</f>
        <v>AD</v>
      </c>
      <c r="I519" s="2">
        <v>173</v>
      </c>
      <c r="J519" s="2" t="str">
        <f>CHAR(I519)</f>
        <v>­</v>
      </c>
      <c r="K519" s="117" t="s">
        <v>39</v>
      </c>
    </row>
    <row r="520" spans="1:25" x14ac:dyDescent="0.3">
      <c r="A520">
        <v>519</v>
      </c>
      <c r="E520" s="94">
        <v>12</v>
      </c>
      <c r="F520" s="94">
        <v>23</v>
      </c>
      <c r="H520" s="103"/>
      <c r="I520" s="4"/>
      <c r="J520" s="4"/>
      <c r="K520" s="110"/>
      <c r="L520">
        <f>IF(ISBLANK(D520),IF(E520&gt;0,F520-E520+1,0),0)</f>
        <v>12</v>
      </c>
      <c r="M520" s="43">
        <f>IF(ISBLANK(D520),0,IF(G520=0,F520-E520+1,0))</f>
        <v>0</v>
      </c>
      <c r="V520" t="str">
        <f>C520&amp;IF(ISBLANK(U520),"","=")&amp;U520</f>
        <v/>
      </c>
      <c r="Y520" s="30"/>
    </row>
    <row r="521" spans="1:25" x14ac:dyDescent="0.3">
      <c r="A521">
        <v>520</v>
      </c>
      <c r="E521" s="94">
        <v>36</v>
      </c>
      <c r="F521" s="94">
        <v>43</v>
      </c>
      <c r="H521" s="103"/>
      <c r="I521" s="4"/>
      <c r="J521" s="4"/>
      <c r="K521" s="110"/>
      <c r="L521">
        <f>IF(ISBLANK(D521),IF(E521&gt;0,F521-E521+1,0),0)</f>
        <v>8</v>
      </c>
      <c r="M521" s="43">
        <f>IF(ISBLANK(D521),0,IF(G521=0,F521-E521+1,0))</f>
        <v>0</v>
      </c>
      <c r="V521" t="str">
        <f>C521&amp;IF(ISBLANK(U521),"","=")&amp;U521</f>
        <v/>
      </c>
    </row>
    <row r="522" spans="1:25" x14ac:dyDescent="0.3">
      <c r="A522">
        <v>521</v>
      </c>
      <c r="E522" s="94">
        <v>48</v>
      </c>
      <c r="F522" s="94">
        <v>55</v>
      </c>
      <c r="H522" s="103"/>
      <c r="J522" s="4"/>
      <c r="K522" s="110"/>
      <c r="L522">
        <f>IF(ISBLANK(D522),IF(E522&gt;0,F522-E522+1,0),0)</f>
        <v>8</v>
      </c>
      <c r="M522" s="43">
        <f>IF(ISBLANK(D522),0,IF(G522=0,F522-E522+1,0))</f>
        <v>0</v>
      </c>
      <c r="T522" s="40"/>
    </row>
    <row r="523" spans="1:25" x14ac:dyDescent="0.3">
      <c r="A523">
        <v>522</v>
      </c>
      <c r="E523" s="94">
        <v>60</v>
      </c>
      <c r="F523" s="94">
        <v>79</v>
      </c>
      <c r="H523" s="103"/>
      <c r="J523" s="4"/>
      <c r="K523" s="110"/>
      <c r="L523">
        <f>IF(ISBLANK(D523),IF(E523&gt;0,F523-E523+1,0),0)</f>
        <v>20</v>
      </c>
      <c r="M523" s="43">
        <f>IF(ISBLANK(D523),0,IF(G523=0,F523-E523+1,0))</f>
        <v>0</v>
      </c>
      <c r="T523" s="40"/>
    </row>
    <row r="524" spans="1:25" x14ac:dyDescent="0.3">
      <c r="A524">
        <v>523</v>
      </c>
      <c r="E524" s="94">
        <v>88</v>
      </c>
      <c r="F524" s="94">
        <v>91</v>
      </c>
      <c r="H524" s="103"/>
      <c r="J524" s="4"/>
      <c r="K524" s="110"/>
      <c r="L524">
        <f>IF(ISBLANK(D524),IF(E524&gt;0,F524-E524+1,0),0)</f>
        <v>4</v>
      </c>
      <c r="M524" s="43">
        <f>IF(ISBLANK(D524),0,IF(G524=0,F524-E524+1,0))</f>
        <v>0</v>
      </c>
      <c r="T524" s="40"/>
    </row>
    <row r="525" spans="1:25" x14ac:dyDescent="0.3">
      <c r="A525">
        <v>524</v>
      </c>
      <c r="E525" s="94">
        <v>140</v>
      </c>
      <c r="F525" s="94">
        <v>155</v>
      </c>
      <c r="H525" s="103"/>
      <c r="J525" s="4"/>
      <c r="K525" s="110"/>
      <c r="L525">
        <f>IF(ISBLANK(D525),IF(E525&gt;0,F525-E525+1,0),0)</f>
        <v>16</v>
      </c>
      <c r="M525" s="43">
        <f>IF(ISBLANK(D525),0,IF(G525=0,F525-E525+1,0))</f>
        <v>0</v>
      </c>
      <c r="T525" s="40"/>
    </row>
    <row r="526" spans="1:25" x14ac:dyDescent="0.3">
      <c r="A526">
        <v>525</v>
      </c>
      <c r="E526" s="94">
        <v>204</v>
      </c>
      <c r="F526" s="94">
        <v>239</v>
      </c>
      <c r="H526" s="103"/>
      <c r="I526" s="4"/>
      <c r="J526" s="4"/>
      <c r="K526" s="110"/>
      <c r="L526">
        <f>IF(ISBLANK(D526),IF(E526&gt;0,F526-E526+1,0),0)</f>
        <v>36</v>
      </c>
      <c r="M526" s="43">
        <f>IF(ISBLANK(D526),0,IF(G526=0,F526-E526+1,0))</f>
        <v>0</v>
      </c>
      <c r="T526" s="40"/>
      <c r="V526" s="40"/>
    </row>
    <row r="527" spans="1:25" x14ac:dyDescent="0.3">
      <c r="A527">
        <v>526</v>
      </c>
      <c r="E527" s="94">
        <v>276</v>
      </c>
      <c r="F527" s="94">
        <v>395</v>
      </c>
      <c r="H527" s="103"/>
      <c r="J527" s="4"/>
      <c r="K527" s="110"/>
      <c r="L527">
        <f>IF(ISBLANK(D527),IF(E527&gt;0,F527-E527+1,0),0)</f>
        <v>120</v>
      </c>
      <c r="M527" s="43">
        <f>IF(ISBLANK(D527),0,IF(G527=0,F527-E527+1,0))</f>
        <v>0</v>
      </c>
      <c r="T527" s="40"/>
      <c r="Y527" s="76"/>
    </row>
    <row r="528" spans="1:25" x14ac:dyDescent="0.3">
      <c r="A528">
        <v>527</v>
      </c>
      <c r="C528" s="110"/>
      <c r="D528" s="110"/>
      <c r="E528" s="94">
        <v>416</v>
      </c>
      <c r="F528" s="94">
        <v>419</v>
      </c>
      <c r="H528" s="121"/>
      <c r="I528" s="4"/>
      <c r="J528" s="4"/>
      <c r="L528">
        <f>IF(ISBLANK(D528),IF(E528&gt;0,F528-E528+1,0),0)</f>
        <v>4</v>
      </c>
      <c r="M528" s="43">
        <f>IF(ISBLANK(D528),0,IF(G528=0,F528-E528+1,0))</f>
        <v>0</v>
      </c>
      <c r="S528" s="110"/>
      <c r="T528" s="40"/>
      <c r="U528" s="110"/>
      <c r="Y528" s="76"/>
    </row>
    <row r="529" spans="1:25" x14ac:dyDescent="0.3">
      <c r="A529">
        <v>528</v>
      </c>
      <c r="C529" s="110"/>
      <c r="D529" s="110"/>
      <c r="E529" s="94">
        <v>424</v>
      </c>
      <c r="F529" s="94">
        <v>435</v>
      </c>
      <c r="H529" s="121"/>
      <c r="I529" s="4"/>
      <c r="J529" s="4"/>
      <c r="L529">
        <f>IF(ISBLANK(D529),IF(E529&gt;0,F529-E529+1,0),0)</f>
        <v>12</v>
      </c>
      <c r="M529" s="43">
        <f>IF(ISBLANK(D529),0,IF(G529=0,F529-E529+1,0))</f>
        <v>0</v>
      </c>
      <c r="S529" s="110"/>
      <c r="T529" s="40"/>
      <c r="U529" s="110"/>
      <c r="Y529" s="76"/>
    </row>
    <row r="530" spans="1:25" x14ac:dyDescent="0.3">
      <c r="A530">
        <v>529</v>
      </c>
      <c r="C530" s="110"/>
      <c r="D530" s="110"/>
      <c r="E530" s="94">
        <v>440</v>
      </c>
      <c r="F530" s="94">
        <v>443</v>
      </c>
      <c r="H530" s="121"/>
      <c r="I530" s="4"/>
      <c r="J530" s="4"/>
      <c r="L530">
        <f>IF(ISBLANK(D530),IF(E530&gt;0,F530-E530+1,0),0)</f>
        <v>4</v>
      </c>
      <c r="M530" s="43">
        <f>IF(ISBLANK(D530),0,IF(G530=0,F530-E530+1,0))</f>
        <v>0</v>
      </c>
      <c r="S530" s="110"/>
      <c r="T530" s="40"/>
      <c r="U530" s="110"/>
      <c r="V530" s="40"/>
      <c r="Y530" s="76"/>
    </row>
    <row r="531" spans="1:25" x14ac:dyDescent="0.3">
      <c r="A531">
        <v>530</v>
      </c>
      <c r="E531" s="94">
        <v>452</v>
      </c>
      <c r="F531" s="94">
        <v>459</v>
      </c>
      <c r="H531" s="103"/>
      <c r="J531" s="4"/>
      <c r="L531">
        <f>IF(ISBLANK(D531),IF(E531&gt;0,F531-E531+1,0),0)</f>
        <v>8</v>
      </c>
      <c r="M531" s="43">
        <f>IF(ISBLANK(D531),0,IF(G531=0,F531-E531+1,0))</f>
        <v>0</v>
      </c>
      <c r="T531" s="40"/>
      <c r="Y531" s="76"/>
    </row>
    <row r="532" spans="1:25" x14ac:dyDescent="0.3">
      <c r="A532">
        <v>531</v>
      </c>
      <c r="E532" s="94">
        <v>464</v>
      </c>
      <c r="F532" s="94">
        <v>467</v>
      </c>
      <c r="K532" s="110"/>
      <c r="L532">
        <f>IF(ISBLANK(#REF!),IF(E532&gt;0,F532-E532+1,0),0)</f>
        <v>0</v>
      </c>
      <c r="M532" s="43">
        <f>IF(ISBLANK(#REF!),0,IF(G532=0,F532-E532+1,0))</f>
        <v>4</v>
      </c>
      <c r="V532" s="40" t="str">
        <f>C532&amp;IF(ISBLANK(U532),"","=")&amp;U532</f>
        <v/>
      </c>
      <c r="Y532" s="76"/>
    </row>
    <row r="533" spans="1:25" x14ac:dyDescent="0.3">
      <c r="A533">
        <v>532</v>
      </c>
      <c r="E533" s="94">
        <v>472</v>
      </c>
      <c r="F533" s="94">
        <v>483</v>
      </c>
      <c r="L533">
        <f>IF(ISBLANK(D533),IF(E533&gt;0,F533-E533+1,0),0)</f>
        <v>12</v>
      </c>
      <c r="M533" s="43">
        <f>IF(ISBLANK(D533),0,IF(G533=0,F533-E533+1,0))</f>
        <v>0</v>
      </c>
      <c r="V533" t="str">
        <f>C533&amp;IF(ISBLANK(U533),"","=")&amp;U533</f>
        <v/>
      </c>
    </row>
    <row r="534" spans="1:25" x14ac:dyDescent="0.3">
      <c r="A534">
        <v>533</v>
      </c>
      <c r="C534" s="110"/>
      <c r="D534" s="110"/>
      <c r="E534" s="94">
        <v>532</v>
      </c>
      <c r="F534" s="94">
        <v>535</v>
      </c>
      <c r="H534" s="121"/>
      <c r="J534" s="4"/>
      <c r="L534">
        <f>IF(ISBLANK(D534),IF(E534&gt;0,F534-E534+1,0),0)</f>
        <v>4</v>
      </c>
      <c r="M534" s="43">
        <f>IF(ISBLANK(D534),0,IF(G534=0,F534-E534+1,0))</f>
        <v>0</v>
      </c>
      <c r="S534" s="110"/>
      <c r="T534" s="40"/>
      <c r="U534" s="110"/>
    </row>
    <row r="535" spans="1:25" x14ac:dyDescent="0.3">
      <c r="A535">
        <v>534</v>
      </c>
      <c r="C535" s="110"/>
      <c r="D535" s="110"/>
      <c r="E535" s="95">
        <v>556</v>
      </c>
      <c r="F535" s="95">
        <v>563</v>
      </c>
      <c r="H535" s="121"/>
      <c r="I535" s="4"/>
      <c r="J535" s="4"/>
      <c r="L535">
        <f>IF(ISBLANK(D535),IF(E535&gt;0,F535-E535+1,0),0)</f>
        <v>8</v>
      </c>
      <c r="M535" s="43">
        <f>IF(ISBLANK(D535),0,IF(G535=0,F535-E535+1,0))</f>
        <v>0</v>
      </c>
      <c r="S535" s="110"/>
      <c r="U535" s="110"/>
    </row>
    <row r="536" spans="1:25" s="30" customFormat="1" x14ac:dyDescent="0.3">
      <c r="A536">
        <v>535</v>
      </c>
      <c r="B536"/>
      <c r="C536" s="39"/>
      <c r="D536" s="39"/>
      <c r="E536" s="94">
        <v>568</v>
      </c>
      <c r="F536" s="94">
        <v>571</v>
      </c>
      <c r="G536"/>
      <c r="H536" s="103"/>
      <c r="I536" s="4"/>
      <c r="J536" s="4"/>
      <c r="K536" s="39"/>
      <c r="L536">
        <f>IF(ISBLANK(D536),IF(E536&gt;0,F536-E536+1,0),0)</f>
        <v>4</v>
      </c>
      <c r="M536" s="43">
        <f>IF(ISBLANK(D536),0,IF(G536=0,F536-E536+1,0))</f>
        <v>0</v>
      </c>
      <c r="N536" s="51"/>
      <c r="O536" s="51"/>
      <c r="P536" s="51"/>
      <c r="Q536" s="40"/>
      <c r="R536"/>
      <c r="S536" s="39"/>
      <c r="T536" s="40"/>
      <c r="U536" s="39"/>
      <c r="V536" s="40"/>
      <c r="W536"/>
      <c r="X536"/>
      <c r="Y536"/>
    </row>
    <row r="537" spans="1:25" x14ac:dyDescent="0.3">
      <c r="A537">
        <v>536</v>
      </c>
      <c r="E537" s="94">
        <v>576</v>
      </c>
      <c r="F537" s="94">
        <v>579</v>
      </c>
      <c r="H537" s="103"/>
      <c r="I537" s="4"/>
      <c r="J537" s="4"/>
      <c r="L537">
        <f>IF(ISBLANK(D537),IF(E537&gt;0,F537-E537+1,0),0)</f>
        <v>4</v>
      </c>
      <c r="M537" s="43">
        <f>IF(ISBLANK(D537),0,IF(G537=0,F537-E537+1,0))</f>
        <v>0</v>
      </c>
      <c r="T537" s="40"/>
    </row>
    <row r="538" spans="1:25" x14ac:dyDescent="0.3">
      <c r="A538">
        <v>537</v>
      </c>
      <c r="E538" s="94">
        <v>608</v>
      </c>
      <c r="F538" s="94">
        <v>611</v>
      </c>
      <c r="H538" s="103"/>
      <c r="I538" s="4"/>
      <c r="J538" s="4"/>
      <c r="L538">
        <f>IF(ISBLANK(D538),IF(E538&gt;0,F538-E538+1,0),0)</f>
        <v>4</v>
      </c>
      <c r="M538" s="43">
        <f>IF(ISBLANK(D538),0,IF(G538=0,F538-E538+1,0))</f>
        <v>0</v>
      </c>
      <c r="Q538" s="40" t="str">
        <f>C538&amp;IF(ISBLANK(D538),"","=")&amp;D538</f>
        <v/>
      </c>
      <c r="T538" s="40"/>
      <c r="V538" s="40"/>
    </row>
    <row r="539" spans="1:25" x14ac:dyDescent="0.3">
      <c r="A539">
        <v>538</v>
      </c>
      <c r="E539" s="94">
        <v>620</v>
      </c>
      <c r="F539" s="94">
        <v>627</v>
      </c>
      <c r="K539" s="110"/>
      <c r="L539">
        <f>IF(ISBLANK(D539),IF(E539&gt;0,F539-E539+1,0),0)</f>
        <v>8</v>
      </c>
      <c r="M539" s="43">
        <f>IF(ISBLANK(D539),0,IF(G539=0,F539-E539+1,0))</f>
        <v>0</v>
      </c>
    </row>
    <row r="540" spans="1:25" x14ac:dyDescent="0.3">
      <c r="A540">
        <v>539</v>
      </c>
      <c r="C540" s="110"/>
      <c r="D540" s="110"/>
      <c r="E540" s="94">
        <v>636</v>
      </c>
      <c r="F540" s="94">
        <v>663</v>
      </c>
      <c r="H540" s="121"/>
      <c r="I540" s="4"/>
      <c r="J540" s="4"/>
      <c r="K540" s="110"/>
      <c r="L540">
        <f>IF(ISBLANK(D540),IF(E540&gt;0,F540-E540+1,0),0)</f>
        <v>28</v>
      </c>
      <c r="M540" s="43">
        <f>IF(ISBLANK(D540),0,IF(G540=0,F540-E540+1,0))</f>
        <v>0</v>
      </c>
      <c r="Q540" s="40" t="str">
        <f>C540&amp;IF(ISBLANK(D540),"","=")&amp;D540</f>
        <v/>
      </c>
      <c r="S540" s="110"/>
      <c r="T540" s="40"/>
      <c r="U540" s="110"/>
      <c r="V540" s="40"/>
    </row>
    <row r="541" spans="1:25" x14ac:dyDescent="0.3">
      <c r="A541">
        <v>540</v>
      </c>
      <c r="E541" s="94">
        <v>672</v>
      </c>
      <c r="F541" s="94">
        <v>687</v>
      </c>
      <c r="H541" s="103"/>
      <c r="I541" s="4"/>
      <c r="J541" s="4"/>
      <c r="L541">
        <f>IF(ISBLANK(D541),IF(E541&gt;0,F541-E541+1,0),0)</f>
        <v>16</v>
      </c>
      <c r="M541" s="43">
        <f>IF(ISBLANK(D541),0,IF(G541=0,F541-E541+1,0))</f>
        <v>0</v>
      </c>
    </row>
    <row r="542" spans="1:25" x14ac:dyDescent="0.3">
      <c r="A542">
        <v>541</v>
      </c>
      <c r="E542" s="94">
        <v>696</v>
      </c>
      <c r="F542" s="94">
        <v>795</v>
      </c>
      <c r="H542" s="103"/>
      <c r="J542" s="4"/>
      <c r="L542">
        <f>IF(ISBLANK(D542),IF(E542&gt;0,F542-E542+1,0),0)</f>
        <v>100</v>
      </c>
      <c r="M542" s="43">
        <f>IF(ISBLANK(D542),0,IF(G542=0,F542-E542+1,0))</f>
        <v>0</v>
      </c>
      <c r="T542" s="40"/>
    </row>
    <row r="543" spans="1:25" x14ac:dyDescent="0.3">
      <c r="A543">
        <v>542</v>
      </c>
      <c r="E543" s="94">
        <v>804</v>
      </c>
      <c r="F543" s="94">
        <v>895</v>
      </c>
      <c r="H543" s="103"/>
      <c r="I543" s="4"/>
      <c r="J543" s="4"/>
      <c r="K543" s="110"/>
      <c r="L543">
        <f>IF(ISBLANK(D543),IF(E543&gt;0,F543-E543+1,0),0)</f>
        <v>92</v>
      </c>
      <c r="M543" s="43">
        <f>IF(ISBLANK(D543),0,IF(G543=0,F543-E543+1,0))</f>
        <v>0</v>
      </c>
    </row>
    <row r="544" spans="1:25" x14ac:dyDescent="0.3">
      <c r="A544">
        <v>543</v>
      </c>
      <c r="E544" s="94">
        <v>900</v>
      </c>
      <c r="F544" s="94">
        <v>935</v>
      </c>
      <c r="H544" s="121"/>
      <c r="J544" s="4"/>
      <c r="L544">
        <f>IF(ISBLANK(D544),IF(E544&gt;0,F544-E544+1,0),0)</f>
        <v>36</v>
      </c>
      <c r="M544" s="43">
        <f>IF(ISBLANK(D544),0,IF(G544=0,F544-E544+1,0))</f>
        <v>0</v>
      </c>
      <c r="T544" s="40"/>
    </row>
    <row r="545" spans="1:25" x14ac:dyDescent="0.3">
      <c r="A545">
        <v>544</v>
      </c>
      <c r="E545" s="94">
        <v>940</v>
      </c>
      <c r="F545" s="94">
        <v>959</v>
      </c>
      <c r="H545" s="103"/>
      <c r="I545" s="4"/>
      <c r="J545" s="4"/>
      <c r="L545">
        <f>IF(ISBLANK(D545),IF(E545&gt;0,F545-E545+1,0),0)</f>
        <v>20</v>
      </c>
      <c r="M545" s="43">
        <f>IF(ISBLANK(D545),0,IF(G545=0,F545-E545+1,0))</f>
        <v>0</v>
      </c>
      <c r="T545" s="40"/>
    </row>
    <row r="546" spans="1:25" x14ac:dyDescent="0.3">
      <c r="A546">
        <v>545</v>
      </c>
      <c r="E546" s="94">
        <v>968</v>
      </c>
      <c r="F546" s="94">
        <v>975</v>
      </c>
      <c r="H546" s="103"/>
      <c r="I546" s="4"/>
      <c r="J546" s="4"/>
      <c r="L546">
        <f>IF(ISBLANK(D546),IF(E546&gt;0,F546-E546+1,0),0)</f>
        <v>8</v>
      </c>
      <c r="M546" s="43">
        <f>IF(ISBLANK(D546),0,IF(G546=0,F546-E546+1,0))</f>
        <v>0</v>
      </c>
    </row>
    <row r="547" spans="1:25" x14ac:dyDescent="0.3">
      <c r="A547">
        <v>546</v>
      </c>
      <c r="E547" s="94">
        <v>984</v>
      </c>
      <c r="F547" s="94">
        <v>995</v>
      </c>
      <c r="L547">
        <f>IF(ISBLANK(D547),IF(E547&gt;0,F547-E547+1,0),0)</f>
        <v>12</v>
      </c>
      <c r="M547" s="43">
        <f>IF(ISBLANK(D547),0,IF(G547=0,F547-E547+1,0))</f>
        <v>0</v>
      </c>
      <c r="V547" t="str">
        <f>C547&amp;IF(ISBLANK(U547),"","=")&amp;U547</f>
        <v/>
      </c>
    </row>
    <row r="548" spans="1:25" x14ac:dyDescent="0.3">
      <c r="A548">
        <v>547</v>
      </c>
      <c r="E548" s="94">
        <v>1000</v>
      </c>
      <c r="F548" s="94">
        <v>1007</v>
      </c>
      <c r="H548" s="103"/>
      <c r="I548" s="4"/>
      <c r="J548" s="4"/>
      <c r="K548" s="110"/>
      <c r="L548">
        <f>IF(ISBLANK(D548),IF(E548&gt;0,F548-E548+1,0),0)</f>
        <v>8</v>
      </c>
      <c r="M548" s="43">
        <f>IF(ISBLANK(D548),0,IF(G548=0,F548-E548+1,0))</f>
        <v>0</v>
      </c>
    </row>
    <row r="549" spans="1:25" x14ac:dyDescent="0.3">
      <c r="A549">
        <v>548</v>
      </c>
      <c r="E549" s="94">
        <v>1012</v>
      </c>
      <c r="F549" s="94">
        <v>1023</v>
      </c>
      <c r="H549" s="103"/>
      <c r="I549" s="4"/>
      <c r="J549" s="4"/>
      <c r="L549">
        <f>IF(ISBLANK(D549),IF(E549&gt;0,F549-E549+1,0),0)</f>
        <v>12</v>
      </c>
      <c r="M549" s="43">
        <f>IF(ISBLANK(D549),0,IF(G549=0,F549-E549+1,0))</f>
        <v>0</v>
      </c>
    </row>
    <row r="550" spans="1:25" x14ac:dyDescent="0.3">
      <c r="A550">
        <v>600</v>
      </c>
      <c r="B550" t="s">
        <v>37</v>
      </c>
      <c r="C550" s="77" t="s">
        <v>640</v>
      </c>
      <c r="D550" s="77"/>
      <c r="E550" s="76"/>
      <c r="F550" s="76"/>
      <c r="G550" s="76"/>
      <c r="H550" s="78"/>
      <c r="I550" s="76"/>
      <c r="J550" s="76"/>
      <c r="K550" s="77"/>
      <c r="L550" s="76"/>
      <c r="M550" s="79"/>
      <c r="N550" s="76"/>
      <c r="O550" s="76"/>
      <c r="P550" s="76"/>
      <c r="Q550" s="76" t="str">
        <f>C550&amp;IF(ISBLANK(D550),"","=")&amp;D550</f>
        <v>[One]--Deprecate</v>
      </c>
      <c r="R550" s="76"/>
      <c r="S550" s="77"/>
      <c r="T550" s="76" t="str">
        <f>C550&amp;IF(ISBLANK(S550),"","=")&amp;S550</f>
        <v>[One]--Deprecate</v>
      </c>
      <c r="U550" s="77"/>
    </row>
    <row r="551" spans="1:25" x14ac:dyDescent="0.3">
      <c r="A551">
        <v>601</v>
      </c>
      <c r="B551" t="s">
        <v>37</v>
      </c>
      <c r="C551" s="39" t="s">
        <v>229</v>
      </c>
      <c r="E551" s="26"/>
      <c r="F551" s="26"/>
      <c r="G551" s="26"/>
      <c r="H551" s="96"/>
      <c r="I551" s="26"/>
      <c r="J551" s="26"/>
      <c r="Q551" s="40" t="str">
        <f>C551&amp;IF(ISBLANK(D551),"","=")&amp;D551</f>
        <v>;</v>
      </c>
      <c r="T551" s="40" t="str">
        <f>C551&amp;IF(ISBLANK(S551),"","=")&amp;S551</f>
        <v>;</v>
      </c>
    </row>
    <row r="552" spans="1:25" x14ac:dyDescent="0.3">
      <c r="A552">
        <v>602</v>
      </c>
      <c r="B552" t="s">
        <v>37</v>
      </c>
      <c r="C552" s="39" t="s">
        <v>260</v>
      </c>
      <c r="D552" s="39">
        <v>1</v>
      </c>
      <c r="E552" s="26">
        <v>572</v>
      </c>
      <c r="F552" s="26">
        <v>575</v>
      </c>
      <c r="G552" s="26"/>
      <c r="H552" s="46" t="str">
        <f>DEC2HEX(I552)</f>
        <v>42</v>
      </c>
      <c r="I552" s="27">
        <v>66</v>
      </c>
      <c r="J552" s="27" t="str">
        <f>CHAR(I552)</f>
        <v>B</v>
      </c>
      <c r="K552" s="110"/>
      <c r="L552">
        <f>IF(ISBLANK(D552),IF(E552&gt;0,F552-E552+1,0),0)</f>
        <v>0</v>
      </c>
      <c r="M552" s="43">
        <f>IF(ISBLANK(D552),0,IF(G552=0,F552-E552+1,0))</f>
        <v>4</v>
      </c>
      <c r="Q552" s="40" t="str">
        <f>C552&amp;IF(ISBLANK(D552),"","=")&amp;D552</f>
        <v>AxisId=1</v>
      </c>
      <c r="T552" s="40"/>
      <c r="V552" s="40"/>
    </row>
    <row r="553" spans="1:25" x14ac:dyDescent="0.3">
      <c r="A553">
        <v>603</v>
      </c>
      <c r="B553" t="s">
        <v>37</v>
      </c>
      <c r="C553" s="112" t="s">
        <v>288</v>
      </c>
      <c r="D553" s="112"/>
      <c r="E553" s="30"/>
      <c r="F553" s="30"/>
      <c r="G553" s="30"/>
      <c r="H553" s="112"/>
      <c r="I553" s="30"/>
      <c r="J553" s="30"/>
      <c r="K553" s="45"/>
      <c r="L553" s="30"/>
      <c r="M553" s="72"/>
      <c r="N553" s="30"/>
      <c r="O553" s="30"/>
      <c r="P553" s="30"/>
      <c r="Q553" s="30" t="str">
        <f>C553&amp;IF(ISBLANK(D553),"","=")&amp;D553</f>
        <v>;Spindle</v>
      </c>
      <c r="R553" s="30"/>
      <c r="S553" s="112"/>
      <c r="T553" s="30" t="str">
        <f>C553&amp;IF(ISBLANK(S553),"","=")&amp;S553</f>
        <v>;Spindle</v>
      </c>
      <c r="U553" s="112"/>
      <c r="V553" s="30"/>
      <c r="W553" s="30"/>
      <c r="X553" s="30"/>
    </row>
    <row r="554" spans="1:25" s="29" customFormat="1" x14ac:dyDescent="0.3">
      <c r="A554">
        <v>604</v>
      </c>
      <c r="B554" t="s">
        <v>37</v>
      </c>
      <c r="C554" s="39" t="s">
        <v>348</v>
      </c>
      <c r="D554" s="39">
        <v>15051</v>
      </c>
      <c r="E554" s="26"/>
      <c r="F554" s="26"/>
      <c r="G554" s="26"/>
      <c r="H554" s="46" t="str">
        <f>DEC2HEX(I554)</f>
        <v>3A</v>
      </c>
      <c r="I554" s="27">
        <v>58</v>
      </c>
      <c r="J554" s="27" t="str">
        <f>CHAR(I554)</f>
        <v>:</v>
      </c>
      <c r="K554" s="39"/>
      <c r="L554"/>
      <c r="M554" s="43"/>
      <c r="N554" s="51"/>
      <c r="O554" s="51"/>
      <c r="P554" s="51"/>
      <c r="Q554" s="40" t="str">
        <f>C554&amp;IF(ISBLANK(D554),"","=")&amp;D554</f>
        <v>MaxSpeed_Spindle=15051</v>
      </c>
      <c r="R554"/>
      <c r="S554" s="39">
        <v>30000</v>
      </c>
      <c r="T554" s="40" t="str">
        <f>C554&amp;IF(ISBLANK(S554),"","=")&amp;S554</f>
        <v>MaxSpeed_Spindle=30000</v>
      </c>
      <c r="U554" s="39">
        <v>1000</v>
      </c>
      <c r="V554"/>
      <c r="W554"/>
      <c r="X554"/>
      <c r="Y554"/>
    </row>
    <row r="555" spans="1:25" x14ac:dyDescent="0.3">
      <c r="A555">
        <v>605</v>
      </c>
      <c r="B555" t="s">
        <v>37</v>
      </c>
      <c r="C555" s="39" t="s">
        <v>349</v>
      </c>
      <c r="D555" s="39">
        <v>15052</v>
      </c>
      <c r="E555" s="26"/>
      <c r="F555" s="26"/>
      <c r="G555" s="26"/>
      <c r="H555" s="46" t="str">
        <f>DEC2HEX(I555)</f>
        <v>3B</v>
      </c>
      <c r="I555" s="27">
        <v>59</v>
      </c>
      <c r="J555" s="27" t="str">
        <f>CHAR(I555)</f>
        <v>;</v>
      </c>
      <c r="K555" s="110"/>
      <c r="Q555" s="40" t="str">
        <f>C555&amp;IF(ISBLANK(D555),"","=")&amp;D555</f>
        <v>Accel_Spindle=15052</v>
      </c>
      <c r="S555" s="39">
        <v>15000</v>
      </c>
      <c r="T555" s="40" t="str">
        <f>C555&amp;IF(ISBLANK(S555),"","=")&amp;S555</f>
        <v>Accel_Spindle=15000</v>
      </c>
      <c r="U555" s="39">
        <v>1000</v>
      </c>
    </row>
    <row r="556" spans="1:25" x14ac:dyDescent="0.3">
      <c r="A556">
        <v>606</v>
      </c>
      <c r="B556" t="s">
        <v>37</v>
      </c>
      <c r="C556" s="39" t="s">
        <v>358</v>
      </c>
      <c r="D556" s="39">
        <v>51</v>
      </c>
      <c r="E556" s="26"/>
      <c r="F556" s="26"/>
      <c r="G556" s="26"/>
      <c r="H556" s="46" t="str">
        <f>DEC2HEX(I556)</f>
        <v>6E</v>
      </c>
      <c r="I556" s="27">
        <v>110</v>
      </c>
      <c r="J556" s="27" t="str">
        <f>CHAR(I556)</f>
        <v>n</v>
      </c>
      <c r="Q556" s="40" t="str">
        <f>C556&amp;IF(ISBLANK(D556),"","=")&amp;D556</f>
        <v>SpeedPercentage_Spindle=51</v>
      </c>
      <c r="S556" s="39">
        <v>100</v>
      </c>
      <c r="T556" s="40" t="str">
        <f>C556&amp;IF(ISBLANK(S556),"","=")&amp;S556</f>
        <v>SpeedPercentage_Spindle=100</v>
      </c>
      <c r="U556" s="39">
        <v>11</v>
      </c>
    </row>
    <row r="557" spans="1:25" x14ac:dyDescent="0.3">
      <c r="A557">
        <v>607</v>
      </c>
      <c r="B557" t="s">
        <v>37</v>
      </c>
      <c r="C557" s="112" t="s">
        <v>278</v>
      </c>
      <c r="D557" s="112"/>
      <c r="E557" s="30"/>
      <c r="F557" s="30"/>
      <c r="G557" s="30"/>
      <c r="H557" s="112"/>
      <c r="I557" s="30"/>
      <c r="J557" s="30"/>
      <c r="K557" s="45"/>
      <c r="L557" s="30"/>
      <c r="M557" s="72"/>
      <c r="N557" s="30"/>
      <c r="O557" s="30"/>
      <c r="P557" s="30"/>
      <c r="Q557" s="30" t="str">
        <f>C557&amp;IF(ISBLANK(D557),"","=")&amp;D557</f>
        <v>;Z Axis</v>
      </c>
      <c r="R557" s="30"/>
      <c r="S557" s="112"/>
      <c r="T557" s="30" t="str">
        <f>C557&amp;IF(ISBLANK(S557),"","=")&amp;S557</f>
        <v>;Z Axis</v>
      </c>
      <c r="U557" s="112"/>
      <c r="V557" s="30" t="str">
        <f>C557&amp;IF(ISBLANK(U557),"","=")&amp;U557</f>
        <v>;Z Axis</v>
      </c>
      <c r="W557" s="30"/>
      <c r="X557" s="30"/>
    </row>
    <row r="558" spans="1:25" x14ac:dyDescent="0.3">
      <c r="A558">
        <v>608</v>
      </c>
      <c r="B558" t="s">
        <v>37</v>
      </c>
      <c r="C558" s="39" t="s">
        <v>359</v>
      </c>
      <c r="D558" s="39">
        <v>5081</v>
      </c>
      <c r="E558" s="26"/>
      <c r="F558" s="26"/>
      <c r="G558" s="26"/>
      <c r="H558" s="46" t="str">
        <f>DEC2HEX(I558)</f>
        <v>B9</v>
      </c>
      <c r="I558" s="27">
        <v>185</v>
      </c>
      <c r="J558" s="27" t="str">
        <f>CHAR(I558)</f>
        <v>¹</v>
      </c>
      <c r="K558" s="110"/>
      <c r="Q558" s="40" t="str">
        <f>C558&amp;IF(ISBLANK(D558),"","=")&amp;D558</f>
        <v>MaxSpeed_Z=5081</v>
      </c>
      <c r="S558" s="39">
        <v>30000</v>
      </c>
      <c r="T558" s="40" t="str">
        <f>C558&amp;IF(ISBLANK(S558),"","=")&amp;S558</f>
        <v>MaxSpeed_Z=30000</v>
      </c>
      <c r="U558" s="39">
        <v>1000</v>
      </c>
      <c r="V558" s="40" t="str">
        <f>C558&amp;IF(ISBLANK(U558),"","=")&amp;U558</f>
        <v>MaxSpeed_Z=1000</v>
      </c>
    </row>
    <row r="559" spans="1:25" x14ac:dyDescent="0.3">
      <c r="A559">
        <v>609</v>
      </c>
      <c r="B559" t="s">
        <v>37</v>
      </c>
      <c r="C559" s="110" t="s">
        <v>360</v>
      </c>
      <c r="D559" s="110">
        <v>5082</v>
      </c>
      <c r="E559" s="26"/>
      <c r="F559" s="26"/>
      <c r="G559" s="26"/>
      <c r="H559" s="114" t="str">
        <f>DEC2HEX(I559)</f>
        <v>BA</v>
      </c>
      <c r="I559" s="27">
        <v>186</v>
      </c>
      <c r="J559" s="27" t="str">
        <f>CHAR(I559)</f>
        <v>º</v>
      </c>
      <c r="Q559" s="40" t="str">
        <f>C559&amp;IF(ISBLANK(D559),"","=")&amp;D559</f>
        <v>Accel_Z=5082</v>
      </c>
      <c r="S559" s="110"/>
      <c r="U559" s="110"/>
      <c r="V559" s="40" t="str">
        <f>C559&amp;IF(ISBLANK(U559),"","=")&amp;U559</f>
        <v>Accel_Z</v>
      </c>
      <c r="W559" s="30"/>
      <c r="X559" s="30"/>
    </row>
    <row r="560" spans="1:25" x14ac:dyDescent="0.3">
      <c r="A560">
        <v>610</v>
      </c>
      <c r="B560" t="s">
        <v>37</v>
      </c>
      <c r="C560" s="110" t="s">
        <v>361</v>
      </c>
      <c r="D560" s="39">
        <v>81</v>
      </c>
      <c r="E560" s="26"/>
      <c r="F560" s="26"/>
      <c r="G560" s="26"/>
      <c r="H560" s="114" t="str">
        <f>DEC2HEX(I560)</f>
        <v>6F</v>
      </c>
      <c r="I560" s="26">
        <v>111</v>
      </c>
      <c r="J560" s="27" t="str">
        <f>CHAR(I560)</f>
        <v>o</v>
      </c>
      <c r="Q560" s="40" t="str">
        <f>C560&amp;IF(ISBLANK(D560),"","=")&amp;D560</f>
        <v>SpeedPercentage_Z=81</v>
      </c>
      <c r="S560" s="39">
        <v>100</v>
      </c>
      <c r="T560" s="40" t="str">
        <f>C560&amp;IF(ISBLANK(S560),"","=")&amp;S560</f>
        <v>SpeedPercentage_Z=100</v>
      </c>
      <c r="U560" s="39">
        <v>11</v>
      </c>
      <c r="V560" s="40" t="str">
        <f>C560&amp;IF(ISBLANK(U560),"","=")&amp;U560</f>
        <v>SpeedPercentage_Z=11</v>
      </c>
    </row>
    <row r="561" spans="1:24" ht="15" customHeight="1" x14ac:dyDescent="0.3">
      <c r="A561">
        <v>611</v>
      </c>
      <c r="B561" t="s">
        <v>37</v>
      </c>
      <c r="C561" s="45" t="s">
        <v>279</v>
      </c>
      <c r="D561" s="45"/>
      <c r="E561" s="30"/>
      <c r="F561" s="30"/>
      <c r="G561" s="30"/>
      <c r="H561" s="112"/>
      <c r="I561" s="30"/>
      <c r="J561" s="30"/>
      <c r="K561" s="45"/>
      <c r="L561" s="30"/>
      <c r="M561" s="72"/>
      <c r="N561" s="30"/>
      <c r="O561" s="30"/>
      <c r="P561" s="30"/>
      <c r="Q561" s="30" t="str">
        <f>C561&amp;IF(ISBLANK(D561),"","=")&amp;D561</f>
        <v>;X Axis</v>
      </c>
      <c r="R561" s="30"/>
      <c r="S561" s="45"/>
      <c r="T561" s="30" t="str">
        <f>C561&amp;IF(ISBLANK(S561),"","=")&amp;S561</f>
        <v>;X Axis</v>
      </c>
      <c r="U561" s="45"/>
      <c r="V561" s="30" t="str">
        <f>C561&amp;IF(ISBLANK(U561),"","=")&amp;U561</f>
        <v>;X Axis</v>
      </c>
      <c r="W561" s="30"/>
      <c r="X561" s="30"/>
    </row>
    <row r="562" spans="1:24" x14ac:dyDescent="0.3">
      <c r="A562">
        <v>612</v>
      </c>
      <c r="B562" t="s">
        <v>37</v>
      </c>
      <c r="C562" s="39" t="s">
        <v>362</v>
      </c>
      <c r="D562" s="39">
        <v>5091</v>
      </c>
      <c r="E562" s="26"/>
      <c r="F562" s="26"/>
      <c r="G562" s="26"/>
      <c r="H562" s="46" t="str">
        <f>DEC2HEX(I562)</f>
        <v>B9</v>
      </c>
      <c r="I562" s="27">
        <v>185</v>
      </c>
      <c r="J562" s="27" t="str">
        <f>CHAR(I562)</f>
        <v>¹</v>
      </c>
      <c r="Q562" s="40" t="str">
        <f>C562&amp;IF(ISBLANK(D562),"","=")&amp;D562</f>
        <v>MaxSpeed_X=5091</v>
      </c>
      <c r="S562" s="39">
        <v>30000</v>
      </c>
      <c r="T562" s="40" t="str">
        <f>C562&amp;IF(ISBLANK(S562),"","=")&amp;S562</f>
        <v>MaxSpeed_X=30000</v>
      </c>
      <c r="U562" s="39">
        <v>10001</v>
      </c>
      <c r="V562" s="40" t="str">
        <f>C562&amp;IF(ISBLANK(U562),"","=")&amp;U562</f>
        <v>MaxSpeed_X=10001</v>
      </c>
    </row>
    <row r="563" spans="1:24" x14ac:dyDescent="0.3">
      <c r="A563">
        <v>613</v>
      </c>
      <c r="B563" t="s">
        <v>37</v>
      </c>
      <c r="C563" s="39" t="s">
        <v>363</v>
      </c>
      <c r="D563" s="39">
        <v>5092</v>
      </c>
      <c r="E563" s="26"/>
      <c r="F563" s="26"/>
      <c r="G563" s="26"/>
      <c r="H563" s="46" t="str">
        <f>DEC2HEX(I563)</f>
        <v>BA</v>
      </c>
      <c r="I563" s="27">
        <v>186</v>
      </c>
      <c r="J563" s="27" t="str">
        <f>CHAR(I563)</f>
        <v>º</v>
      </c>
      <c r="Q563" s="40" t="str">
        <f>C563&amp;IF(ISBLANK(D563),"","=")&amp;D563</f>
        <v>Accel_X=5092</v>
      </c>
      <c r="S563" s="39">
        <v>20000</v>
      </c>
      <c r="T563" s="40" t="str">
        <f>C563&amp;IF(ISBLANK(S563),"","=")&amp;S563</f>
        <v>Accel_X=20000</v>
      </c>
      <c r="U563" s="39">
        <v>1000</v>
      </c>
      <c r="V563" s="40" t="str">
        <f>C563&amp;IF(ISBLANK(U563),"","=")&amp;U563</f>
        <v>Accel_X=1000</v>
      </c>
    </row>
    <row r="564" spans="1:24" x14ac:dyDescent="0.3">
      <c r="A564">
        <v>614</v>
      </c>
      <c r="B564" t="s">
        <v>37</v>
      </c>
      <c r="C564" s="39" t="s">
        <v>364</v>
      </c>
      <c r="D564" s="39">
        <v>91</v>
      </c>
      <c r="E564" s="26"/>
      <c r="F564" s="26"/>
      <c r="G564" s="26"/>
      <c r="H564" s="46" t="str">
        <f>DEC2HEX(I564)</f>
        <v>6F</v>
      </c>
      <c r="I564" s="26">
        <v>111</v>
      </c>
      <c r="J564" s="27" t="str">
        <f>CHAR(I564)</f>
        <v>o</v>
      </c>
      <c r="Q564" s="40" t="str">
        <f>C564&amp;IF(ISBLANK(D564),"","=")&amp;D564</f>
        <v>SpeedPercentage_X=91</v>
      </c>
      <c r="S564" s="39">
        <v>100</v>
      </c>
      <c r="T564" s="40" t="str">
        <f>C564&amp;IF(ISBLANK(S564),"","=")&amp;S564</f>
        <v>SpeedPercentage_X=100</v>
      </c>
      <c r="U564" s="39">
        <v>11</v>
      </c>
      <c r="V564" s="40" t="str">
        <f>C564&amp;IF(ISBLANK(U564),"","=")&amp;U564</f>
        <v>SpeedPercentage_X=11</v>
      </c>
    </row>
    <row r="565" spans="1:24" x14ac:dyDescent="0.3">
      <c r="A565">
        <v>615</v>
      </c>
      <c r="B565" t="s">
        <v>37</v>
      </c>
      <c r="C565" s="45" t="s">
        <v>281</v>
      </c>
      <c r="D565" s="45"/>
      <c r="E565" s="30"/>
      <c r="F565" s="30"/>
      <c r="G565" s="30"/>
      <c r="H565" s="92"/>
      <c r="I565" s="30"/>
      <c r="J565" s="30"/>
      <c r="K565" s="45"/>
      <c r="L565" s="30"/>
      <c r="M565" s="72"/>
      <c r="N565" s="30"/>
      <c r="O565" s="30"/>
      <c r="P565" s="30"/>
      <c r="Q565" s="30" t="str">
        <f>C565&amp;IF(ISBLANK(D565),"","=")&amp;D565</f>
        <v>;M3 Axis</v>
      </c>
      <c r="R565" s="30"/>
      <c r="S565" s="45"/>
      <c r="T565" s="30" t="str">
        <f>C565&amp;IF(ISBLANK(S565),"","=")&amp;S565</f>
        <v>;M3 Axis</v>
      </c>
      <c r="U565" s="45"/>
      <c r="V565" s="30" t="str">
        <f>C565&amp;IF(ISBLANK(U565),"","=")&amp;U565</f>
        <v>;M3 Axis</v>
      </c>
      <c r="W565" s="30"/>
      <c r="X565" s="30"/>
    </row>
    <row r="566" spans="1:24" x14ac:dyDescent="0.3">
      <c r="A566">
        <v>616</v>
      </c>
      <c r="B566" t="s">
        <v>37</v>
      </c>
      <c r="C566" s="39" t="s">
        <v>371</v>
      </c>
      <c r="D566" s="39">
        <v>5071</v>
      </c>
      <c r="E566" s="26"/>
      <c r="F566" s="27"/>
      <c r="G566" s="26"/>
      <c r="H566" s="46" t="str">
        <f>DEC2HEX(I566)</f>
        <v>B9</v>
      </c>
      <c r="I566" s="27">
        <v>185</v>
      </c>
      <c r="J566" s="27" t="str">
        <f>CHAR(I566)</f>
        <v>¹</v>
      </c>
      <c r="K566" s="110"/>
      <c r="Q566" s="40" t="str">
        <f>C566&amp;IF(ISBLANK(D566),"","=")&amp;D566</f>
        <v>MaxSpeed_M3=5071</v>
      </c>
      <c r="S566" s="39">
        <v>30000</v>
      </c>
      <c r="T566" s="40" t="str">
        <f>C566&amp;IF(ISBLANK(S566),"","=")&amp;S566</f>
        <v>MaxSpeed_M3=30000</v>
      </c>
      <c r="U566" s="39">
        <v>1000</v>
      </c>
      <c r="V566" s="40" t="str">
        <f>C566&amp;IF(ISBLANK(U566),"","=")&amp;U566</f>
        <v>MaxSpeed_M3=1000</v>
      </c>
    </row>
    <row r="567" spans="1:24" x14ac:dyDescent="0.3">
      <c r="A567">
        <v>617</v>
      </c>
      <c r="B567" t="s">
        <v>37</v>
      </c>
      <c r="C567" s="39" t="s">
        <v>372</v>
      </c>
      <c r="D567" s="39">
        <v>5072</v>
      </c>
      <c r="E567" s="26"/>
      <c r="F567" s="26"/>
      <c r="G567" s="26"/>
      <c r="H567" s="46" t="str">
        <f>DEC2HEX(I567)</f>
        <v>BA</v>
      </c>
      <c r="I567" s="27">
        <v>186</v>
      </c>
      <c r="J567" s="27" t="str">
        <f>CHAR(I567)</f>
        <v>º</v>
      </c>
      <c r="Q567" s="40" t="str">
        <f>C567&amp;IF(ISBLANK(D567),"","=")&amp;D567</f>
        <v>Accel_M3=5072</v>
      </c>
      <c r="S567" s="39">
        <v>20000</v>
      </c>
      <c r="T567" s="40" t="str">
        <f>C567&amp;IF(ISBLANK(S567),"","=")&amp;S567</f>
        <v>Accel_M3=20000</v>
      </c>
      <c r="U567" s="39">
        <v>1000</v>
      </c>
      <c r="V567" s="40" t="str">
        <f>C567&amp;IF(ISBLANK(U567),"","=")&amp;U567</f>
        <v>Accel_M3=1000</v>
      </c>
    </row>
    <row r="568" spans="1:24" x14ac:dyDescent="0.3">
      <c r="A568">
        <v>618</v>
      </c>
      <c r="B568" t="s">
        <v>37</v>
      </c>
      <c r="C568" s="39" t="s">
        <v>373</v>
      </c>
      <c r="D568" s="39">
        <v>71</v>
      </c>
      <c r="E568" s="26"/>
      <c r="F568" s="26"/>
      <c r="G568" s="26"/>
      <c r="H568" s="46" t="str">
        <f>DEC2HEX(I568)</f>
        <v>6F</v>
      </c>
      <c r="I568" s="26">
        <v>111</v>
      </c>
      <c r="J568" s="27" t="str">
        <f>CHAR(I568)</f>
        <v>o</v>
      </c>
      <c r="Q568" s="40" t="str">
        <f>C568&amp;IF(ISBLANK(D568),"","=")&amp;D568</f>
        <v>SpeedPercentage_M3=71</v>
      </c>
      <c r="S568" s="39">
        <v>100</v>
      </c>
      <c r="T568" s="40" t="str">
        <f>C568&amp;IF(ISBLANK(S568),"","=")&amp;S568</f>
        <v>SpeedPercentage_M3=100</v>
      </c>
      <c r="U568" s="39">
        <v>11</v>
      </c>
      <c r="V568" s="40" t="str">
        <f>C568&amp;IF(ISBLANK(U568),"","=")&amp;U568</f>
        <v>SpeedPercentage_M3=11</v>
      </c>
    </row>
    <row r="569" spans="1:24" x14ac:dyDescent="0.3">
      <c r="A569">
        <v>619</v>
      </c>
      <c r="B569" t="s">
        <v>37</v>
      </c>
      <c r="C569" s="45" t="s">
        <v>282</v>
      </c>
      <c r="D569" s="45"/>
      <c r="E569" s="30"/>
      <c r="F569" s="30"/>
      <c r="G569" s="30"/>
      <c r="H569" s="102"/>
      <c r="I569" s="74"/>
      <c r="J569" s="74"/>
      <c r="K569" s="45"/>
      <c r="L569" s="30"/>
      <c r="M569" s="72"/>
      <c r="N569" s="30"/>
      <c r="O569" s="30"/>
      <c r="P569" s="30"/>
      <c r="Q569" s="30" t="str">
        <f>C569&amp;IF(ISBLANK(D569),"","=")&amp;D569</f>
        <v>;M4 Axis</v>
      </c>
      <c r="R569" s="30"/>
      <c r="S569" s="45"/>
      <c r="T569" s="30" t="str">
        <f>C569&amp;IF(ISBLANK(S569),"","=")&amp;S569</f>
        <v>;M4 Axis</v>
      </c>
      <c r="U569" s="45"/>
      <c r="V569" s="30" t="str">
        <f>C569&amp;IF(ISBLANK(U569),"","=")&amp;U569</f>
        <v>;M4 Axis</v>
      </c>
      <c r="W569" s="30"/>
      <c r="X569" s="30"/>
    </row>
    <row r="570" spans="1:24" x14ac:dyDescent="0.3">
      <c r="A570">
        <v>620</v>
      </c>
      <c r="B570" t="s">
        <v>37</v>
      </c>
      <c r="C570" s="39" t="s">
        <v>374</v>
      </c>
      <c r="D570" s="39">
        <v>5061</v>
      </c>
      <c r="E570" s="27"/>
      <c r="F570" s="27"/>
      <c r="G570" s="27"/>
      <c r="H570" s="46" t="str">
        <f>DEC2HEX(I570)</f>
        <v>B9</v>
      </c>
      <c r="I570" s="27">
        <v>185</v>
      </c>
      <c r="J570" s="27" t="str">
        <f>CHAR(I570)</f>
        <v>¹</v>
      </c>
      <c r="Q570" s="40" t="str">
        <f>C570&amp;IF(ISBLANK(D570),"","=")&amp;D570</f>
        <v>MaxSpeed_M4=5061</v>
      </c>
      <c r="S570" s="39">
        <v>30000</v>
      </c>
      <c r="T570" s="40" t="str">
        <f>C570&amp;IF(ISBLANK(S570),"","=")&amp;S570</f>
        <v>MaxSpeed_M4=30000</v>
      </c>
      <c r="U570" s="39">
        <v>1000</v>
      </c>
    </row>
    <row r="571" spans="1:24" x14ac:dyDescent="0.3">
      <c r="A571">
        <v>621</v>
      </c>
      <c r="B571" t="s">
        <v>37</v>
      </c>
      <c r="C571" s="39" t="s">
        <v>375</v>
      </c>
      <c r="D571" s="39">
        <v>5062</v>
      </c>
      <c r="E571" s="27"/>
      <c r="F571" s="27"/>
      <c r="G571" s="27"/>
      <c r="H571" s="46" t="str">
        <f>DEC2HEX(I571)</f>
        <v>BA</v>
      </c>
      <c r="I571" s="27">
        <v>186</v>
      </c>
      <c r="J571" s="27" t="str">
        <f>CHAR(I571)</f>
        <v>º</v>
      </c>
      <c r="Q571" s="40" t="str">
        <f>C571&amp;IF(ISBLANK(D571),"","=")&amp;D571</f>
        <v>Accel_M4=5062</v>
      </c>
      <c r="S571" s="39">
        <v>20000</v>
      </c>
      <c r="T571" s="40" t="str">
        <f>C571&amp;IF(ISBLANK(S571),"","=")&amp;S571</f>
        <v>Accel_M4=20000</v>
      </c>
      <c r="U571" s="39">
        <v>1000</v>
      </c>
    </row>
    <row r="572" spans="1:24" x14ac:dyDescent="0.3">
      <c r="A572">
        <v>622</v>
      </c>
      <c r="B572" t="s">
        <v>37</v>
      </c>
      <c r="C572" s="39" t="s">
        <v>376</v>
      </c>
      <c r="D572" s="39">
        <v>62</v>
      </c>
      <c r="E572" s="26"/>
      <c r="F572" s="26"/>
      <c r="G572" s="26"/>
      <c r="H572" s="46" t="str">
        <f>DEC2HEX(I572)</f>
        <v>6F</v>
      </c>
      <c r="I572" s="26">
        <v>111</v>
      </c>
      <c r="J572" s="27" t="str">
        <f>CHAR(I572)</f>
        <v>o</v>
      </c>
      <c r="Q572" s="40" t="str">
        <f>C572&amp;IF(ISBLANK(D572),"","=")&amp;D572</f>
        <v>SpeedPercentage_M4=62</v>
      </c>
      <c r="S572" s="39">
        <v>100</v>
      </c>
      <c r="T572" s="40" t="str">
        <f>C572&amp;IF(ISBLANK(S572),"","=")&amp;S572</f>
        <v>SpeedPercentage_M4=100</v>
      </c>
      <c r="U572" s="39">
        <v>11</v>
      </c>
    </row>
    <row r="573" spans="1:24" x14ac:dyDescent="0.3">
      <c r="A573">
        <v>623</v>
      </c>
      <c r="B573" t="s">
        <v>37</v>
      </c>
      <c r="C573" s="39" t="s">
        <v>229</v>
      </c>
      <c r="E573" s="26"/>
      <c r="F573" s="26"/>
      <c r="G573" s="26"/>
      <c r="H573" s="96"/>
      <c r="I573" s="26"/>
      <c r="J573" s="26"/>
      <c r="Q573" s="40" t="str">
        <f>C573&amp;IF(ISBLANK(D573),"","=")&amp;D573</f>
        <v>;</v>
      </c>
      <c r="T573" s="40" t="str">
        <f>C573&amp;IF(ISBLANK(S573),"","=")&amp;S573</f>
        <v>;</v>
      </c>
    </row>
  </sheetData>
  <sortState xmlns:xlrd2="http://schemas.microsoft.com/office/spreadsheetml/2017/richdata2" ref="A2:X700">
    <sortCondition ref="A2:A700"/>
  </sortState>
  <phoneticPr fontId="6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By_IniSort">
                <anchor moveWithCells="1">
                  <from>
                    <xdr:col>16</xdr:col>
                    <xdr:colOff>541020</xdr:colOff>
                    <xdr:row>0</xdr:row>
                    <xdr:rowOff>0</xdr:rowOff>
                  </from>
                  <to>
                    <xdr:col>16</xdr:col>
                    <xdr:colOff>1211580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By_EEPROM">
                <anchor moveWithCells="1">
                  <from>
                    <xdr:col>16</xdr:col>
                    <xdr:colOff>1249680</xdr:colOff>
                    <xdr:row>0</xdr:row>
                    <xdr:rowOff>7620</xdr:rowOff>
                  </from>
                  <to>
                    <xdr:col>16</xdr:col>
                    <xdr:colOff>2118360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By_Page">
                <anchor moveWithCells="1" sizeWithCells="1">
                  <from>
                    <xdr:col>16</xdr:col>
                    <xdr:colOff>2156460</xdr:colOff>
                    <xdr:row>0</xdr:row>
                    <xdr:rowOff>0</xdr:rowOff>
                  </from>
                  <to>
                    <xdr:col>16</xdr:col>
                    <xdr:colOff>2773680</xdr:colOff>
                    <xdr:row>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rtBy_ASCII">
                <anchor moveWithCells="1">
                  <from>
                    <xdr:col>16</xdr:col>
                    <xdr:colOff>3695700</xdr:colOff>
                    <xdr:row>0</xdr:row>
                    <xdr:rowOff>7620</xdr:rowOff>
                  </from>
                  <to>
                    <xdr:col>18</xdr:col>
                    <xdr:colOff>121920</xdr:colOff>
                    <xdr:row>0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PageKeySort">
                <anchor moveWithCells="1" sizeWithCells="1">
                  <from>
                    <xdr:col>16</xdr:col>
                    <xdr:colOff>2788920</xdr:colOff>
                    <xdr:row>0</xdr:row>
                    <xdr:rowOff>7620</xdr:rowOff>
                  </from>
                  <to>
                    <xdr:col>16</xdr:col>
                    <xdr:colOff>3627120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11E91-2EAD-43A0-98E3-ED829AFB723A}">
  <sheetPr codeName="Sheet3"/>
  <dimension ref="A2:F47"/>
  <sheetViews>
    <sheetView workbookViewId="0">
      <selection activeCell="I36" sqref="I36"/>
    </sheetView>
  </sheetViews>
  <sheetFormatPr defaultRowHeight="14.4" x14ac:dyDescent="0.3"/>
  <cols>
    <col min="4" max="4" width="9.6640625" customWidth="1"/>
    <col min="5" max="5" width="10.33203125" customWidth="1"/>
  </cols>
  <sheetData>
    <row r="2" spans="1:6" x14ac:dyDescent="0.3">
      <c r="A2" t="s">
        <v>0</v>
      </c>
      <c r="B2" t="s">
        <v>3</v>
      </c>
      <c r="C2" t="s">
        <v>22</v>
      </c>
      <c r="D2" t="s">
        <v>27</v>
      </c>
      <c r="E2" t="s">
        <v>26</v>
      </c>
      <c r="F2" t="s">
        <v>30</v>
      </c>
    </row>
    <row r="3" spans="1:6" x14ac:dyDescent="0.3">
      <c r="A3">
        <v>1</v>
      </c>
      <c r="B3" t="s">
        <v>8</v>
      </c>
    </row>
    <row r="4" spans="1:6" x14ac:dyDescent="0.3">
      <c r="A4">
        <v>2</v>
      </c>
      <c r="C4" t="s">
        <v>9</v>
      </c>
      <c r="D4">
        <v>2</v>
      </c>
      <c r="E4">
        <v>2</v>
      </c>
      <c r="F4">
        <v>3</v>
      </c>
    </row>
    <row r="5" spans="1:6" x14ac:dyDescent="0.3">
      <c r="A5">
        <v>3</v>
      </c>
      <c r="C5" t="s">
        <v>10</v>
      </c>
      <c r="D5">
        <v>3</v>
      </c>
      <c r="E5">
        <v>3</v>
      </c>
      <c r="F5">
        <v>2</v>
      </c>
    </row>
    <row r="6" spans="1:6" x14ac:dyDescent="0.3">
      <c r="A6">
        <v>4</v>
      </c>
      <c r="C6" t="s">
        <v>11</v>
      </c>
      <c r="D6">
        <v>4</v>
      </c>
      <c r="E6">
        <v>4</v>
      </c>
      <c r="F6">
        <v>6</v>
      </c>
    </row>
    <row r="7" spans="1:6" x14ac:dyDescent="0.3">
      <c r="A7">
        <v>5</v>
      </c>
      <c r="C7" s="3" t="s">
        <v>12</v>
      </c>
    </row>
    <row r="8" spans="1:6" x14ac:dyDescent="0.3">
      <c r="A8">
        <v>6</v>
      </c>
      <c r="C8" s="3" t="s">
        <v>13</v>
      </c>
    </row>
    <row r="9" spans="1:6" x14ac:dyDescent="0.3">
      <c r="A9">
        <v>7</v>
      </c>
      <c r="C9" s="3" t="s">
        <v>14</v>
      </c>
    </row>
    <row r="10" spans="1:6" x14ac:dyDescent="0.3">
      <c r="A10">
        <v>8</v>
      </c>
    </row>
    <row r="11" spans="1:6" x14ac:dyDescent="0.3">
      <c r="A11">
        <v>9</v>
      </c>
      <c r="B11" t="s">
        <v>4</v>
      </c>
    </row>
    <row r="12" spans="1:6" x14ac:dyDescent="0.3">
      <c r="A12">
        <v>10</v>
      </c>
      <c r="C12" t="s">
        <v>9</v>
      </c>
      <c r="D12">
        <v>5</v>
      </c>
      <c r="E12">
        <v>5</v>
      </c>
      <c r="F12">
        <v>4</v>
      </c>
    </row>
    <row r="13" spans="1:6" x14ac:dyDescent="0.3">
      <c r="A13">
        <v>11</v>
      </c>
      <c r="C13" t="s">
        <v>10</v>
      </c>
      <c r="D13">
        <v>6</v>
      </c>
      <c r="E13">
        <v>6</v>
      </c>
      <c r="F13">
        <v>5</v>
      </c>
    </row>
    <row r="14" spans="1:6" x14ac:dyDescent="0.3">
      <c r="A14">
        <v>12</v>
      </c>
      <c r="C14" t="s">
        <v>11</v>
      </c>
      <c r="D14">
        <v>14</v>
      </c>
      <c r="E14">
        <v>14</v>
      </c>
      <c r="F14">
        <v>20</v>
      </c>
    </row>
    <row r="15" spans="1:6" x14ac:dyDescent="0.3">
      <c r="A15">
        <v>13</v>
      </c>
      <c r="C15" s="3" t="s">
        <v>12</v>
      </c>
    </row>
    <row r="16" spans="1:6" x14ac:dyDescent="0.3">
      <c r="A16">
        <v>14</v>
      </c>
      <c r="C16" s="3" t="s">
        <v>13</v>
      </c>
    </row>
    <row r="17" spans="1:5" x14ac:dyDescent="0.3">
      <c r="A17">
        <v>15</v>
      </c>
      <c r="C17" s="3" t="s">
        <v>14</v>
      </c>
    </row>
    <row r="18" spans="1:5" x14ac:dyDescent="0.3">
      <c r="A18">
        <v>16</v>
      </c>
    </row>
    <row r="19" spans="1:5" x14ac:dyDescent="0.3">
      <c r="A19">
        <v>17</v>
      </c>
      <c r="B19" t="s">
        <v>28</v>
      </c>
    </row>
    <row r="20" spans="1:5" x14ac:dyDescent="0.3">
      <c r="A20">
        <v>18</v>
      </c>
      <c r="C20" t="s">
        <v>9</v>
      </c>
      <c r="E20">
        <v>20</v>
      </c>
    </row>
    <row r="21" spans="1:5" x14ac:dyDescent="0.3">
      <c r="A21">
        <v>19</v>
      </c>
      <c r="C21" t="s">
        <v>10</v>
      </c>
      <c r="E21">
        <v>21</v>
      </c>
    </row>
    <row r="22" spans="1:5" x14ac:dyDescent="0.3">
      <c r="A22">
        <v>20</v>
      </c>
      <c r="C22" t="s">
        <v>11</v>
      </c>
      <c r="E22">
        <v>22</v>
      </c>
    </row>
    <row r="23" spans="1:5" x14ac:dyDescent="0.3">
      <c r="A23">
        <v>21</v>
      </c>
      <c r="C23" s="3" t="s">
        <v>12</v>
      </c>
    </row>
    <row r="24" spans="1:5" x14ac:dyDescent="0.3">
      <c r="A24">
        <v>22</v>
      </c>
      <c r="C24" s="3" t="s">
        <v>13</v>
      </c>
    </row>
    <row r="25" spans="1:5" x14ac:dyDescent="0.3">
      <c r="A25">
        <v>23</v>
      </c>
      <c r="C25" s="3" t="s">
        <v>14</v>
      </c>
    </row>
    <row r="26" spans="1:5" x14ac:dyDescent="0.3">
      <c r="A26">
        <v>24</v>
      </c>
      <c r="B26" t="s">
        <v>29</v>
      </c>
    </row>
    <row r="27" spans="1:5" x14ac:dyDescent="0.3">
      <c r="A27">
        <v>25</v>
      </c>
      <c r="C27" t="s">
        <v>9</v>
      </c>
      <c r="E27">
        <v>23</v>
      </c>
    </row>
    <row r="28" spans="1:5" x14ac:dyDescent="0.3">
      <c r="A28">
        <v>26</v>
      </c>
      <c r="C28" t="s">
        <v>10</v>
      </c>
      <c r="E28">
        <v>16</v>
      </c>
    </row>
    <row r="29" spans="1:5" x14ac:dyDescent="0.3">
      <c r="A29">
        <v>27</v>
      </c>
      <c r="C29" t="s">
        <v>11</v>
      </c>
      <c r="E29">
        <v>17</v>
      </c>
    </row>
    <row r="30" spans="1:5" x14ac:dyDescent="0.3">
      <c r="A30">
        <v>28</v>
      </c>
      <c r="C30" s="3" t="s">
        <v>12</v>
      </c>
    </row>
    <row r="31" spans="1:5" x14ac:dyDescent="0.3">
      <c r="A31">
        <v>29</v>
      </c>
      <c r="C31" s="3" t="s">
        <v>13</v>
      </c>
    </row>
    <row r="32" spans="1:5" x14ac:dyDescent="0.3">
      <c r="A32">
        <v>30</v>
      </c>
      <c r="C32" s="3" t="s">
        <v>14</v>
      </c>
    </row>
    <row r="33" spans="1:6" x14ac:dyDescent="0.3">
      <c r="A33">
        <v>31</v>
      </c>
      <c r="B33" t="s">
        <v>15</v>
      </c>
    </row>
    <row r="34" spans="1:6" x14ac:dyDescent="0.3">
      <c r="A34">
        <v>32</v>
      </c>
      <c r="C34" t="s">
        <v>16</v>
      </c>
      <c r="D34" t="s">
        <v>32</v>
      </c>
      <c r="E34" t="s">
        <v>32</v>
      </c>
    </row>
    <row r="35" spans="1:6" x14ac:dyDescent="0.3">
      <c r="A35">
        <v>33</v>
      </c>
      <c r="C35" t="s">
        <v>17</v>
      </c>
      <c r="D35">
        <v>11</v>
      </c>
      <c r="E35">
        <v>11</v>
      </c>
    </row>
    <row r="36" spans="1:6" x14ac:dyDescent="0.3">
      <c r="A36">
        <v>34</v>
      </c>
      <c r="C36" t="s">
        <v>18</v>
      </c>
      <c r="D36">
        <v>12</v>
      </c>
      <c r="E36">
        <v>12</v>
      </c>
    </row>
    <row r="37" spans="1:6" x14ac:dyDescent="0.3">
      <c r="A37">
        <v>35</v>
      </c>
      <c r="C37" t="s">
        <v>19</v>
      </c>
      <c r="D37">
        <v>13</v>
      </c>
      <c r="E37">
        <v>13</v>
      </c>
    </row>
    <row r="38" spans="1:6" x14ac:dyDescent="0.3">
      <c r="A38">
        <v>36</v>
      </c>
    </row>
    <row r="39" spans="1:6" x14ac:dyDescent="0.3">
      <c r="A39">
        <v>37</v>
      </c>
      <c r="B39" t="s">
        <v>31</v>
      </c>
    </row>
    <row r="40" spans="1:6" x14ac:dyDescent="0.3">
      <c r="A40">
        <v>38</v>
      </c>
      <c r="C40" t="s">
        <v>21</v>
      </c>
      <c r="D40">
        <v>0</v>
      </c>
    </row>
    <row r="41" spans="1:6" x14ac:dyDescent="0.3">
      <c r="A41">
        <v>39</v>
      </c>
      <c r="C41" t="s">
        <v>20</v>
      </c>
      <c r="D41">
        <v>1</v>
      </c>
    </row>
    <row r="42" spans="1:6" x14ac:dyDescent="0.3">
      <c r="A42">
        <v>40</v>
      </c>
      <c r="B42" t="s">
        <v>23</v>
      </c>
    </row>
    <row r="43" spans="1:6" x14ac:dyDescent="0.3">
      <c r="A43">
        <v>41</v>
      </c>
      <c r="C43" t="s">
        <v>21</v>
      </c>
      <c r="D43">
        <v>7</v>
      </c>
    </row>
    <row r="44" spans="1:6" x14ac:dyDescent="0.3">
      <c r="A44">
        <v>42</v>
      </c>
      <c r="C44" t="s">
        <v>20</v>
      </c>
      <c r="D44">
        <v>8</v>
      </c>
    </row>
    <row r="45" spans="1:6" x14ac:dyDescent="0.3">
      <c r="A45">
        <v>43</v>
      </c>
      <c r="B45" t="s">
        <v>24</v>
      </c>
    </row>
    <row r="46" spans="1:6" x14ac:dyDescent="0.3">
      <c r="A46">
        <v>44</v>
      </c>
      <c r="D46">
        <v>16</v>
      </c>
      <c r="E46">
        <v>18</v>
      </c>
      <c r="F46">
        <v>16</v>
      </c>
    </row>
    <row r="47" spans="1:6" x14ac:dyDescent="0.3">
      <c r="A47">
        <v>45</v>
      </c>
      <c r="D47">
        <v>17</v>
      </c>
      <c r="E47">
        <v>19</v>
      </c>
      <c r="F47">
        <v>17</v>
      </c>
    </row>
  </sheetData>
  <sortState xmlns:xlrd2="http://schemas.microsoft.com/office/spreadsheetml/2017/richdata2" ref="A3:D38">
    <sortCondition ref="A3:A38"/>
  </sortState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126D5-F0E5-4AA3-B66B-4770F069A49D}">
  <sheetPr codeName="Sheet4"/>
  <dimension ref="A3:O150"/>
  <sheetViews>
    <sheetView topLeftCell="E2" workbookViewId="0">
      <selection activeCell="F10" sqref="F10"/>
    </sheetView>
  </sheetViews>
  <sheetFormatPr defaultRowHeight="14.4" x14ac:dyDescent="0.3"/>
  <cols>
    <col min="1" max="1" width="15.88671875" customWidth="1"/>
    <col min="2" max="2" width="8.33203125" bestFit="1" customWidth="1"/>
    <col min="3" max="3" width="25" customWidth="1"/>
    <col min="4" max="4" width="16.109375" customWidth="1"/>
    <col min="7" max="7" width="38" customWidth="1"/>
    <col min="8" max="8" width="10.33203125" hidden="1" customWidth="1"/>
    <col min="9" max="9" width="11" customWidth="1"/>
    <col min="10" max="10" width="23.6640625" customWidth="1"/>
    <col min="13" max="13" width="11" customWidth="1"/>
    <col min="14" max="14" width="23.88671875" customWidth="1"/>
  </cols>
  <sheetData>
    <row r="3" spans="1:15" x14ac:dyDescent="0.3">
      <c r="A3" s="13" t="s">
        <v>181</v>
      </c>
      <c r="B3" s="13" t="s">
        <v>138</v>
      </c>
      <c r="C3" s="14" t="s">
        <v>141</v>
      </c>
      <c r="D3" s="15" t="s">
        <v>142</v>
      </c>
      <c r="F3" s="5" t="s">
        <v>179</v>
      </c>
      <c r="G3" s="6" t="s">
        <v>166</v>
      </c>
      <c r="H3" s="6" t="s">
        <v>165</v>
      </c>
      <c r="I3" s="6" t="s">
        <v>165</v>
      </c>
      <c r="J3" s="64" t="s">
        <v>180</v>
      </c>
      <c r="M3" s="62"/>
      <c r="N3" s="62"/>
      <c r="O3" s="62"/>
    </row>
    <row r="4" spans="1:15" x14ac:dyDescent="0.3">
      <c r="A4" s="16" t="s">
        <v>43</v>
      </c>
      <c r="B4" s="16"/>
      <c r="C4" s="17"/>
      <c r="D4" s="18"/>
      <c r="F4" s="7">
        <v>232</v>
      </c>
      <c r="G4" s="8" t="s">
        <v>486</v>
      </c>
      <c r="H4" s="8" t="s">
        <v>145</v>
      </c>
      <c r="I4" s="8">
        <v>0</v>
      </c>
      <c r="J4" s="65" t="s">
        <v>167</v>
      </c>
      <c r="K4">
        <f>I4+F4</f>
        <v>232</v>
      </c>
      <c r="M4" s="10"/>
      <c r="N4" s="10"/>
      <c r="O4" s="10"/>
    </row>
    <row r="5" spans="1:15" x14ac:dyDescent="0.3">
      <c r="A5" s="19"/>
      <c r="B5" s="19" t="s">
        <v>50</v>
      </c>
      <c r="C5" s="20" t="s">
        <v>51</v>
      </c>
      <c r="D5" s="21">
        <f>_xlfn.IFS(B5="uint32_t",4,B5="int",4,B5="float",4,B5="bool",2,B5="int32_t",4)</f>
        <v>4</v>
      </c>
      <c r="F5" s="9">
        <v>80</v>
      </c>
      <c r="G5" s="10" t="s">
        <v>146</v>
      </c>
      <c r="H5" s="10" t="s">
        <v>147</v>
      </c>
      <c r="I5" s="10">
        <v>300</v>
      </c>
      <c r="J5" s="66" t="s">
        <v>169</v>
      </c>
      <c r="K5">
        <f>I5+F5</f>
        <v>380</v>
      </c>
      <c r="L5">
        <f>I5-K4</f>
        <v>68</v>
      </c>
      <c r="M5" s="10"/>
      <c r="N5" s="10"/>
      <c r="O5" s="10"/>
    </row>
    <row r="6" spans="1:15" x14ac:dyDescent="0.3">
      <c r="A6" s="16"/>
      <c r="B6" s="19" t="s">
        <v>50</v>
      </c>
      <c r="C6" s="20" t="s">
        <v>54</v>
      </c>
      <c r="D6" s="21">
        <f t="shared" ref="D6:D14" si="0">_xlfn.IFS(B6="uint32_t",4,B6="int",4,B6="float",4,B6="bool",2,B6="int32_t",4)</f>
        <v>4</v>
      </c>
      <c r="F6" s="7">
        <v>84</v>
      </c>
      <c r="G6" s="8" t="s">
        <v>150</v>
      </c>
      <c r="H6" s="8" t="s">
        <v>151</v>
      </c>
      <c r="I6" s="8">
        <v>500</v>
      </c>
      <c r="J6" s="65" t="s">
        <v>175</v>
      </c>
      <c r="K6">
        <f>I6+F6</f>
        <v>584</v>
      </c>
      <c r="L6">
        <f>I6-K5</f>
        <v>120</v>
      </c>
      <c r="M6" s="10"/>
      <c r="N6" s="10"/>
      <c r="O6" s="10"/>
    </row>
    <row r="7" spans="1:15" x14ac:dyDescent="0.3">
      <c r="A7" s="19"/>
      <c r="B7" s="16" t="s">
        <v>52</v>
      </c>
      <c r="C7" s="17" t="s">
        <v>53</v>
      </c>
      <c r="D7" s="18">
        <f t="shared" si="0"/>
        <v>4</v>
      </c>
      <c r="F7" s="9">
        <v>120</v>
      </c>
      <c r="G7" s="10" t="s">
        <v>148</v>
      </c>
      <c r="H7" s="10" t="s">
        <v>149</v>
      </c>
      <c r="I7" s="10">
        <v>600</v>
      </c>
      <c r="J7" s="66" t="s">
        <v>168</v>
      </c>
      <c r="K7">
        <f t="shared" ref="K7:K18" si="1">I7+F7</f>
        <v>720</v>
      </c>
      <c r="L7">
        <f t="shared" ref="L7:L18" si="2">I7-K6</f>
        <v>16</v>
      </c>
      <c r="M7" s="10"/>
      <c r="N7" s="10"/>
      <c r="O7" s="10"/>
    </row>
    <row r="8" spans="1:15" x14ac:dyDescent="0.3">
      <c r="B8" s="16" t="s">
        <v>52</v>
      </c>
      <c r="C8" s="17" t="s">
        <v>55</v>
      </c>
      <c r="D8" s="18">
        <f t="shared" si="0"/>
        <v>4</v>
      </c>
      <c r="F8" s="7">
        <v>112</v>
      </c>
      <c r="G8" s="8" t="s">
        <v>154</v>
      </c>
      <c r="H8" s="8" t="s">
        <v>155</v>
      </c>
      <c r="I8" s="8">
        <v>750</v>
      </c>
      <c r="J8" s="65" t="s">
        <v>177</v>
      </c>
      <c r="K8">
        <f t="shared" si="1"/>
        <v>862</v>
      </c>
      <c r="L8">
        <f t="shared" si="2"/>
        <v>30</v>
      </c>
      <c r="M8" s="10"/>
      <c r="N8" s="10"/>
      <c r="O8" s="10"/>
    </row>
    <row r="9" spans="1:15" x14ac:dyDescent="0.3">
      <c r="A9" s="19"/>
      <c r="B9" s="19" t="s">
        <v>50</v>
      </c>
      <c r="C9" s="20" t="s">
        <v>56</v>
      </c>
      <c r="D9" s="21">
        <f t="shared" si="0"/>
        <v>4</v>
      </c>
      <c r="F9" s="9">
        <v>140</v>
      </c>
      <c r="G9" s="10" t="s">
        <v>487</v>
      </c>
      <c r="H9" s="10" t="s">
        <v>156</v>
      </c>
      <c r="I9" s="10">
        <v>900</v>
      </c>
      <c r="J9" s="66" t="s">
        <v>170</v>
      </c>
      <c r="K9">
        <f t="shared" si="1"/>
        <v>1040</v>
      </c>
      <c r="L9">
        <f t="shared" si="2"/>
        <v>38</v>
      </c>
      <c r="M9" s="10"/>
      <c r="N9" s="10"/>
      <c r="O9" s="10"/>
    </row>
    <row r="10" spans="1:15" x14ac:dyDescent="0.3">
      <c r="A10" s="16"/>
      <c r="B10" s="16" t="s">
        <v>52</v>
      </c>
      <c r="C10" s="17" t="s">
        <v>57</v>
      </c>
      <c r="D10" s="18">
        <f t="shared" si="0"/>
        <v>4</v>
      </c>
      <c r="F10" s="7">
        <v>112</v>
      </c>
      <c r="G10" s="8" t="s">
        <v>152</v>
      </c>
      <c r="H10" s="8" t="s">
        <v>153</v>
      </c>
      <c r="I10" s="8">
        <v>1100</v>
      </c>
      <c r="J10" s="65" t="s">
        <v>176</v>
      </c>
      <c r="K10">
        <f t="shared" si="1"/>
        <v>1212</v>
      </c>
      <c r="L10">
        <f t="shared" si="2"/>
        <v>60</v>
      </c>
      <c r="M10" s="10"/>
      <c r="N10" s="10"/>
      <c r="O10" s="10"/>
    </row>
    <row r="11" spans="1:15" x14ac:dyDescent="0.3">
      <c r="A11" s="16"/>
      <c r="B11" s="19" t="s">
        <v>52</v>
      </c>
      <c r="C11" s="20" t="s">
        <v>58</v>
      </c>
      <c r="D11" s="21">
        <f t="shared" si="0"/>
        <v>4</v>
      </c>
      <c r="F11" s="9">
        <v>108</v>
      </c>
      <c r="G11" s="10" t="s">
        <v>488</v>
      </c>
      <c r="H11" s="10" t="s">
        <v>157</v>
      </c>
      <c r="I11" s="10">
        <v>1250</v>
      </c>
      <c r="J11" s="66" t="s">
        <v>178</v>
      </c>
      <c r="K11">
        <f t="shared" si="1"/>
        <v>1358</v>
      </c>
      <c r="L11">
        <f t="shared" si="2"/>
        <v>38</v>
      </c>
      <c r="M11" s="10"/>
      <c r="N11" s="10"/>
      <c r="O11" s="10"/>
    </row>
    <row r="12" spans="1:15" x14ac:dyDescent="0.3">
      <c r="A12" s="19"/>
      <c r="B12" s="16" t="s">
        <v>59</v>
      </c>
      <c r="C12" s="17" t="s">
        <v>189</v>
      </c>
      <c r="D12" s="21">
        <f t="shared" si="0"/>
        <v>4</v>
      </c>
      <c r="F12" s="7">
        <v>52</v>
      </c>
      <c r="G12" s="8" t="s">
        <v>495</v>
      </c>
      <c r="H12" s="8" t="s">
        <v>158</v>
      </c>
      <c r="I12" s="8">
        <v>1400</v>
      </c>
      <c r="J12" s="65" t="s">
        <v>171</v>
      </c>
      <c r="K12">
        <f t="shared" si="1"/>
        <v>1452</v>
      </c>
      <c r="L12">
        <f t="shared" si="2"/>
        <v>42</v>
      </c>
      <c r="M12" s="10"/>
      <c r="N12" s="10"/>
      <c r="O12" s="10"/>
    </row>
    <row r="13" spans="1:15" x14ac:dyDescent="0.3">
      <c r="A13" s="19"/>
      <c r="B13" s="16" t="s">
        <v>59</v>
      </c>
      <c r="C13" s="20" t="s">
        <v>190</v>
      </c>
      <c r="D13" s="21">
        <f t="shared" si="0"/>
        <v>4</v>
      </c>
      <c r="F13" s="9">
        <v>16</v>
      </c>
      <c r="G13" s="10" t="s">
        <v>159</v>
      </c>
      <c r="H13" s="10" t="s">
        <v>160</v>
      </c>
      <c r="I13" s="10">
        <v>1500</v>
      </c>
      <c r="J13" s="66" t="s">
        <v>172</v>
      </c>
      <c r="K13">
        <f t="shared" si="1"/>
        <v>1516</v>
      </c>
      <c r="L13">
        <f t="shared" si="2"/>
        <v>48</v>
      </c>
      <c r="M13" s="10"/>
      <c r="N13" s="10"/>
      <c r="O13" s="10"/>
    </row>
    <row r="14" spans="1:15" x14ac:dyDescent="0.3">
      <c r="A14" s="19"/>
      <c r="B14" s="19" t="s">
        <v>59</v>
      </c>
      <c r="C14" s="20" t="s">
        <v>191</v>
      </c>
      <c r="D14" s="21">
        <f t="shared" si="0"/>
        <v>4</v>
      </c>
      <c r="F14" s="9">
        <v>16</v>
      </c>
      <c r="G14" s="8" t="s">
        <v>161</v>
      </c>
      <c r="H14" s="8" t="s">
        <v>162</v>
      </c>
      <c r="I14" s="8">
        <v>1550</v>
      </c>
      <c r="J14" s="65" t="s">
        <v>173</v>
      </c>
      <c r="K14">
        <f t="shared" si="1"/>
        <v>1566</v>
      </c>
      <c r="L14">
        <f t="shared" si="2"/>
        <v>34</v>
      </c>
      <c r="M14" s="10"/>
      <c r="N14" s="10"/>
      <c r="O14" s="10"/>
    </row>
    <row r="15" spans="1:15" x14ac:dyDescent="0.3">
      <c r="A15" s="19"/>
      <c r="B15" s="16" t="s">
        <v>59</v>
      </c>
      <c r="C15" s="17" t="s">
        <v>192</v>
      </c>
      <c r="D15" s="21">
        <v>4</v>
      </c>
      <c r="F15" s="9">
        <v>16</v>
      </c>
      <c r="G15" s="10" t="s">
        <v>163</v>
      </c>
      <c r="H15" s="10" t="s">
        <v>164</v>
      </c>
      <c r="I15" s="10">
        <v>1600</v>
      </c>
      <c r="J15" s="66" t="s">
        <v>174</v>
      </c>
      <c r="K15">
        <f t="shared" si="1"/>
        <v>1616</v>
      </c>
      <c r="L15">
        <f t="shared" si="2"/>
        <v>34</v>
      </c>
      <c r="M15" s="63"/>
      <c r="N15" s="63"/>
      <c r="O15" s="63"/>
    </row>
    <row r="16" spans="1:15" x14ac:dyDescent="0.3">
      <c r="A16" s="19"/>
      <c r="B16" s="16"/>
      <c r="C16" s="17"/>
      <c r="D16" s="21"/>
      <c r="F16" s="9">
        <v>16</v>
      </c>
      <c r="G16" s="8" t="s">
        <v>484</v>
      </c>
      <c r="H16" s="8" t="s">
        <v>164</v>
      </c>
      <c r="I16" s="8">
        <v>1650</v>
      </c>
      <c r="J16" s="65" t="s">
        <v>489</v>
      </c>
      <c r="K16">
        <f t="shared" si="1"/>
        <v>1666</v>
      </c>
      <c r="L16">
        <f t="shared" si="2"/>
        <v>34</v>
      </c>
      <c r="M16" s="10"/>
      <c r="N16" s="10"/>
      <c r="O16" s="10"/>
    </row>
    <row r="17" spans="1:15" x14ac:dyDescent="0.3">
      <c r="A17" s="19"/>
      <c r="B17" s="16"/>
      <c r="C17" s="17"/>
      <c r="D17" s="21"/>
      <c r="F17" s="9">
        <v>16</v>
      </c>
      <c r="G17" s="10" t="s">
        <v>485</v>
      </c>
      <c r="H17" s="10" t="s">
        <v>164</v>
      </c>
      <c r="I17" s="10">
        <v>1700</v>
      </c>
      <c r="J17" s="66" t="s">
        <v>490</v>
      </c>
      <c r="K17">
        <f t="shared" si="1"/>
        <v>1716</v>
      </c>
      <c r="L17">
        <f t="shared" si="2"/>
        <v>34</v>
      </c>
      <c r="M17" s="10"/>
      <c r="N17" s="10"/>
      <c r="O17" s="10"/>
    </row>
    <row r="18" spans="1:15" x14ac:dyDescent="0.3">
      <c r="F18" s="98">
        <v>64</v>
      </c>
      <c r="G18" s="97" t="s">
        <v>622</v>
      </c>
      <c r="I18" s="97">
        <v>1750</v>
      </c>
      <c r="J18" s="99" t="s">
        <v>623</v>
      </c>
      <c r="K18">
        <f t="shared" si="1"/>
        <v>1814</v>
      </c>
      <c r="L18">
        <f t="shared" si="2"/>
        <v>34</v>
      </c>
    </row>
    <row r="21" spans="1:15" x14ac:dyDescent="0.3">
      <c r="A21" s="16"/>
      <c r="B21" s="16" t="s">
        <v>59</v>
      </c>
      <c r="C21" s="17" t="s">
        <v>64</v>
      </c>
      <c r="D21" s="18">
        <f>_xlfn.IFS(B21="uint32_t",4,B21="int",4,B21="float",4,B21="bool",2,B21="int32_t",4)</f>
        <v>4</v>
      </c>
    </row>
    <row r="22" spans="1:15" x14ac:dyDescent="0.3">
      <c r="A22" s="19"/>
      <c r="B22" s="19"/>
      <c r="C22" s="23" t="s">
        <v>182</v>
      </c>
      <c r="D22" s="21">
        <f>SUM(D21:D21)</f>
        <v>4</v>
      </c>
    </row>
    <row r="23" spans="1:15" x14ac:dyDescent="0.3">
      <c r="A23" s="16" t="s">
        <v>44</v>
      </c>
      <c r="B23" s="16"/>
      <c r="C23" s="17"/>
      <c r="D23" s="18"/>
    </row>
    <row r="24" spans="1:15" x14ac:dyDescent="0.3">
      <c r="A24" s="19"/>
      <c r="B24" s="19" t="s">
        <v>50</v>
      </c>
      <c r="C24" s="20" t="s">
        <v>65</v>
      </c>
      <c r="D24" s="21">
        <f>_xlfn.IFS(B24="uint32_t",4,B24="int",4,B24="float",4,B24="bool",2,B24="int32_t",4)</f>
        <v>4</v>
      </c>
    </row>
    <row r="25" spans="1:15" x14ac:dyDescent="0.3">
      <c r="A25" s="16"/>
      <c r="B25" s="16" t="s">
        <v>66</v>
      </c>
      <c r="C25" s="17" t="s">
        <v>67</v>
      </c>
      <c r="D25" s="18">
        <f t="shared" ref="D25:D61" si="3">_xlfn.IFS(B25="uint32_t",4,B25="int",4,B25="float",4,B25="bool",2,B25="int32_t",4)</f>
        <v>2</v>
      </c>
    </row>
    <row r="26" spans="1:15" x14ac:dyDescent="0.3">
      <c r="A26" s="19"/>
      <c r="B26" s="19" t="s">
        <v>50</v>
      </c>
      <c r="C26" s="20" t="s">
        <v>68</v>
      </c>
      <c r="D26" s="21">
        <f t="shared" si="3"/>
        <v>4</v>
      </c>
    </row>
    <row r="27" spans="1:15" x14ac:dyDescent="0.3">
      <c r="A27" s="16"/>
      <c r="B27" s="16" t="s">
        <v>59</v>
      </c>
      <c r="C27" s="17" t="s">
        <v>69</v>
      </c>
      <c r="D27" s="18">
        <f t="shared" si="3"/>
        <v>4</v>
      </c>
    </row>
    <row r="28" spans="1:15" x14ac:dyDescent="0.3">
      <c r="A28" s="19"/>
      <c r="B28" s="16" t="s">
        <v>52</v>
      </c>
      <c r="C28" s="25" t="s">
        <v>186</v>
      </c>
      <c r="D28" s="18">
        <f t="shared" si="3"/>
        <v>4</v>
      </c>
    </row>
    <row r="29" spans="1:15" x14ac:dyDescent="0.3">
      <c r="A29" s="16"/>
      <c r="B29" s="16" t="s">
        <v>50</v>
      </c>
      <c r="C29" s="17" t="s">
        <v>70</v>
      </c>
      <c r="D29" s="18">
        <f t="shared" si="3"/>
        <v>4</v>
      </c>
    </row>
    <row r="30" spans="1:15" x14ac:dyDescent="0.3">
      <c r="A30" s="19"/>
      <c r="B30" s="19" t="s">
        <v>66</v>
      </c>
      <c r="C30" s="20" t="s">
        <v>71</v>
      </c>
      <c r="D30" s="21">
        <f t="shared" si="3"/>
        <v>2</v>
      </c>
    </row>
    <row r="31" spans="1:15" x14ac:dyDescent="0.3">
      <c r="A31" s="16"/>
      <c r="B31" s="16" t="s">
        <v>50</v>
      </c>
      <c r="C31" s="17" t="s">
        <v>72</v>
      </c>
      <c r="D31" s="18">
        <f t="shared" si="3"/>
        <v>4</v>
      </c>
    </row>
    <row r="32" spans="1:15" x14ac:dyDescent="0.3">
      <c r="A32" s="19"/>
      <c r="B32" s="19" t="s">
        <v>59</v>
      </c>
      <c r="C32" s="20" t="s">
        <v>73</v>
      </c>
      <c r="D32" s="21">
        <f t="shared" si="3"/>
        <v>4</v>
      </c>
    </row>
    <row r="33" spans="1:4" x14ac:dyDescent="0.3">
      <c r="A33" s="16"/>
      <c r="B33" s="16" t="s">
        <v>50</v>
      </c>
      <c r="C33" s="17" t="s">
        <v>74</v>
      </c>
      <c r="D33" s="18">
        <f t="shared" si="3"/>
        <v>4</v>
      </c>
    </row>
    <row r="34" spans="1:4" x14ac:dyDescent="0.3">
      <c r="A34" s="19"/>
      <c r="B34" s="19" t="s">
        <v>50</v>
      </c>
      <c r="C34" s="20" t="s">
        <v>75</v>
      </c>
      <c r="D34" s="21">
        <f t="shared" si="3"/>
        <v>4</v>
      </c>
    </row>
    <row r="35" spans="1:4" x14ac:dyDescent="0.3">
      <c r="A35" s="16"/>
      <c r="B35" s="16"/>
      <c r="C35" s="17"/>
      <c r="D35" s="18"/>
    </row>
    <row r="36" spans="1:4" x14ac:dyDescent="0.3">
      <c r="A36" s="19"/>
      <c r="B36" s="19" t="s">
        <v>50</v>
      </c>
      <c r="C36" s="20" t="s">
        <v>76</v>
      </c>
      <c r="D36" s="21">
        <f t="shared" si="3"/>
        <v>4</v>
      </c>
    </row>
    <row r="37" spans="1:4" x14ac:dyDescent="0.3">
      <c r="A37" s="16"/>
      <c r="B37" s="16" t="s">
        <v>66</v>
      </c>
      <c r="C37" s="17" t="s">
        <v>77</v>
      </c>
      <c r="D37" s="18">
        <f t="shared" si="3"/>
        <v>2</v>
      </c>
    </row>
    <row r="38" spans="1:4" x14ac:dyDescent="0.3">
      <c r="A38" s="19"/>
      <c r="B38" s="19" t="s">
        <v>50</v>
      </c>
      <c r="C38" s="20" t="s">
        <v>78</v>
      </c>
      <c r="D38" s="21">
        <f t="shared" si="3"/>
        <v>4</v>
      </c>
    </row>
    <row r="39" spans="1:4" x14ac:dyDescent="0.3">
      <c r="A39" s="16"/>
      <c r="B39" s="16" t="s">
        <v>59</v>
      </c>
      <c r="C39" s="17" t="s">
        <v>79</v>
      </c>
      <c r="D39" s="18">
        <f t="shared" si="3"/>
        <v>4</v>
      </c>
    </row>
    <row r="40" spans="1:4" x14ac:dyDescent="0.3">
      <c r="A40" s="19"/>
      <c r="B40" s="19" t="s">
        <v>50</v>
      </c>
      <c r="C40" s="20" t="s">
        <v>80</v>
      </c>
      <c r="D40" s="21">
        <f t="shared" si="3"/>
        <v>4</v>
      </c>
    </row>
    <row r="41" spans="1:4" x14ac:dyDescent="0.3">
      <c r="A41" s="16"/>
      <c r="B41" s="16" t="s">
        <v>50</v>
      </c>
      <c r="C41" s="17" t="s">
        <v>81</v>
      </c>
      <c r="D41" s="18">
        <f t="shared" si="3"/>
        <v>4</v>
      </c>
    </row>
    <row r="42" spans="1:4" x14ac:dyDescent="0.3">
      <c r="A42" s="19"/>
      <c r="B42" s="19"/>
      <c r="C42" s="20"/>
      <c r="D42" s="21"/>
    </row>
    <row r="43" spans="1:4" x14ac:dyDescent="0.3">
      <c r="A43" s="16"/>
      <c r="B43" s="16" t="s">
        <v>50</v>
      </c>
      <c r="C43" s="17" t="s">
        <v>82</v>
      </c>
      <c r="D43" s="18">
        <f t="shared" si="3"/>
        <v>4</v>
      </c>
    </row>
    <row r="44" spans="1:4" x14ac:dyDescent="0.3">
      <c r="A44" s="19"/>
      <c r="B44" s="19" t="s">
        <v>66</v>
      </c>
      <c r="C44" s="20" t="s">
        <v>83</v>
      </c>
      <c r="D44" s="21">
        <f t="shared" si="3"/>
        <v>2</v>
      </c>
    </row>
    <row r="45" spans="1:4" x14ac:dyDescent="0.3">
      <c r="A45" s="16"/>
      <c r="B45" s="16" t="s">
        <v>50</v>
      </c>
      <c r="C45" s="17" t="s">
        <v>84</v>
      </c>
      <c r="D45" s="18">
        <f t="shared" si="3"/>
        <v>4</v>
      </c>
    </row>
    <row r="46" spans="1:4" x14ac:dyDescent="0.3">
      <c r="A46" s="19"/>
      <c r="B46" s="19" t="s">
        <v>59</v>
      </c>
      <c r="C46" s="20" t="s">
        <v>85</v>
      </c>
      <c r="D46" s="21">
        <f t="shared" si="3"/>
        <v>4</v>
      </c>
    </row>
    <row r="47" spans="1:4" x14ac:dyDescent="0.3">
      <c r="A47" s="16"/>
      <c r="B47" s="16" t="s">
        <v>50</v>
      </c>
      <c r="C47" s="17" t="s">
        <v>86</v>
      </c>
      <c r="D47" s="18">
        <f t="shared" si="3"/>
        <v>4</v>
      </c>
    </row>
    <row r="48" spans="1:4" x14ac:dyDescent="0.3">
      <c r="A48" s="19"/>
      <c r="B48" s="19" t="s">
        <v>50</v>
      </c>
      <c r="C48" s="20" t="s">
        <v>87</v>
      </c>
      <c r="D48" s="21">
        <f t="shared" si="3"/>
        <v>4</v>
      </c>
    </row>
    <row r="49" spans="1:4" x14ac:dyDescent="0.3">
      <c r="A49" s="16"/>
      <c r="B49" s="16"/>
      <c r="C49" s="17"/>
      <c r="D49" s="18"/>
    </row>
    <row r="50" spans="1:4" x14ac:dyDescent="0.3">
      <c r="A50" s="19"/>
      <c r="B50" s="19" t="s">
        <v>60</v>
      </c>
      <c r="C50" s="20" t="s">
        <v>88</v>
      </c>
      <c r="D50" s="21">
        <f t="shared" si="3"/>
        <v>4</v>
      </c>
    </row>
    <row r="51" spans="1:4" x14ac:dyDescent="0.3">
      <c r="A51" s="16"/>
      <c r="B51" s="16" t="s">
        <v>50</v>
      </c>
      <c r="C51" s="17" t="s">
        <v>89</v>
      </c>
      <c r="D51" s="18">
        <f t="shared" si="3"/>
        <v>4</v>
      </c>
    </row>
    <row r="52" spans="1:4" x14ac:dyDescent="0.3">
      <c r="A52" s="19"/>
      <c r="B52" s="19" t="s">
        <v>60</v>
      </c>
      <c r="C52" s="20" t="s">
        <v>90</v>
      </c>
      <c r="D52" s="21">
        <f t="shared" si="3"/>
        <v>4</v>
      </c>
    </row>
    <row r="53" spans="1:4" x14ac:dyDescent="0.3">
      <c r="A53" s="16"/>
      <c r="B53" s="16" t="s">
        <v>50</v>
      </c>
      <c r="C53" s="17" t="s">
        <v>91</v>
      </c>
      <c r="D53" s="18">
        <f t="shared" si="3"/>
        <v>4</v>
      </c>
    </row>
    <row r="54" spans="1:4" x14ac:dyDescent="0.3">
      <c r="A54" s="19"/>
      <c r="B54" s="19"/>
      <c r="C54" s="23" t="s">
        <v>182</v>
      </c>
      <c r="D54" s="21">
        <f>SUM(D24:D53)</f>
        <v>100</v>
      </c>
    </row>
    <row r="55" spans="1:4" x14ac:dyDescent="0.3">
      <c r="A55" s="16" t="s">
        <v>45</v>
      </c>
      <c r="B55" s="16"/>
      <c r="C55" s="17"/>
      <c r="D55" s="18"/>
    </row>
    <row r="56" spans="1:4" x14ac:dyDescent="0.3">
      <c r="A56" s="19"/>
      <c r="B56" s="19" t="s">
        <v>60</v>
      </c>
      <c r="C56" s="20" t="s">
        <v>61</v>
      </c>
      <c r="D56" s="21">
        <f t="shared" si="3"/>
        <v>4</v>
      </c>
    </row>
    <row r="57" spans="1:4" x14ac:dyDescent="0.3">
      <c r="A57" s="16"/>
      <c r="B57" s="16" t="s">
        <v>50</v>
      </c>
      <c r="C57" s="17" t="s">
        <v>62</v>
      </c>
      <c r="D57" s="18">
        <f t="shared" si="3"/>
        <v>4</v>
      </c>
    </row>
    <row r="58" spans="1:4" x14ac:dyDescent="0.3">
      <c r="A58" s="19"/>
      <c r="B58" s="19" t="s">
        <v>60</v>
      </c>
      <c r="C58" s="20" t="s">
        <v>92</v>
      </c>
      <c r="D58" s="21">
        <f t="shared" si="3"/>
        <v>4</v>
      </c>
    </row>
    <row r="59" spans="1:4" x14ac:dyDescent="0.3">
      <c r="A59" s="16"/>
      <c r="B59" s="16" t="s">
        <v>50</v>
      </c>
      <c r="C59" s="17" t="s">
        <v>93</v>
      </c>
      <c r="D59" s="18">
        <f t="shared" si="3"/>
        <v>4</v>
      </c>
    </row>
    <row r="60" spans="1:4" x14ac:dyDescent="0.3">
      <c r="A60" s="19"/>
      <c r="B60" s="19" t="s">
        <v>60</v>
      </c>
      <c r="C60" s="20" t="s">
        <v>63</v>
      </c>
      <c r="D60" s="21">
        <f t="shared" si="3"/>
        <v>4</v>
      </c>
    </row>
    <row r="61" spans="1:4" x14ac:dyDescent="0.3">
      <c r="A61" s="16"/>
      <c r="B61" s="16" t="s">
        <v>60</v>
      </c>
      <c r="C61" s="17" t="s">
        <v>94</v>
      </c>
      <c r="D61" s="18">
        <f t="shared" si="3"/>
        <v>4</v>
      </c>
    </row>
    <row r="62" spans="1:4" x14ac:dyDescent="0.3">
      <c r="A62" s="19"/>
      <c r="B62" s="19"/>
      <c r="C62" s="23" t="s">
        <v>182</v>
      </c>
      <c r="D62" s="21">
        <f>SUM(D56:D61)</f>
        <v>24</v>
      </c>
    </row>
    <row r="63" spans="1:4" x14ac:dyDescent="0.3">
      <c r="A63" s="16" t="s">
        <v>143</v>
      </c>
      <c r="B63" s="16"/>
      <c r="C63" s="17"/>
      <c r="D63" s="18"/>
    </row>
    <row r="64" spans="1:4" x14ac:dyDescent="0.3">
      <c r="A64" s="19"/>
      <c r="B64" s="19" t="s">
        <v>60</v>
      </c>
      <c r="C64" s="20" t="s">
        <v>61</v>
      </c>
      <c r="D64" s="21">
        <f>_xlfn.IFS(B64="uint32_t",4,B64="int",4,B64="float",4,B64="bool",2,B64="int32_t",4)</f>
        <v>4</v>
      </c>
    </row>
    <row r="65" spans="1:4" x14ac:dyDescent="0.3">
      <c r="A65" s="16"/>
      <c r="B65" s="16" t="s">
        <v>50</v>
      </c>
      <c r="C65" s="17" t="s">
        <v>62</v>
      </c>
      <c r="D65" s="18">
        <f t="shared" ref="D65:D128" si="4">_xlfn.IFS(B65="uint32_t",4,B65="int",4,B65="float",4,B65="bool",2,B65="int32_t",4)</f>
        <v>4</v>
      </c>
    </row>
    <row r="66" spans="1:4" x14ac:dyDescent="0.3">
      <c r="A66" s="19"/>
      <c r="B66" s="19" t="s">
        <v>60</v>
      </c>
      <c r="C66" s="20" t="s">
        <v>53</v>
      </c>
      <c r="D66" s="21">
        <f t="shared" si="4"/>
        <v>4</v>
      </c>
    </row>
    <row r="67" spans="1:4" x14ac:dyDescent="0.3">
      <c r="A67" s="16"/>
      <c r="B67" s="16" t="s">
        <v>60</v>
      </c>
      <c r="C67" s="17" t="s">
        <v>55</v>
      </c>
      <c r="D67" s="18">
        <f t="shared" si="4"/>
        <v>4</v>
      </c>
    </row>
    <row r="68" spans="1:4" x14ac:dyDescent="0.3">
      <c r="A68" s="19"/>
      <c r="B68" s="19" t="s">
        <v>60</v>
      </c>
      <c r="C68" s="20" t="s">
        <v>63</v>
      </c>
      <c r="D68" s="21">
        <f t="shared" si="4"/>
        <v>4</v>
      </c>
    </row>
    <row r="69" spans="1:4" x14ac:dyDescent="0.3">
      <c r="A69" s="16"/>
      <c r="B69" s="16" t="s">
        <v>60</v>
      </c>
      <c r="C69" s="17" t="s">
        <v>57</v>
      </c>
      <c r="D69" s="18">
        <f t="shared" si="4"/>
        <v>4</v>
      </c>
    </row>
    <row r="70" spans="1:4" x14ac:dyDescent="0.3">
      <c r="A70" s="19"/>
      <c r="B70" s="19" t="s">
        <v>60</v>
      </c>
      <c r="C70" s="20" t="s">
        <v>58</v>
      </c>
      <c r="D70" s="21">
        <f t="shared" si="4"/>
        <v>4</v>
      </c>
    </row>
    <row r="71" spans="1:4" x14ac:dyDescent="0.3">
      <c r="A71" s="16"/>
      <c r="B71" s="16" t="s">
        <v>50</v>
      </c>
      <c r="C71" s="17" t="s">
        <v>54</v>
      </c>
      <c r="D71" s="18">
        <f t="shared" si="4"/>
        <v>4</v>
      </c>
    </row>
    <row r="72" spans="1:4" x14ac:dyDescent="0.3">
      <c r="A72" s="19"/>
      <c r="B72" s="19" t="s">
        <v>50</v>
      </c>
      <c r="C72" s="20" t="s">
        <v>56</v>
      </c>
      <c r="D72" s="21">
        <f t="shared" si="4"/>
        <v>4</v>
      </c>
    </row>
    <row r="73" spans="1:4" x14ac:dyDescent="0.3">
      <c r="A73" s="16"/>
      <c r="B73" s="16" t="s">
        <v>60</v>
      </c>
      <c r="C73" s="17" t="s">
        <v>97</v>
      </c>
      <c r="D73" s="18">
        <f t="shared" si="4"/>
        <v>4</v>
      </c>
    </row>
    <row r="74" spans="1:4" x14ac:dyDescent="0.3">
      <c r="A74" s="19"/>
      <c r="B74" s="19" t="s">
        <v>60</v>
      </c>
      <c r="C74" s="20" t="s">
        <v>98</v>
      </c>
      <c r="D74" s="21">
        <f t="shared" si="4"/>
        <v>4</v>
      </c>
    </row>
    <row r="75" spans="1:4" x14ac:dyDescent="0.3">
      <c r="A75" s="16"/>
      <c r="B75" s="16" t="s">
        <v>60</v>
      </c>
      <c r="C75" s="17" t="s">
        <v>99</v>
      </c>
      <c r="D75" s="18">
        <f t="shared" si="4"/>
        <v>4</v>
      </c>
    </row>
    <row r="76" spans="1:4" x14ac:dyDescent="0.3">
      <c r="A76" s="19"/>
      <c r="B76" s="19" t="s">
        <v>60</v>
      </c>
      <c r="C76" s="20" t="s">
        <v>100</v>
      </c>
      <c r="D76" s="21">
        <f t="shared" si="4"/>
        <v>4</v>
      </c>
    </row>
    <row r="77" spans="1:4" x14ac:dyDescent="0.3">
      <c r="A77" s="16"/>
      <c r="B77" s="16"/>
      <c r="C77" s="17"/>
      <c r="D77" s="18"/>
    </row>
    <row r="78" spans="1:4" x14ac:dyDescent="0.3">
      <c r="A78" s="19"/>
      <c r="B78" s="19" t="s">
        <v>59</v>
      </c>
      <c r="C78" s="20" t="s">
        <v>101</v>
      </c>
      <c r="D78" s="21">
        <f t="shared" si="4"/>
        <v>4</v>
      </c>
    </row>
    <row r="79" spans="1:4" x14ac:dyDescent="0.3">
      <c r="A79" s="16"/>
      <c r="B79" s="16" t="s">
        <v>59</v>
      </c>
      <c r="C79" s="17" t="s">
        <v>102</v>
      </c>
      <c r="D79" s="18">
        <f t="shared" si="4"/>
        <v>4</v>
      </c>
    </row>
    <row r="80" spans="1:4" x14ac:dyDescent="0.3">
      <c r="A80" s="19"/>
      <c r="B80" s="19" t="s">
        <v>59</v>
      </c>
      <c r="C80" s="20" t="s">
        <v>103</v>
      </c>
      <c r="D80" s="21">
        <f t="shared" si="4"/>
        <v>4</v>
      </c>
    </row>
    <row r="81" spans="1:4" x14ac:dyDescent="0.3">
      <c r="A81" s="16"/>
      <c r="B81" s="16" t="s">
        <v>59</v>
      </c>
      <c r="C81" s="17" t="s">
        <v>104</v>
      </c>
      <c r="D81" s="18">
        <f t="shared" si="4"/>
        <v>4</v>
      </c>
    </row>
    <row r="82" spans="1:4" x14ac:dyDescent="0.3">
      <c r="A82" s="19"/>
      <c r="B82" s="19" t="s">
        <v>59</v>
      </c>
      <c r="C82" s="20" t="s">
        <v>105</v>
      </c>
      <c r="D82" s="21">
        <f t="shared" si="4"/>
        <v>4</v>
      </c>
    </row>
    <row r="83" spans="1:4" x14ac:dyDescent="0.3">
      <c r="A83" s="16"/>
      <c r="B83" s="16" t="s">
        <v>59</v>
      </c>
      <c r="C83" s="17" t="s">
        <v>106</v>
      </c>
      <c r="D83" s="18">
        <f t="shared" si="4"/>
        <v>4</v>
      </c>
    </row>
    <row r="84" spans="1:4" x14ac:dyDescent="0.3">
      <c r="A84" s="19"/>
      <c r="B84" s="19" t="s">
        <v>59</v>
      </c>
      <c r="C84" s="20" t="s">
        <v>107</v>
      </c>
      <c r="D84" s="21">
        <f t="shared" si="4"/>
        <v>4</v>
      </c>
    </row>
    <row r="85" spans="1:4" x14ac:dyDescent="0.3">
      <c r="A85" s="16"/>
      <c r="B85" s="16" t="s">
        <v>59</v>
      </c>
      <c r="C85" s="17" t="s">
        <v>108</v>
      </c>
      <c r="D85" s="18">
        <f t="shared" si="4"/>
        <v>4</v>
      </c>
    </row>
    <row r="86" spans="1:4" x14ac:dyDescent="0.3">
      <c r="A86" s="19"/>
      <c r="B86" s="19" t="s">
        <v>50</v>
      </c>
      <c r="C86" s="20" t="s">
        <v>51</v>
      </c>
      <c r="D86" s="21">
        <f t="shared" si="4"/>
        <v>4</v>
      </c>
    </row>
    <row r="87" spans="1:4" x14ac:dyDescent="0.3">
      <c r="A87" s="16"/>
      <c r="B87" s="16" t="s">
        <v>50</v>
      </c>
      <c r="C87" s="17" t="s">
        <v>109</v>
      </c>
      <c r="D87" s="18">
        <f t="shared" si="4"/>
        <v>4</v>
      </c>
    </row>
    <row r="88" spans="1:4" x14ac:dyDescent="0.3">
      <c r="A88" s="19"/>
      <c r="B88" s="19"/>
      <c r="C88" s="23" t="s">
        <v>182</v>
      </c>
      <c r="D88" s="21">
        <f>SUM(D64:D87)</f>
        <v>92</v>
      </c>
    </row>
    <row r="89" spans="1:4" x14ac:dyDescent="0.3">
      <c r="A89" s="16" t="s">
        <v>46</v>
      </c>
      <c r="B89" s="16"/>
      <c r="C89" s="17"/>
      <c r="D89" s="18"/>
    </row>
    <row r="90" spans="1:4" x14ac:dyDescent="0.3">
      <c r="A90" s="19"/>
      <c r="B90" s="19" t="s">
        <v>60</v>
      </c>
      <c r="C90" s="20" t="s">
        <v>61</v>
      </c>
      <c r="D90" s="21">
        <f t="shared" si="4"/>
        <v>4</v>
      </c>
    </row>
    <row r="91" spans="1:4" x14ac:dyDescent="0.3">
      <c r="A91" s="16"/>
      <c r="B91" s="16" t="s">
        <v>50</v>
      </c>
      <c r="C91" s="17" t="s">
        <v>62</v>
      </c>
      <c r="D91" s="18">
        <f t="shared" si="4"/>
        <v>4</v>
      </c>
    </row>
    <row r="92" spans="1:4" x14ac:dyDescent="0.3">
      <c r="A92" s="19"/>
      <c r="B92" s="19" t="s">
        <v>60</v>
      </c>
      <c r="C92" s="20" t="s">
        <v>53</v>
      </c>
      <c r="D92" s="21">
        <f t="shared" si="4"/>
        <v>4</v>
      </c>
    </row>
    <row r="93" spans="1:4" x14ac:dyDescent="0.3">
      <c r="A93" s="16"/>
      <c r="B93" s="16" t="s">
        <v>50</v>
      </c>
      <c r="C93" s="17" t="s">
        <v>54</v>
      </c>
      <c r="D93" s="18">
        <f t="shared" si="4"/>
        <v>4</v>
      </c>
    </row>
    <row r="94" spans="1:4" x14ac:dyDescent="0.3">
      <c r="A94" s="19"/>
      <c r="B94" s="19" t="s">
        <v>50</v>
      </c>
      <c r="C94" s="20" t="s">
        <v>55</v>
      </c>
      <c r="D94" s="21">
        <f t="shared" si="4"/>
        <v>4</v>
      </c>
    </row>
    <row r="95" spans="1:4" x14ac:dyDescent="0.3">
      <c r="A95" s="16"/>
      <c r="B95" s="16" t="s">
        <v>50</v>
      </c>
      <c r="C95" s="17" t="s">
        <v>56</v>
      </c>
      <c r="D95" s="18">
        <f t="shared" si="4"/>
        <v>4</v>
      </c>
    </row>
    <row r="96" spans="1:4" x14ac:dyDescent="0.3">
      <c r="A96" s="19"/>
      <c r="B96" s="19" t="s">
        <v>60</v>
      </c>
      <c r="C96" s="20" t="s">
        <v>63</v>
      </c>
      <c r="D96" s="21">
        <f t="shared" si="4"/>
        <v>4</v>
      </c>
    </row>
    <row r="97" spans="1:4" x14ac:dyDescent="0.3">
      <c r="A97" s="16"/>
      <c r="B97" s="16" t="s">
        <v>60</v>
      </c>
      <c r="C97" s="17" t="s">
        <v>110</v>
      </c>
      <c r="D97" s="18">
        <f t="shared" si="4"/>
        <v>4</v>
      </c>
    </row>
    <row r="98" spans="1:4" x14ac:dyDescent="0.3">
      <c r="A98" s="19"/>
      <c r="B98" s="19" t="s">
        <v>60</v>
      </c>
      <c r="C98" s="20" t="s">
        <v>111</v>
      </c>
      <c r="D98" s="21">
        <f t="shared" si="4"/>
        <v>4</v>
      </c>
    </row>
    <row r="99" spans="1:4" x14ac:dyDescent="0.3">
      <c r="A99" s="16"/>
      <c r="B99" s="16" t="s">
        <v>50</v>
      </c>
      <c r="C99" s="17" t="s">
        <v>51</v>
      </c>
      <c r="D99" s="18">
        <f t="shared" si="4"/>
        <v>4</v>
      </c>
    </row>
    <row r="100" spans="1:4" x14ac:dyDescent="0.3">
      <c r="A100" s="19"/>
      <c r="B100" s="19" t="s">
        <v>50</v>
      </c>
      <c r="C100" s="20" t="s">
        <v>112</v>
      </c>
      <c r="D100" s="21">
        <f t="shared" si="4"/>
        <v>4</v>
      </c>
    </row>
    <row r="101" spans="1:4" x14ac:dyDescent="0.3">
      <c r="A101" s="16"/>
      <c r="B101" s="16" t="s">
        <v>60</v>
      </c>
      <c r="C101" s="17" t="s">
        <v>57</v>
      </c>
      <c r="D101" s="18">
        <f t="shared" si="4"/>
        <v>4</v>
      </c>
    </row>
    <row r="102" spans="1:4" x14ac:dyDescent="0.3">
      <c r="A102" s="19"/>
      <c r="B102" s="19" t="s">
        <v>60</v>
      </c>
      <c r="C102" s="20" t="s">
        <v>58</v>
      </c>
      <c r="D102" s="21">
        <f t="shared" si="4"/>
        <v>4</v>
      </c>
    </row>
    <row r="103" spans="1:4" x14ac:dyDescent="0.3">
      <c r="A103" s="16"/>
      <c r="B103" s="16" t="s">
        <v>59</v>
      </c>
      <c r="C103" s="17" t="s">
        <v>113</v>
      </c>
      <c r="D103" s="18">
        <f t="shared" si="4"/>
        <v>4</v>
      </c>
    </row>
    <row r="104" spans="1:4" x14ac:dyDescent="0.3">
      <c r="A104" s="19"/>
      <c r="B104" s="19" t="s">
        <v>59</v>
      </c>
      <c r="C104" s="20" t="s">
        <v>114</v>
      </c>
      <c r="D104" s="21">
        <f t="shared" si="4"/>
        <v>4</v>
      </c>
    </row>
    <row r="105" spans="1:4" x14ac:dyDescent="0.3">
      <c r="A105" s="16"/>
      <c r="B105" s="16" t="s">
        <v>59</v>
      </c>
      <c r="C105" s="17" t="s">
        <v>115</v>
      </c>
      <c r="D105" s="18">
        <f t="shared" si="4"/>
        <v>4</v>
      </c>
    </row>
    <row r="106" spans="1:4" x14ac:dyDescent="0.3">
      <c r="A106" s="19"/>
      <c r="B106" s="19" t="s">
        <v>59</v>
      </c>
      <c r="C106" s="20" t="s">
        <v>116</v>
      </c>
      <c r="D106" s="21">
        <f t="shared" si="4"/>
        <v>4</v>
      </c>
    </row>
    <row r="107" spans="1:4" x14ac:dyDescent="0.3">
      <c r="A107" s="16"/>
      <c r="B107" s="16"/>
      <c r="C107" s="22" t="s">
        <v>182</v>
      </c>
      <c r="D107" s="18">
        <f>SUM(D90:D106)</f>
        <v>68</v>
      </c>
    </row>
    <row r="108" spans="1:4" x14ac:dyDescent="0.3">
      <c r="A108" s="19" t="s">
        <v>49</v>
      </c>
      <c r="B108" s="19"/>
      <c r="C108" s="20"/>
      <c r="D108" s="21"/>
    </row>
    <row r="109" spans="1:4" x14ac:dyDescent="0.3">
      <c r="A109" s="16"/>
      <c r="B109" s="16" t="s">
        <v>50</v>
      </c>
      <c r="C109" s="17" t="s">
        <v>117</v>
      </c>
      <c r="D109" s="18">
        <f t="shared" si="4"/>
        <v>4</v>
      </c>
    </row>
    <row r="110" spans="1:4" x14ac:dyDescent="0.3">
      <c r="A110" s="19"/>
      <c r="B110" s="19" t="s">
        <v>60</v>
      </c>
      <c r="C110" s="20" t="s">
        <v>61</v>
      </c>
      <c r="D110" s="21">
        <f t="shared" si="4"/>
        <v>4</v>
      </c>
    </row>
    <row r="111" spans="1:4" x14ac:dyDescent="0.3">
      <c r="A111" s="16"/>
      <c r="B111" s="16" t="s">
        <v>60</v>
      </c>
      <c r="C111" s="17" t="s">
        <v>53</v>
      </c>
      <c r="D111" s="18">
        <f t="shared" si="4"/>
        <v>4</v>
      </c>
    </row>
    <row r="112" spans="1:4" x14ac:dyDescent="0.3">
      <c r="A112" s="19"/>
      <c r="B112" s="19" t="s">
        <v>60</v>
      </c>
      <c r="C112" s="20" t="s">
        <v>55</v>
      </c>
      <c r="D112" s="21">
        <f t="shared" si="4"/>
        <v>4</v>
      </c>
    </row>
    <row r="113" spans="1:4" x14ac:dyDescent="0.3">
      <c r="A113" s="16"/>
      <c r="B113" s="16" t="s">
        <v>60</v>
      </c>
      <c r="C113" s="17" t="s">
        <v>119</v>
      </c>
      <c r="D113" s="18">
        <f t="shared" si="4"/>
        <v>4</v>
      </c>
    </row>
    <row r="114" spans="1:4" x14ac:dyDescent="0.3">
      <c r="A114" s="19"/>
      <c r="B114" s="19" t="s">
        <v>60</v>
      </c>
      <c r="C114" s="20" t="s">
        <v>63</v>
      </c>
      <c r="D114" s="21">
        <f t="shared" si="4"/>
        <v>4</v>
      </c>
    </row>
    <row r="115" spans="1:4" x14ac:dyDescent="0.3">
      <c r="A115" s="16"/>
      <c r="B115" s="16" t="s">
        <v>60</v>
      </c>
      <c r="C115" s="17" t="s">
        <v>57</v>
      </c>
      <c r="D115" s="18">
        <f t="shared" si="4"/>
        <v>4</v>
      </c>
    </row>
    <row r="116" spans="1:4" x14ac:dyDescent="0.3">
      <c r="A116" s="19"/>
      <c r="B116" s="19" t="s">
        <v>60</v>
      </c>
      <c r="C116" s="20" t="s">
        <v>58</v>
      </c>
      <c r="D116" s="21">
        <f t="shared" si="4"/>
        <v>4</v>
      </c>
    </row>
    <row r="117" spans="1:4" x14ac:dyDescent="0.3">
      <c r="A117" s="16"/>
      <c r="B117" s="16" t="s">
        <v>60</v>
      </c>
      <c r="C117" s="17" t="s">
        <v>120</v>
      </c>
      <c r="D117" s="18">
        <f t="shared" si="4"/>
        <v>4</v>
      </c>
    </row>
    <row r="118" spans="1:4" x14ac:dyDescent="0.3">
      <c r="A118" s="19"/>
      <c r="B118" s="19" t="s">
        <v>50</v>
      </c>
      <c r="C118" s="20" t="s">
        <v>62</v>
      </c>
      <c r="D118" s="21">
        <f t="shared" si="4"/>
        <v>4</v>
      </c>
    </row>
    <row r="119" spans="1:4" x14ac:dyDescent="0.3">
      <c r="A119" s="16"/>
      <c r="B119" s="16" t="s">
        <v>50</v>
      </c>
      <c r="C119" s="17" t="s">
        <v>54</v>
      </c>
      <c r="D119" s="18">
        <f t="shared" si="4"/>
        <v>4</v>
      </c>
    </row>
    <row r="120" spans="1:4" x14ac:dyDescent="0.3">
      <c r="A120" s="19"/>
      <c r="B120" s="19" t="s">
        <v>50</v>
      </c>
      <c r="C120" s="20" t="s">
        <v>56</v>
      </c>
      <c r="D120" s="21">
        <f t="shared" si="4"/>
        <v>4</v>
      </c>
    </row>
    <row r="121" spans="1:4" x14ac:dyDescent="0.3">
      <c r="A121" s="16"/>
      <c r="B121" s="16" t="s">
        <v>50</v>
      </c>
      <c r="C121" s="17" t="s">
        <v>121</v>
      </c>
      <c r="D121" s="18">
        <f t="shared" si="4"/>
        <v>4</v>
      </c>
    </row>
    <row r="122" spans="1:4" x14ac:dyDescent="0.3">
      <c r="A122" s="19"/>
      <c r="B122" s="19" t="s">
        <v>50</v>
      </c>
      <c r="C122" s="20" t="s">
        <v>51</v>
      </c>
      <c r="D122" s="21">
        <f t="shared" si="4"/>
        <v>4</v>
      </c>
    </row>
    <row r="123" spans="1:4" x14ac:dyDescent="0.3">
      <c r="A123" s="16"/>
      <c r="B123" s="16"/>
      <c r="C123" s="22" t="s">
        <v>182</v>
      </c>
      <c r="D123" s="18">
        <f>SUM(D109:D122)</f>
        <v>56</v>
      </c>
    </row>
    <row r="124" spans="1:4" x14ac:dyDescent="0.3">
      <c r="A124" s="19" t="s">
        <v>47</v>
      </c>
      <c r="B124" s="19"/>
      <c r="C124" s="20"/>
      <c r="D124" s="21"/>
    </row>
    <row r="125" spans="1:4" x14ac:dyDescent="0.3">
      <c r="A125" s="16"/>
      <c r="B125" s="16" t="s">
        <v>50</v>
      </c>
      <c r="C125" s="17" t="s">
        <v>51</v>
      </c>
      <c r="D125" s="18">
        <f t="shared" si="4"/>
        <v>4</v>
      </c>
    </row>
    <row r="126" spans="1:4" x14ac:dyDescent="0.3">
      <c r="A126" s="19"/>
      <c r="B126" s="19" t="s">
        <v>50</v>
      </c>
      <c r="C126" s="20" t="s">
        <v>122</v>
      </c>
      <c r="D126" s="21">
        <f t="shared" si="4"/>
        <v>4</v>
      </c>
    </row>
    <row r="127" spans="1:4" x14ac:dyDescent="0.3">
      <c r="A127" s="16"/>
      <c r="B127" s="16" t="s">
        <v>118</v>
      </c>
      <c r="C127" s="17" t="s">
        <v>123</v>
      </c>
      <c r="D127" s="18"/>
    </row>
    <row r="128" spans="1:4" x14ac:dyDescent="0.3">
      <c r="A128" s="19"/>
      <c r="B128" s="19" t="s">
        <v>50</v>
      </c>
      <c r="C128" s="20" t="s">
        <v>124</v>
      </c>
      <c r="D128" s="21">
        <f t="shared" si="4"/>
        <v>4</v>
      </c>
    </row>
    <row r="129" spans="1:4" x14ac:dyDescent="0.3">
      <c r="A129" s="16"/>
      <c r="B129" s="16" t="s">
        <v>59</v>
      </c>
      <c r="C129" s="17" t="s">
        <v>125</v>
      </c>
      <c r="D129" s="18">
        <f t="shared" ref="D129:D149" si="5">_xlfn.IFS(B129="uint32_t",4,B129="int",4,B129="float",4,B129="bool",2,B129="int32_t",4)</f>
        <v>4</v>
      </c>
    </row>
    <row r="130" spans="1:4" x14ac:dyDescent="0.3">
      <c r="A130" s="19"/>
      <c r="B130" s="19" t="s">
        <v>60</v>
      </c>
      <c r="C130" s="20" t="s">
        <v>126</v>
      </c>
      <c r="D130" s="21">
        <f t="shared" si="5"/>
        <v>4</v>
      </c>
    </row>
    <row r="131" spans="1:4" x14ac:dyDescent="0.3">
      <c r="A131" s="16"/>
      <c r="B131" s="16" t="s">
        <v>60</v>
      </c>
      <c r="C131" s="17" t="s">
        <v>127</v>
      </c>
      <c r="D131" s="18">
        <f t="shared" si="5"/>
        <v>4</v>
      </c>
    </row>
    <row r="132" spans="1:4" x14ac:dyDescent="0.3">
      <c r="A132" s="19"/>
      <c r="B132" s="19" t="s">
        <v>59</v>
      </c>
      <c r="C132" s="20" t="s">
        <v>128</v>
      </c>
      <c r="D132" s="21">
        <f t="shared" si="5"/>
        <v>4</v>
      </c>
    </row>
    <row r="133" spans="1:4" x14ac:dyDescent="0.3">
      <c r="A133" s="16"/>
      <c r="B133" s="16" t="s">
        <v>118</v>
      </c>
      <c r="C133" s="17" t="s">
        <v>129</v>
      </c>
      <c r="D133" s="18"/>
    </row>
    <row r="134" spans="1:4" x14ac:dyDescent="0.3">
      <c r="A134" s="19"/>
      <c r="B134" s="19" t="s">
        <v>60</v>
      </c>
      <c r="C134" s="20" t="s">
        <v>130</v>
      </c>
      <c r="D134" s="21">
        <f t="shared" si="5"/>
        <v>4</v>
      </c>
    </row>
    <row r="135" spans="1:4" x14ac:dyDescent="0.3">
      <c r="A135" s="16"/>
      <c r="B135" s="16" t="s">
        <v>59</v>
      </c>
      <c r="C135" s="17" t="s">
        <v>131</v>
      </c>
      <c r="D135" s="18">
        <f t="shared" si="5"/>
        <v>4</v>
      </c>
    </row>
    <row r="136" spans="1:4" x14ac:dyDescent="0.3">
      <c r="A136" s="19"/>
      <c r="B136" s="19" t="s">
        <v>60</v>
      </c>
      <c r="C136" s="20" t="s">
        <v>132</v>
      </c>
      <c r="D136" s="21">
        <f t="shared" si="5"/>
        <v>4</v>
      </c>
    </row>
    <row r="137" spans="1:4" x14ac:dyDescent="0.3">
      <c r="A137" s="16"/>
      <c r="B137" s="16" t="s">
        <v>60</v>
      </c>
      <c r="C137" s="17" t="s">
        <v>133</v>
      </c>
      <c r="D137" s="18">
        <f t="shared" si="5"/>
        <v>4</v>
      </c>
    </row>
    <row r="138" spans="1:4" x14ac:dyDescent="0.3">
      <c r="A138" s="19"/>
      <c r="B138" s="19" t="s">
        <v>59</v>
      </c>
      <c r="C138" s="20" t="s">
        <v>134</v>
      </c>
      <c r="D138" s="21">
        <f t="shared" si="5"/>
        <v>4</v>
      </c>
    </row>
    <row r="139" spans="1:4" x14ac:dyDescent="0.3">
      <c r="A139" s="16"/>
      <c r="B139" s="16"/>
      <c r="C139" s="22" t="s">
        <v>182</v>
      </c>
      <c r="D139" s="18">
        <f>SUM(D125:D138)</f>
        <v>48</v>
      </c>
    </row>
    <row r="140" spans="1:4" x14ac:dyDescent="0.3">
      <c r="A140" s="19" t="s">
        <v>48</v>
      </c>
      <c r="B140" s="19"/>
      <c r="C140" s="20"/>
      <c r="D140" s="21"/>
    </row>
    <row r="141" spans="1:4" x14ac:dyDescent="0.3">
      <c r="A141" s="16"/>
      <c r="B141" s="16" t="s">
        <v>60</v>
      </c>
      <c r="C141" s="17" t="s">
        <v>135</v>
      </c>
      <c r="D141" s="18">
        <f t="shared" si="5"/>
        <v>4</v>
      </c>
    </row>
    <row r="142" spans="1:4" x14ac:dyDescent="0.3">
      <c r="A142" s="19"/>
      <c r="B142" s="19" t="s">
        <v>60</v>
      </c>
      <c r="C142" s="20" t="s">
        <v>95</v>
      </c>
      <c r="D142" s="21">
        <f t="shared" si="5"/>
        <v>4</v>
      </c>
    </row>
    <row r="143" spans="1:4" x14ac:dyDescent="0.3">
      <c r="A143" s="16"/>
      <c r="B143" s="16" t="s">
        <v>60</v>
      </c>
      <c r="C143" s="17" t="s">
        <v>136</v>
      </c>
      <c r="D143" s="18">
        <f t="shared" si="5"/>
        <v>4</v>
      </c>
    </row>
    <row r="144" spans="1:4" x14ac:dyDescent="0.3">
      <c r="A144" s="19"/>
      <c r="B144" s="19" t="s">
        <v>50</v>
      </c>
      <c r="C144" s="20" t="s">
        <v>96</v>
      </c>
      <c r="D144" s="21">
        <f t="shared" si="5"/>
        <v>4</v>
      </c>
    </row>
    <row r="145" spans="1:4" x14ac:dyDescent="0.3">
      <c r="A145" s="16"/>
      <c r="B145" s="16"/>
      <c r="C145" s="22" t="s">
        <v>182</v>
      </c>
      <c r="D145" s="18">
        <f>SUM(D141:D144)</f>
        <v>16</v>
      </c>
    </row>
    <row r="146" spans="1:4" x14ac:dyDescent="0.3">
      <c r="A146" s="19" t="s">
        <v>144</v>
      </c>
      <c r="B146" s="19"/>
      <c r="C146" s="20"/>
      <c r="D146" s="21"/>
    </row>
    <row r="147" spans="1:4" x14ac:dyDescent="0.3">
      <c r="A147" s="16"/>
      <c r="B147" s="16" t="s">
        <v>50</v>
      </c>
      <c r="C147" s="17" t="s">
        <v>137</v>
      </c>
      <c r="D147" s="18">
        <f t="shared" si="5"/>
        <v>4</v>
      </c>
    </row>
    <row r="148" spans="1:4" x14ac:dyDescent="0.3">
      <c r="A148" s="19"/>
      <c r="B148" s="19" t="s">
        <v>50</v>
      </c>
      <c r="C148" s="20" t="s">
        <v>139</v>
      </c>
      <c r="D148" s="21">
        <f t="shared" si="5"/>
        <v>4</v>
      </c>
    </row>
    <row r="149" spans="1:4" x14ac:dyDescent="0.3">
      <c r="A149" s="16"/>
      <c r="B149" s="16" t="s">
        <v>60</v>
      </c>
      <c r="C149" s="17" t="s">
        <v>140</v>
      </c>
      <c r="D149" s="18">
        <f t="shared" si="5"/>
        <v>4</v>
      </c>
    </row>
    <row r="150" spans="1:4" x14ac:dyDescent="0.3">
      <c r="A150" s="11"/>
      <c r="B150" s="11"/>
      <c r="C150" s="24" t="s">
        <v>182</v>
      </c>
      <c r="D150" s="12">
        <f>SUM(D147:D149)</f>
        <v>12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E37B4-5322-4FE8-8710-76CFCD283BCB}">
  <sheetPr codeName="Sheet5"/>
  <dimension ref="A1:J43"/>
  <sheetViews>
    <sheetView topLeftCell="A10" workbookViewId="0">
      <selection activeCell="F37" sqref="F37"/>
    </sheetView>
  </sheetViews>
  <sheetFormatPr defaultRowHeight="14.4" x14ac:dyDescent="0.3"/>
  <sheetData>
    <row r="1" spans="1:3" x14ac:dyDescent="0.3">
      <c r="A1" t="s">
        <v>197</v>
      </c>
    </row>
    <row r="2" spans="1:3" x14ac:dyDescent="0.3">
      <c r="B2" s="31" t="s">
        <v>229</v>
      </c>
    </row>
    <row r="3" spans="1:3" x14ac:dyDescent="0.3">
      <c r="B3" s="31" t="s">
        <v>228</v>
      </c>
    </row>
    <row r="4" spans="1:3" x14ac:dyDescent="0.3">
      <c r="B4" s="31" t="s">
        <v>221</v>
      </c>
      <c r="C4" t="s">
        <v>234</v>
      </c>
    </row>
    <row r="5" spans="1:3" x14ac:dyDescent="0.3">
      <c r="B5" s="32" t="s">
        <v>220</v>
      </c>
    </row>
    <row r="6" spans="1:3" x14ac:dyDescent="0.3">
      <c r="B6" s="32" t="s">
        <v>568</v>
      </c>
      <c r="C6" t="s">
        <v>235</v>
      </c>
    </row>
    <row r="7" spans="1:3" x14ac:dyDescent="0.3">
      <c r="B7" s="31" t="s">
        <v>198</v>
      </c>
    </row>
    <row r="8" spans="1:3" x14ac:dyDescent="0.3">
      <c r="B8" s="31" t="s">
        <v>213</v>
      </c>
    </row>
    <row r="9" spans="1:3" x14ac:dyDescent="0.3">
      <c r="B9" s="31" t="s">
        <v>219</v>
      </c>
    </row>
    <row r="10" spans="1:3" x14ac:dyDescent="0.3">
      <c r="B10" s="31" t="s">
        <v>206</v>
      </c>
    </row>
    <row r="11" spans="1:3" x14ac:dyDescent="0.3">
      <c r="B11" s="31" t="s">
        <v>204</v>
      </c>
    </row>
    <row r="12" spans="1:3" x14ac:dyDescent="0.3">
      <c r="B12" s="31" t="s">
        <v>205</v>
      </c>
    </row>
    <row r="13" spans="1:3" x14ac:dyDescent="0.3">
      <c r="B13" s="31" t="s">
        <v>207</v>
      </c>
    </row>
    <row r="14" spans="1:3" x14ac:dyDescent="0.3">
      <c r="B14" s="31" t="s">
        <v>226</v>
      </c>
    </row>
    <row r="15" spans="1:3" x14ac:dyDescent="0.3">
      <c r="B15" s="31" t="s">
        <v>223</v>
      </c>
    </row>
    <row r="16" spans="1:3" x14ac:dyDescent="0.3">
      <c r="B16" s="32" t="s">
        <v>218</v>
      </c>
    </row>
    <row r="17" spans="2:10" x14ac:dyDescent="0.3">
      <c r="B17" t="s">
        <v>230</v>
      </c>
      <c r="C17" t="s">
        <v>227</v>
      </c>
      <c r="D17" t="s">
        <v>222</v>
      </c>
      <c r="E17" t="s">
        <v>41</v>
      </c>
      <c r="F17" t="s">
        <v>568</v>
      </c>
      <c r="G17" t="s">
        <v>221</v>
      </c>
      <c r="H17" t="s">
        <v>228</v>
      </c>
      <c r="I17" t="s">
        <v>231</v>
      </c>
      <c r="J17" t="s">
        <v>232</v>
      </c>
    </row>
    <row r="18" spans="2:10" x14ac:dyDescent="0.3">
      <c r="B18" s="32" t="s">
        <v>569</v>
      </c>
    </row>
    <row r="19" spans="2:10" x14ac:dyDescent="0.3">
      <c r="B19" s="32"/>
    </row>
    <row r="20" spans="2:10" x14ac:dyDescent="0.3">
      <c r="B20" s="31" t="s">
        <v>216</v>
      </c>
    </row>
    <row r="21" spans="2:10" x14ac:dyDescent="0.3">
      <c r="B21" s="31" t="s">
        <v>217</v>
      </c>
    </row>
    <row r="22" spans="2:10" x14ac:dyDescent="0.3">
      <c r="B22" s="31" t="s">
        <v>214</v>
      </c>
    </row>
    <row r="23" spans="2:10" x14ac:dyDescent="0.3">
      <c r="B23" s="31" t="s">
        <v>215</v>
      </c>
    </row>
    <row r="24" spans="2:10" x14ac:dyDescent="0.3">
      <c r="B24" s="31" t="s">
        <v>224</v>
      </c>
    </row>
    <row r="25" spans="2:10" x14ac:dyDescent="0.3">
      <c r="B25" s="31" t="s">
        <v>225</v>
      </c>
    </row>
    <row r="26" spans="2:10" x14ac:dyDescent="0.3">
      <c r="B26" s="33" t="s">
        <v>201</v>
      </c>
    </row>
    <row r="27" spans="2:10" x14ac:dyDescent="0.3">
      <c r="B27" s="33" t="s">
        <v>200</v>
      </c>
    </row>
    <row r="28" spans="2:10" x14ac:dyDescent="0.3">
      <c r="B28" s="33" t="s">
        <v>202</v>
      </c>
    </row>
    <row r="29" spans="2:10" x14ac:dyDescent="0.3">
      <c r="B29" s="33" t="s">
        <v>203</v>
      </c>
    </row>
    <row r="30" spans="2:10" x14ac:dyDescent="0.3">
      <c r="B30" s="33"/>
    </row>
    <row r="31" spans="2:10" x14ac:dyDescent="0.3">
      <c r="B31" s="31" t="s">
        <v>227</v>
      </c>
    </row>
    <row r="32" spans="2:10" x14ac:dyDescent="0.3">
      <c r="B32" s="31" t="s">
        <v>570</v>
      </c>
      <c r="C32" t="s">
        <v>41</v>
      </c>
      <c r="D32" t="s">
        <v>222</v>
      </c>
      <c r="E32" t="s">
        <v>221</v>
      </c>
      <c r="F32" t="s">
        <v>568</v>
      </c>
      <c r="G32" t="s">
        <v>227</v>
      </c>
    </row>
    <row r="33" spans="2:2" x14ac:dyDescent="0.3">
      <c r="B33" s="31"/>
    </row>
    <row r="34" spans="2:2" x14ac:dyDescent="0.3">
      <c r="B34" s="31" t="s">
        <v>212</v>
      </c>
    </row>
    <row r="35" spans="2:2" x14ac:dyDescent="0.3">
      <c r="B35" s="31" t="s">
        <v>209</v>
      </c>
    </row>
    <row r="36" spans="2:2" x14ac:dyDescent="0.3">
      <c r="B36" s="31" t="s">
        <v>211</v>
      </c>
    </row>
    <row r="37" spans="2:2" x14ac:dyDescent="0.3">
      <c r="B37" s="31" t="s">
        <v>208</v>
      </c>
    </row>
    <row r="38" spans="2:2" x14ac:dyDescent="0.3">
      <c r="B38" s="31" t="s">
        <v>210</v>
      </c>
    </row>
    <row r="39" spans="2:2" x14ac:dyDescent="0.3">
      <c r="B39" s="31" t="s">
        <v>199</v>
      </c>
    </row>
    <row r="40" spans="2:2" x14ac:dyDescent="0.3">
      <c r="B40" s="31" t="s">
        <v>199</v>
      </c>
    </row>
    <row r="41" spans="2:2" x14ac:dyDescent="0.3">
      <c r="B41" s="31" t="s">
        <v>222</v>
      </c>
    </row>
    <row r="42" spans="2:2" x14ac:dyDescent="0.3">
      <c r="B42" s="31"/>
    </row>
    <row r="43" spans="2:2" x14ac:dyDescent="0.3">
      <c r="B43" s="31" t="s">
        <v>41</v>
      </c>
    </row>
  </sheetData>
  <sortState xmlns:xlrd2="http://schemas.microsoft.com/office/spreadsheetml/2017/richdata2" ref="B2:B43">
    <sortCondition ref="B2:B4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6779-99C6-41A6-AC16-676643B6E809}">
  <sheetPr codeName="Sheet6"/>
  <dimension ref="B1:AE283"/>
  <sheetViews>
    <sheetView topLeftCell="N82" zoomScale="150" zoomScaleNormal="150" workbookViewId="0">
      <selection activeCell="P98" sqref="P98"/>
    </sheetView>
  </sheetViews>
  <sheetFormatPr defaultRowHeight="14.4" x14ac:dyDescent="0.3"/>
  <cols>
    <col min="6" max="6" width="11.88671875" bestFit="1" customWidth="1"/>
    <col min="12" max="12" width="30.88671875" bestFit="1" customWidth="1"/>
    <col min="17" max="17" width="20.5546875" bestFit="1" customWidth="1"/>
  </cols>
  <sheetData>
    <row r="1" spans="2:27" x14ac:dyDescent="0.3">
      <c r="B1" t="s">
        <v>5</v>
      </c>
      <c r="C1" t="s">
        <v>37</v>
      </c>
      <c r="D1" t="s">
        <v>193</v>
      </c>
      <c r="E1" t="s">
        <v>42</v>
      </c>
      <c r="F1" t="s">
        <v>35</v>
      </c>
      <c r="G1" t="s">
        <v>40</v>
      </c>
      <c r="H1" t="s">
        <v>194</v>
      </c>
      <c r="I1" t="s">
        <v>195</v>
      </c>
      <c r="J1" t="s">
        <v>196</v>
      </c>
    </row>
    <row r="2" spans="2:27" x14ac:dyDescent="0.3">
      <c r="B2">
        <v>0</v>
      </c>
      <c r="C2">
        <v>56</v>
      </c>
      <c r="D2">
        <v>109</v>
      </c>
      <c r="E2">
        <v>165</v>
      </c>
      <c r="F2">
        <v>221</v>
      </c>
      <c r="G2">
        <v>277</v>
      </c>
      <c r="H2">
        <v>333</v>
      </c>
      <c r="I2">
        <v>389</v>
      </c>
      <c r="J2">
        <v>435</v>
      </c>
      <c r="N2" t="s">
        <v>522</v>
      </c>
      <c r="O2" t="s">
        <v>514</v>
      </c>
      <c r="P2" t="s">
        <v>515</v>
      </c>
      <c r="Q2" t="s">
        <v>516</v>
      </c>
      <c r="R2" t="s">
        <v>41</v>
      </c>
      <c r="S2" t="s">
        <v>517</v>
      </c>
      <c r="T2" t="s">
        <v>222</v>
      </c>
      <c r="U2" t="s">
        <v>518</v>
      </c>
      <c r="V2" t="s">
        <v>234</v>
      </c>
      <c r="W2" t="s">
        <v>519</v>
      </c>
      <c r="X2" t="s">
        <v>235</v>
      </c>
      <c r="Y2" t="s">
        <v>520</v>
      </c>
      <c r="Z2" t="s">
        <v>514</v>
      </c>
      <c r="AA2" t="s">
        <v>523</v>
      </c>
    </row>
    <row r="3" spans="2:27" x14ac:dyDescent="0.3">
      <c r="B3">
        <v>2</v>
      </c>
      <c r="C3">
        <v>2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O3">
        <v>0</v>
      </c>
      <c r="P3">
        <v>68</v>
      </c>
      <c r="Q3">
        <v>131</v>
      </c>
      <c r="R3">
        <v>203</v>
      </c>
      <c r="S3">
        <v>219</v>
      </c>
      <c r="T3">
        <v>249</v>
      </c>
      <c r="U3">
        <v>264</v>
      </c>
      <c r="V3">
        <v>294</v>
      </c>
      <c r="W3">
        <v>325</v>
      </c>
      <c r="X3">
        <v>355</v>
      </c>
      <c r="Y3">
        <v>385</v>
      </c>
      <c r="Z3">
        <v>415</v>
      </c>
      <c r="AA3">
        <v>0</v>
      </c>
    </row>
    <row r="4" spans="2:27" x14ac:dyDescent="0.3">
      <c r="B4">
        <v>55</v>
      </c>
      <c r="C4">
        <v>52</v>
      </c>
      <c r="D4">
        <v>55</v>
      </c>
      <c r="E4">
        <v>55</v>
      </c>
      <c r="F4">
        <v>55</v>
      </c>
      <c r="G4">
        <v>55</v>
      </c>
      <c r="H4">
        <v>55</v>
      </c>
      <c r="I4">
        <v>45</v>
      </c>
      <c r="J4">
        <v>45</v>
      </c>
      <c r="O4">
        <v>47</v>
      </c>
      <c r="P4">
        <v>47</v>
      </c>
      <c r="Q4">
        <v>47</v>
      </c>
      <c r="R4">
        <v>47</v>
      </c>
      <c r="S4">
        <v>47</v>
      </c>
      <c r="T4">
        <v>47</v>
      </c>
      <c r="U4">
        <v>47</v>
      </c>
      <c r="V4">
        <v>47</v>
      </c>
      <c r="W4">
        <v>47</v>
      </c>
      <c r="X4">
        <v>47</v>
      </c>
      <c r="Y4">
        <v>47</v>
      </c>
      <c r="Z4">
        <v>47</v>
      </c>
      <c r="AA4">
        <v>80</v>
      </c>
    </row>
    <row r="5" spans="2:27" x14ac:dyDescent="0.3">
      <c r="B5">
        <v>40</v>
      </c>
      <c r="C5">
        <v>40</v>
      </c>
      <c r="D5">
        <v>40</v>
      </c>
      <c r="E5">
        <v>40</v>
      </c>
      <c r="F5">
        <v>40</v>
      </c>
      <c r="G5">
        <v>40</v>
      </c>
      <c r="H5">
        <v>40</v>
      </c>
      <c r="I5">
        <v>40</v>
      </c>
      <c r="J5">
        <v>40</v>
      </c>
      <c r="O5">
        <v>65</v>
      </c>
      <c r="P5">
        <v>60</v>
      </c>
      <c r="Q5">
        <v>70</v>
      </c>
      <c r="R5">
        <v>15</v>
      </c>
      <c r="S5">
        <v>30</v>
      </c>
      <c r="T5">
        <v>15</v>
      </c>
      <c r="U5">
        <v>30</v>
      </c>
      <c r="V5">
        <v>30</v>
      </c>
      <c r="W5">
        <v>30</v>
      </c>
      <c r="X5">
        <v>30</v>
      </c>
      <c r="Y5">
        <v>30</v>
      </c>
      <c r="Z5">
        <v>65</v>
      </c>
      <c r="AA5">
        <v>480</v>
      </c>
    </row>
    <row r="6" spans="2:27" x14ac:dyDescent="0.3">
      <c r="O6">
        <v>30</v>
      </c>
      <c r="P6">
        <v>30</v>
      </c>
      <c r="Q6">
        <v>30</v>
      </c>
      <c r="R6">
        <v>30</v>
      </c>
      <c r="S6">
        <v>30</v>
      </c>
      <c r="T6">
        <v>30</v>
      </c>
      <c r="U6">
        <v>30</v>
      </c>
      <c r="V6">
        <v>30</v>
      </c>
      <c r="W6">
        <v>30</v>
      </c>
      <c r="X6">
        <v>30</v>
      </c>
      <c r="Y6">
        <v>30</v>
      </c>
      <c r="Z6">
        <v>30</v>
      </c>
      <c r="AA6">
        <v>5</v>
      </c>
    </row>
    <row r="8" spans="2:27" x14ac:dyDescent="0.3">
      <c r="F8">
        <v>325</v>
      </c>
      <c r="N8" t="s">
        <v>521</v>
      </c>
      <c r="O8" t="s">
        <v>5</v>
      </c>
      <c r="P8" t="s">
        <v>236</v>
      </c>
      <c r="Q8" t="s">
        <v>0</v>
      </c>
      <c r="R8" t="s">
        <v>42</v>
      </c>
      <c r="S8" t="s">
        <v>35</v>
      </c>
      <c r="T8" t="s">
        <v>433</v>
      </c>
      <c r="U8" t="s">
        <v>194</v>
      </c>
      <c r="V8" t="s">
        <v>513</v>
      </c>
      <c r="W8" t="s">
        <v>196</v>
      </c>
    </row>
    <row r="9" spans="2:27" x14ac:dyDescent="0.3">
      <c r="F9">
        <v>62</v>
      </c>
      <c r="G9">
        <v>92</v>
      </c>
      <c r="H9">
        <v>122</v>
      </c>
      <c r="I9">
        <v>152</v>
      </c>
      <c r="J9">
        <v>182</v>
      </c>
      <c r="O9">
        <v>0</v>
      </c>
      <c r="P9">
        <v>89</v>
      </c>
      <c r="Q9">
        <v>178</v>
      </c>
      <c r="R9">
        <v>267</v>
      </c>
      <c r="S9">
        <v>356</v>
      </c>
      <c r="T9">
        <v>445</v>
      </c>
      <c r="U9">
        <v>534</v>
      </c>
      <c r="V9">
        <v>623</v>
      </c>
      <c r="W9">
        <v>712</v>
      </c>
      <c r="X9">
        <v>0</v>
      </c>
    </row>
    <row r="10" spans="2:27" x14ac:dyDescent="0.3">
      <c r="B10" s="36"/>
      <c r="F10">
        <v>60</v>
      </c>
      <c r="O10">
        <v>2</v>
      </c>
      <c r="P10">
        <v>2</v>
      </c>
      <c r="Q10">
        <v>2</v>
      </c>
      <c r="R10">
        <v>2</v>
      </c>
      <c r="S10">
        <v>2</v>
      </c>
      <c r="T10">
        <v>2</v>
      </c>
      <c r="U10">
        <v>2</v>
      </c>
      <c r="V10">
        <v>2</v>
      </c>
      <c r="W10">
        <v>2</v>
      </c>
      <c r="X10">
        <v>0</v>
      </c>
    </row>
    <row r="11" spans="2:27" x14ac:dyDescent="0.3">
      <c r="F11">
        <v>25</v>
      </c>
      <c r="O11">
        <v>86</v>
      </c>
      <c r="P11">
        <v>86</v>
      </c>
      <c r="Q11">
        <v>86</v>
      </c>
      <c r="R11">
        <v>86</v>
      </c>
      <c r="S11">
        <v>86</v>
      </c>
      <c r="T11">
        <v>86</v>
      </c>
      <c r="U11">
        <v>86</v>
      </c>
      <c r="V11">
        <v>86</v>
      </c>
      <c r="W11">
        <v>86</v>
      </c>
      <c r="X11">
        <v>800</v>
      </c>
    </row>
    <row r="12" spans="2:27" x14ac:dyDescent="0.3">
      <c r="B12" s="28" t="str">
        <f t="shared" ref="B12:B75" si="0">DEC2HEX(C12)</f>
        <v>24</v>
      </c>
      <c r="C12" s="28">
        <v>36</v>
      </c>
      <c r="D12" s="37" t="str">
        <f t="shared" ref="D12:D75" si="1">CHAR(C12)</f>
        <v>$</v>
      </c>
      <c r="L12" t="s">
        <v>239</v>
      </c>
      <c r="M12" t="s">
        <v>248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70</v>
      </c>
      <c r="U12">
        <v>70</v>
      </c>
      <c r="V12">
        <v>70</v>
      </c>
      <c r="W12">
        <v>70</v>
      </c>
      <c r="X12">
        <v>75</v>
      </c>
    </row>
    <row r="13" spans="2:27" x14ac:dyDescent="0.3">
      <c r="B13" s="28" t="str">
        <f t="shared" si="0"/>
        <v>25</v>
      </c>
      <c r="C13" s="28">
        <v>37</v>
      </c>
      <c r="D13" s="37" t="str">
        <f t="shared" si="1"/>
        <v>%</v>
      </c>
      <c r="L13" t="s">
        <v>240</v>
      </c>
      <c r="M13" t="s">
        <v>249</v>
      </c>
    </row>
    <row r="14" spans="2:27" s="30" customFormat="1" x14ac:dyDescent="0.3">
      <c r="B14" s="74"/>
      <c r="C14" s="74"/>
      <c r="D14" s="75"/>
      <c r="N14" s="30" t="s">
        <v>522</v>
      </c>
      <c r="O14" s="30" t="s">
        <v>514</v>
      </c>
      <c r="P14" s="30" t="s">
        <v>516</v>
      </c>
      <c r="Q14" s="30" t="s">
        <v>515</v>
      </c>
      <c r="R14" s="30" t="s">
        <v>41</v>
      </c>
      <c r="S14" s="30" t="s">
        <v>517</v>
      </c>
      <c r="T14" s="30" t="s">
        <v>222</v>
      </c>
      <c r="U14" s="30" t="s">
        <v>518</v>
      </c>
      <c r="V14" s="30" t="s">
        <v>234</v>
      </c>
      <c r="W14" s="30" t="s">
        <v>519</v>
      </c>
      <c r="X14" s="30" t="s">
        <v>235</v>
      </c>
      <c r="Y14" s="30" t="s">
        <v>520</v>
      </c>
      <c r="Z14" s="30" t="s">
        <v>514</v>
      </c>
      <c r="AA14" s="30" t="s">
        <v>523</v>
      </c>
    </row>
    <row r="15" spans="2:27" x14ac:dyDescent="0.3">
      <c r="B15" s="28" t="str">
        <f t="shared" si="0"/>
        <v>27</v>
      </c>
      <c r="C15" s="28">
        <v>39</v>
      </c>
      <c r="D15" s="37" t="str">
        <f t="shared" si="1"/>
        <v>'</v>
      </c>
      <c r="E15">
        <v>424</v>
      </c>
      <c r="F15">
        <v>179</v>
      </c>
      <c r="H15">
        <v>260</v>
      </c>
      <c r="L15" t="s">
        <v>241</v>
      </c>
      <c r="M15" t="s">
        <v>250</v>
      </c>
      <c r="O15">
        <v>0</v>
      </c>
      <c r="P15">
        <v>69</v>
      </c>
      <c r="Q15">
        <v>132</v>
      </c>
      <c r="R15">
        <v>200</v>
      </c>
      <c r="S15">
        <v>216</v>
      </c>
      <c r="T15">
        <v>246</v>
      </c>
      <c r="U15">
        <v>261</v>
      </c>
      <c r="V15">
        <v>291</v>
      </c>
      <c r="W15">
        <v>322</v>
      </c>
      <c r="X15">
        <v>352</v>
      </c>
      <c r="Y15">
        <v>382</v>
      </c>
      <c r="Z15">
        <v>415</v>
      </c>
      <c r="AA15">
        <v>0</v>
      </c>
    </row>
    <row r="16" spans="2:27" x14ac:dyDescent="0.3">
      <c r="B16" s="28" t="str">
        <f t="shared" si="0"/>
        <v>28</v>
      </c>
      <c r="C16" s="28">
        <v>40</v>
      </c>
      <c r="D16" s="37" t="str">
        <f t="shared" si="1"/>
        <v>(</v>
      </c>
      <c r="L16" t="s">
        <v>242</v>
      </c>
      <c r="M16" t="s">
        <v>251</v>
      </c>
      <c r="O16">
        <v>78</v>
      </c>
      <c r="P16">
        <v>47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47</v>
      </c>
      <c r="Y16">
        <v>47</v>
      </c>
      <c r="Z16">
        <v>47</v>
      </c>
      <c r="AA16">
        <v>130</v>
      </c>
    </row>
    <row r="17" spans="2:27" x14ac:dyDescent="0.3">
      <c r="B17" s="28" t="str">
        <f t="shared" si="0"/>
        <v>29</v>
      </c>
      <c r="C17" s="28">
        <v>41</v>
      </c>
      <c r="D17" s="37" t="str">
        <f t="shared" si="1"/>
        <v>)</v>
      </c>
      <c r="H17">
        <v>104</v>
      </c>
      <c r="L17" t="s">
        <v>243</v>
      </c>
      <c r="M17" t="s">
        <v>252</v>
      </c>
      <c r="O17">
        <v>105</v>
      </c>
      <c r="P17">
        <v>60</v>
      </c>
      <c r="Q17">
        <v>70</v>
      </c>
      <c r="R17">
        <v>20</v>
      </c>
      <c r="S17">
        <v>50</v>
      </c>
      <c r="T17">
        <v>20</v>
      </c>
      <c r="U17">
        <v>50</v>
      </c>
      <c r="V17">
        <v>47</v>
      </c>
      <c r="W17">
        <v>50</v>
      </c>
      <c r="X17">
        <v>47</v>
      </c>
      <c r="Y17">
        <v>50</v>
      </c>
      <c r="Z17">
        <v>105</v>
      </c>
      <c r="AA17">
        <v>800</v>
      </c>
    </row>
    <row r="18" spans="2:27" x14ac:dyDescent="0.3">
      <c r="B18" s="28" t="str">
        <f t="shared" si="0"/>
        <v>2A</v>
      </c>
      <c r="C18" s="28">
        <v>42</v>
      </c>
      <c r="D18" s="37" t="str">
        <f t="shared" si="1"/>
        <v>*</v>
      </c>
      <c r="F18" t="s">
        <v>237</v>
      </c>
      <c r="H18">
        <v>122</v>
      </c>
      <c r="L18" t="s">
        <v>244</v>
      </c>
      <c r="M18" t="s">
        <v>253</v>
      </c>
      <c r="O18">
        <v>50</v>
      </c>
      <c r="P18">
        <v>50</v>
      </c>
      <c r="Q18">
        <v>50</v>
      </c>
      <c r="R18">
        <v>50</v>
      </c>
      <c r="S18">
        <v>50</v>
      </c>
      <c r="T18">
        <v>50</v>
      </c>
      <c r="U18">
        <v>50</v>
      </c>
      <c r="V18">
        <v>50</v>
      </c>
      <c r="W18">
        <v>50</v>
      </c>
      <c r="X18">
        <v>50</v>
      </c>
      <c r="Y18">
        <v>50</v>
      </c>
      <c r="Z18">
        <v>50</v>
      </c>
      <c r="AA18">
        <v>5</v>
      </c>
    </row>
    <row r="19" spans="2:27" x14ac:dyDescent="0.3">
      <c r="B19" s="28" t="str">
        <f t="shared" si="0"/>
        <v>2B</v>
      </c>
      <c r="C19" s="28">
        <v>43</v>
      </c>
      <c r="D19" s="37" t="str">
        <f t="shared" si="1"/>
        <v>+</v>
      </c>
      <c r="F19" t="s">
        <v>238</v>
      </c>
      <c r="H19">
        <v>140</v>
      </c>
      <c r="L19" t="s">
        <v>245</v>
      </c>
      <c r="M19" t="s">
        <v>254</v>
      </c>
    </row>
    <row r="20" spans="2:27" x14ac:dyDescent="0.3">
      <c r="B20" s="28" t="str">
        <f t="shared" si="0"/>
        <v>2C</v>
      </c>
      <c r="C20" s="28">
        <v>44</v>
      </c>
      <c r="D20" s="37" t="str">
        <f t="shared" si="1"/>
        <v>,</v>
      </c>
      <c r="F20" t="s">
        <v>9</v>
      </c>
      <c r="L20" t="s">
        <v>246</v>
      </c>
      <c r="M20" t="s">
        <v>255</v>
      </c>
      <c r="N20" t="s">
        <v>524</v>
      </c>
      <c r="O20" t="s">
        <v>525</v>
      </c>
      <c r="P20" t="s">
        <v>526</v>
      </c>
      <c r="Q20" t="s">
        <v>533</v>
      </c>
      <c r="S20" t="s">
        <v>534</v>
      </c>
      <c r="T20" t="s">
        <v>535</v>
      </c>
      <c r="U20" t="s">
        <v>536</v>
      </c>
    </row>
    <row r="21" spans="2:27" x14ac:dyDescent="0.3">
      <c r="B21" s="28" t="str">
        <f t="shared" si="0"/>
        <v>2D</v>
      </c>
      <c r="C21" s="28">
        <v>45</v>
      </c>
      <c r="D21" s="37" t="str">
        <f t="shared" si="1"/>
        <v>-</v>
      </c>
      <c r="L21" t="s">
        <v>247</v>
      </c>
      <c r="M21" t="s">
        <v>256</v>
      </c>
      <c r="O21">
        <v>0</v>
      </c>
      <c r="P21">
        <v>0</v>
      </c>
      <c r="Q21">
        <v>0</v>
      </c>
      <c r="S21">
        <v>705</v>
      </c>
      <c r="T21">
        <v>705</v>
      </c>
      <c r="U21">
        <v>705</v>
      </c>
    </row>
    <row r="22" spans="2:27" x14ac:dyDescent="0.3">
      <c r="B22" s="28" t="str">
        <f t="shared" si="0"/>
        <v>2E</v>
      </c>
      <c r="C22" s="28">
        <v>46</v>
      </c>
      <c r="D22" s="37" t="str">
        <f t="shared" si="1"/>
        <v>.</v>
      </c>
      <c r="O22">
        <v>134</v>
      </c>
      <c r="P22">
        <v>173</v>
      </c>
      <c r="Q22">
        <v>440</v>
      </c>
      <c r="S22">
        <v>134</v>
      </c>
      <c r="T22">
        <v>173</v>
      </c>
      <c r="U22">
        <v>440</v>
      </c>
    </row>
    <row r="23" spans="2:27" x14ac:dyDescent="0.3">
      <c r="B23" s="28" t="str">
        <f t="shared" si="0"/>
        <v>2F</v>
      </c>
      <c r="C23" s="28">
        <v>47</v>
      </c>
      <c r="D23" s="37" t="str">
        <f t="shared" si="1"/>
        <v>/</v>
      </c>
      <c r="F23">
        <v>57</v>
      </c>
      <c r="G23">
        <v>270</v>
      </c>
      <c r="I23">
        <v>230</v>
      </c>
      <c r="L23" t="s">
        <v>257</v>
      </c>
      <c r="O23">
        <v>95</v>
      </c>
      <c r="P23">
        <v>95</v>
      </c>
      <c r="Q23">
        <v>95</v>
      </c>
      <c r="S23">
        <v>95</v>
      </c>
      <c r="T23">
        <v>95</v>
      </c>
      <c r="U23">
        <v>95</v>
      </c>
    </row>
    <row r="24" spans="2:27" x14ac:dyDescent="0.3">
      <c r="B24" s="28" t="str">
        <f t="shared" si="0"/>
        <v>30</v>
      </c>
      <c r="C24" s="28">
        <v>48</v>
      </c>
      <c r="D24" s="37" t="str">
        <f t="shared" si="1"/>
        <v>0</v>
      </c>
      <c r="F24">
        <v>32</v>
      </c>
      <c r="G24">
        <v>248</v>
      </c>
      <c r="I24">
        <v>234</v>
      </c>
      <c r="L24" t="s">
        <v>258</v>
      </c>
      <c r="O24">
        <v>40</v>
      </c>
      <c r="P24">
        <v>268</v>
      </c>
      <c r="Q24">
        <v>40</v>
      </c>
      <c r="S24">
        <v>40</v>
      </c>
      <c r="T24">
        <v>268</v>
      </c>
      <c r="U24">
        <v>40</v>
      </c>
    </row>
    <row r="25" spans="2:27" x14ac:dyDescent="0.3">
      <c r="B25" s="28" t="str">
        <f t="shared" si="0"/>
        <v>31</v>
      </c>
      <c r="C25" s="28">
        <v>49</v>
      </c>
      <c r="D25" s="37" t="str">
        <f t="shared" si="1"/>
        <v>1</v>
      </c>
      <c r="F25">
        <v>140</v>
      </c>
      <c r="G25">
        <v>70</v>
      </c>
      <c r="P25" t="s">
        <v>527</v>
      </c>
      <c r="T25" t="s">
        <v>527</v>
      </c>
    </row>
    <row r="26" spans="2:27" x14ac:dyDescent="0.3">
      <c r="B26" s="28" t="str">
        <f t="shared" si="0"/>
        <v>32</v>
      </c>
      <c r="C26" s="28">
        <v>50</v>
      </c>
      <c r="D26" s="37" t="str">
        <f t="shared" si="1"/>
        <v>2</v>
      </c>
      <c r="F26">
        <v>18</v>
      </c>
      <c r="G26">
        <v>18</v>
      </c>
      <c r="L26" t="s">
        <v>259</v>
      </c>
      <c r="P26" t="s">
        <v>528</v>
      </c>
      <c r="T26" t="s">
        <v>528</v>
      </c>
    </row>
    <row r="27" spans="2:27" x14ac:dyDescent="0.3">
      <c r="B27" s="28" t="str">
        <f t="shared" si="0"/>
        <v>33</v>
      </c>
      <c r="C27" s="28">
        <v>51</v>
      </c>
      <c r="D27" s="37" t="str">
        <f t="shared" si="1"/>
        <v>3</v>
      </c>
      <c r="O27" t="s">
        <v>529</v>
      </c>
      <c r="P27">
        <v>95</v>
      </c>
      <c r="S27" t="s">
        <v>529</v>
      </c>
      <c r="T27">
        <v>95</v>
      </c>
    </row>
    <row r="28" spans="2:27" x14ac:dyDescent="0.3">
      <c r="B28" s="28" t="str">
        <f t="shared" si="0"/>
        <v>34</v>
      </c>
      <c r="C28" s="28">
        <v>52</v>
      </c>
      <c r="D28" s="37" t="str">
        <f t="shared" si="1"/>
        <v>4</v>
      </c>
      <c r="O28" t="s">
        <v>530</v>
      </c>
      <c r="P28">
        <v>15</v>
      </c>
      <c r="S28" t="s">
        <v>530</v>
      </c>
      <c r="T28">
        <v>15</v>
      </c>
    </row>
    <row r="29" spans="2:27" x14ac:dyDescent="0.3">
      <c r="B29" s="28" t="str">
        <f t="shared" si="0"/>
        <v>35</v>
      </c>
      <c r="C29" s="28">
        <v>53</v>
      </c>
      <c r="D29" s="37" t="str">
        <f t="shared" si="1"/>
        <v>5</v>
      </c>
      <c r="O29" t="s">
        <v>531</v>
      </c>
      <c r="P29">
        <v>0</v>
      </c>
      <c r="S29" t="s">
        <v>531</v>
      </c>
      <c r="T29">
        <v>0</v>
      </c>
    </row>
    <row r="30" spans="2:27" x14ac:dyDescent="0.3">
      <c r="B30" s="28" t="str">
        <f t="shared" si="0"/>
        <v>36</v>
      </c>
      <c r="C30" s="28">
        <v>54</v>
      </c>
      <c r="D30" s="37" t="str">
        <f t="shared" si="1"/>
        <v>6</v>
      </c>
      <c r="F30" t="s">
        <v>260</v>
      </c>
      <c r="G30" t="s">
        <v>267</v>
      </c>
      <c r="O30" t="s">
        <v>532</v>
      </c>
      <c r="P30">
        <v>100</v>
      </c>
      <c r="S30" t="s">
        <v>532</v>
      </c>
      <c r="T30">
        <v>100</v>
      </c>
    </row>
    <row r="31" spans="2:27" x14ac:dyDescent="0.3">
      <c r="B31" s="28" t="str">
        <f t="shared" si="0"/>
        <v>37</v>
      </c>
      <c r="C31" s="28">
        <v>55</v>
      </c>
      <c r="D31" s="37" t="str">
        <f t="shared" si="1"/>
        <v>7</v>
      </c>
      <c r="F31" t="s">
        <v>261</v>
      </c>
      <c r="G31" t="s">
        <v>268</v>
      </c>
    </row>
    <row r="32" spans="2:27" x14ac:dyDescent="0.3">
      <c r="B32" s="28" t="str">
        <f t="shared" si="0"/>
        <v>38</v>
      </c>
      <c r="C32" s="28">
        <v>56</v>
      </c>
      <c r="D32" s="37" t="str">
        <f t="shared" si="1"/>
        <v>8</v>
      </c>
      <c r="F32" t="s">
        <v>262</v>
      </c>
      <c r="G32" t="s">
        <v>259</v>
      </c>
      <c r="I32">
        <v>82</v>
      </c>
      <c r="O32" t="s">
        <v>537</v>
      </c>
      <c r="P32" t="s">
        <v>346</v>
      </c>
      <c r="Q32" t="s">
        <v>448</v>
      </c>
      <c r="R32" t="s">
        <v>538</v>
      </c>
    </row>
    <row r="33" spans="2:31" x14ac:dyDescent="0.3">
      <c r="B33" s="28" t="str">
        <f t="shared" si="0"/>
        <v>39</v>
      </c>
      <c r="C33" s="28">
        <v>57</v>
      </c>
      <c r="D33" s="37" t="str">
        <f t="shared" si="1"/>
        <v>9</v>
      </c>
      <c r="F33" t="s">
        <v>263</v>
      </c>
      <c r="G33" t="s">
        <v>269</v>
      </c>
      <c r="O33">
        <v>96</v>
      </c>
      <c r="P33">
        <v>248</v>
      </c>
      <c r="Q33">
        <v>400</v>
      </c>
      <c r="R33">
        <v>552</v>
      </c>
    </row>
    <row r="34" spans="2:31" x14ac:dyDescent="0.3">
      <c r="B34" s="28" t="str">
        <f t="shared" si="0"/>
        <v>3A</v>
      </c>
      <c r="C34" s="28">
        <v>58</v>
      </c>
      <c r="D34" s="37" t="str">
        <f t="shared" si="1"/>
        <v>:</v>
      </c>
      <c r="F34" t="s">
        <v>34</v>
      </c>
      <c r="G34" t="s">
        <v>270</v>
      </c>
      <c r="O34">
        <v>348</v>
      </c>
      <c r="P34">
        <v>348</v>
      </c>
      <c r="Q34">
        <v>348</v>
      </c>
      <c r="R34">
        <v>348</v>
      </c>
    </row>
    <row r="35" spans="2:31" x14ac:dyDescent="0.3">
      <c r="B35" s="28" t="str">
        <f t="shared" si="0"/>
        <v>3B</v>
      </c>
      <c r="C35" s="28">
        <v>59</v>
      </c>
      <c r="D35" s="37" t="str">
        <f t="shared" si="1"/>
        <v>;</v>
      </c>
      <c r="F35" t="s">
        <v>264</v>
      </c>
      <c r="G35" t="s">
        <v>271</v>
      </c>
      <c r="O35">
        <v>150</v>
      </c>
      <c r="P35">
        <v>150</v>
      </c>
      <c r="Q35">
        <v>150</v>
      </c>
      <c r="R35">
        <v>150</v>
      </c>
    </row>
    <row r="36" spans="2:31" x14ac:dyDescent="0.3">
      <c r="B36" s="28" t="str">
        <f t="shared" si="0"/>
        <v>3C</v>
      </c>
      <c r="C36" s="28">
        <v>60</v>
      </c>
      <c r="D36" s="37" t="str">
        <f t="shared" si="1"/>
        <v>&lt;</v>
      </c>
      <c r="F36" t="s">
        <v>265</v>
      </c>
      <c r="G36" t="s">
        <v>272</v>
      </c>
      <c r="O36">
        <v>132</v>
      </c>
      <c r="P36">
        <v>132</v>
      </c>
      <c r="Q36">
        <v>132</v>
      </c>
      <c r="R36">
        <v>132</v>
      </c>
    </row>
    <row r="37" spans="2:31" s="29" customFormat="1" x14ac:dyDescent="0.3">
      <c r="B37" s="70" t="str">
        <f t="shared" si="0"/>
        <v>3D</v>
      </c>
      <c r="C37" s="70">
        <v>61</v>
      </c>
      <c r="D37" s="71" t="str">
        <f t="shared" si="1"/>
        <v>=</v>
      </c>
      <c r="F37" s="29" t="s">
        <v>266</v>
      </c>
      <c r="G37" s="29" t="s">
        <v>273</v>
      </c>
    </row>
    <row r="38" spans="2:31" x14ac:dyDescent="0.3">
      <c r="B38" s="28" t="str">
        <f t="shared" si="0"/>
        <v>3E</v>
      </c>
      <c r="C38" s="28">
        <v>62</v>
      </c>
      <c r="D38" s="37" t="str">
        <f t="shared" si="1"/>
        <v>&gt;</v>
      </c>
    </row>
    <row r="39" spans="2:31" x14ac:dyDescent="0.3">
      <c r="B39" s="28" t="str">
        <f t="shared" si="0"/>
        <v>3F</v>
      </c>
      <c r="C39" s="28">
        <v>63</v>
      </c>
      <c r="D39" s="37" t="str">
        <f t="shared" si="1"/>
        <v>?</v>
      </c>
      <c r="O39" t="s">
        <v>8</v>
      </c>
      <c r="P39" t="s">
        <v>539</v>
      </c>
      <c r="Q39" t="s">
        <v>512</v>
      </c>
      <c r="R39" t="s">
        <v>234</v>
      </c>
      <c r="S39" t="s">
        <v>235</v>
      </c>
      <c r="T39" t="s">
        <v>183</v>
      </c>
      <c r="U39" t="s">
        <v>184</v>
      </c>
      <c r="X39" t="s">
        <v>540</v>
      </c>
      <c r="Y39" t="s">
        <v>541</v>
      </c>
      <c r="Z39" t="s">
        <v>185</v>
      </c>
      <c r="AA39" t="s">
        <v>513</v>
      </c>
      <c r="AB39" t="s">
        <v>429</v>
      </c>
      <c r="AC39" t="s">
        <v>542</v>
      </c>
      <c r="AD39" t="s">
        <v>543</v>
      </c>
    </row>
    <row r="40" spans="2:31" x14ac:dyDescent="0.3">
      <c r="B40" s="28" t="str">
        <f t="shared" si="0"/>
        <v>40</v>
      </c>
      <c r="C40" s="28">
        <v>64</v>
      </c>
      <c r="D40" s="37" t="str">
        <f t="shared" si="1"/>
        <v>@</v>
      </c>
      <c r="O40">
        <v>2</v>
      </c>
      <c r="P40">
        <v>2</v>
      </c>
      <c r="Q40">
        <v>2</v>
      </c>
      <c r="R40">
        <v>2</v>
      </c>
      <c r="S40">
        <v>2</v>
      </c>
      <c r="T40">
        <v>2</v>
      </c>
      <c r="U40">
        <v>2</v>
      </c>
      <c r="V40">
        <v>0</v>
      </c>
      <c r="X40">
        <v>694</v>
      </c>
      <c r="Y40">
        <v>694</v>
      </c>
      <c r="Z40">
        <v>694</v>
      </c>
      <c r="AA40">
        <v>694</v>
      </c>
      <c r="AB40">
        <v>694</v>
      </c>
      <c r="AC40">
        <v>694</v>
      </c>
      <c r="AD40">
        <v>694</v>
      </c>
      <c r="AE40">
        <v>690</v>
      </c>
    </row>
    <row r="41" spans="2:31" x14ac:dyDescent="0.3">
      <c r="B41" s="28" t="str">
        <f t="shared" si="0"/>
        <v>41</v>
      </c>
      <c r="C41" s="28">
        <v>65</v>
      </c>
      <c r="D41" s="37" t="str">
        <f t="shared" si="1"/>
        <v>A</v>
      </c>
      <c r="O41">
        <v>2</v>
      </c>
      <c r="P41">
        <v>69</v>
      </c>
      <c r="Q41">
        <v>138</v>
      </c>
      <c r="R41">
        <v>207</v>
      </c>
      <c r="S41">
        <v>276</v>
      </c>
      <c r="T41">
        <v>345</v>
      </c>
      <c r="U41">
        <v>414</v>
      </c>
      <c r="V41">
        <v>0</v>
      </c>
      <c r="X41">
        <v>2</v>
      </c>
      <c r="Y41">
        <v>69</v>
      </c>
      <c r="Z41">
        <v>138</v>
      </c>
      <c r="AA41">
        <v>207</v>
      </c>
      <c r="AB41">
        <v>276</v>
      </c>
      <c r="AC41">
        <v>345</v>
      </c>
      <c r="AD41">
        <v>414</v>
      </c>
      <c r="AE41">
        <v>0</v>
      </c>
    </row>
    <row r="42" spans="2:31" x14ac:dyDescent="0.3">
      <c r="B42" s="28" t="str">
        <f t="shared" si="0"/>
        <v>42</v>
      </c>
      <c r="C42" s="28">
        <v>66</v>
      </c>
      <c r="D42" s="37" t="str">
        <f t="shared" si="1"/>
        <v>B</v>
      </c>
      <c r="O42">
        <v>105</v>
      </c>
      <c r="P42">
        <v>105</v>
      </c>
      <c r="Q42">
        <v>105</v>
      </c>
      <c r="R42">
        <v>105</v>
      </c>
      <c r="S42">
        <v>105</v>
      </c>
      <c r="T42">
        <v>105</v>
      </c>
      <c r="U42">
        <v>105</v>
      </c>
      <c r="V42">
        <v>110</v>
      </c>
      <c r="X42">
        <v>105</v>
      </c>
      <c r="Y42">
        <v>105</v>
      </c>
      <c r="Z42">
        <v>105</v>
      </c>
      <c r="AA42">
        <v>105</v>
      </c>
      <c r="AB42">
        <v>105</v>
      </c>
      <c r="AC42">
        <v>105</v>
      </c>
      <c r="AD42">
        <v>105</v>
      </c>
      <c r="AE42">
        <v>110</v>
      </c>
    </row>
    <row r="43" spans="2:31" x14ac:dyDescent="0.3">
      <c r="B43" s="28" t="str">
        <f t="shared" si="0"/>
        <v>43</v>
      </c>
      <c r="C43" s="28">
        <v>67</v>
      </c>
      <c r="D43" s="37" t="str">
        <f t="shared" si="1"/>
        <v>C</v>
      </c>
      <c r="O43">
        <v>65</v>
      </c>
      <c r="P43">
        <v>65</v>
      </c>
      <c r="Q43">
        <v>65</v>
      </c>
      <c r="R43">
        <v>65</v>
      </c>
      <c r="S43">
        <v>65</v>
      </c>
      <c r="T43">
        <v>65</v>
      </c>
      <c r="U43">
        <v>65</v>
      </c>
      <c r="V43">
        <v>480</v>
      </c>
      <c r="X43">
        <v>65</v>
      </c>
      <c r="Y43">
        <v>65</v>
      </c>
      <c r="Z43">
        <v>65</v>
      </c>
      <c r="AA43">
        <v>65</v>
      </c>
      <c r="AB43">
        <v>65</v>
      </c>
      <c r="AC43">
        <v>65</v>
      </c>
      <c r="AD43">
        <v>65</v>
      </c>
      <c r="AE43">
        <v>206</v>
      </c>
    </row>
    <row r="44" spans="2:31" x14ac:dyDescent="0.3">
      <c r="B44" s="28" t="str">
        <f t="shared" si="0"/>
        <v>44</v>
      </c>
      <c r="C44" s="28">
        <v>68</v>
      </c>
      <c r="D44" s="37" t="str">
        <f t="shared" si="1"/>
        <v>D</v>
      </c>
    </row>
    <row r="45" spans="2:31" s="30" customFormat="1" x14ac:dyDescent="0.3">
      <c r="B45" s="74" t="str">
        <f t="shared" si="0"/>
        <v>45</v>
      </c>
      <c r="C45" s="74">
        <v>69</v>
      </c>
      <c r="D45" s="75" t="str">
        <f t="shared" si="1"/>
        <v>E</v>
      </c>
    </row>
    <row r="46" spans="2:31" x14ac:dyDescent="0.3">
      <c r="B46" s="28" t="str">
        <f t="shared" si="0"/>
        <v>46</v>
      </c>
      <c r="C46" s="28">
        <v>70</v>
      </c>
      <c r="D46" s="37" t="str">
        <f t="shared" si="1"/>
        <v>F</v>
      </c>
      <c r="O46">
        <v>0</v>
      </c>
      <c r="P46">
        <v>60</v>
      </c>
      <c r="Q46">
        <v>120</v>
      </c>
      <c r="R46">
        <v>216</v>
      </c>
      <c r="S46">
        <v>297</v>
      </c>
    </row>
    <row r="47" spans="2:31" x14ac:dyDescent="0.3">
      <c r="B47" s="28" t="str">
        <f t="shared" si="0"/>
        <v>47</v>
      </c>
      <c r="C47" s="28">
        <v>71</v>
      </c>
      <c r="D47" s="37" t="str">
        <f t="shared" si="1"/>
        <v>G</v>
      </c>
      <c r="O47">
        <v>60</v>
      </c>
      <c r="P47">
        <v>60</v>
      </c>
      <c r="Q47">
        <v>96</v>
      </c>
      <c r="R47">
        <v>81</v>
      </c>
      <c r="S47">
        <v>92</v>
      </c>
    </row>
    <row r="48" spans="2:31" s="30" customFormat="1" x14ac:dyDescent="0.3">
      <c r="B48" s="74" t="str">
        <f t="shared" si="0"/>
        <v>48</v>
      </c>
      <c r="C48" s="74">
        <v>72</v>
      </c>
      <c r="D48" s="75" t="str">
        <f t="shared" si="1"/>
        <v>H</v>
      </c>
      <c r="N48" s="30">
        <v>480</v>
      </c>
      <c r="O48" s="30">
        <v>272</v>
      </c>
      <c r="Q48" s="30">
        <v>160</v>
      </c>
    </row>
    <row r="49" spans="2:23" x14ac:dyDescent="0.3">
      <c r="B49" s="28" t="str">
        <f t="shared" si="0"/>
        <v>49</v>
      </c>
      <c r="C49" s="28">
        <v>73</v>
      </c>
      <c r="D49" s="37" t="str">
        <f t="shared" si="1"/>
        <v>I</v>
      </c>
      <c r="O49" t="s">
        <v>5</v>
      </c>
      <c r="P49" t="s">
        <v>37</v>
      </c>
      <c r="Q49" t="s">
        <v>0</v>
      </c>
      <c r="R49" t="s">
        <v>42</v>
      </c>
      <c r="S49" t="s">
        <v>35</v>
      </c>
      <c r="T49" t="s">
        <v>433</v>
      </c>
      <c r="U49" t="s">
        <v>513</v>
      </c>
      <c r="V49" t="s">
        <v>196</v>
      </c>
      <c r="W49" t="s">
        <v>544</v>
      </c>
    </row>
    <row r="50" spans="2:23" x14ac:dyDescent="0.3">
      <c r="B50" s="28" t="str">
        <f t="shared" si="0"/>
        <v>4A</v>
      </c>
      <c r="C50" s="28">
        <v>74</v>
      </c>
      <c r="D50" s="37" t="str">
        <f t="shared" si="1"/>
        <v>J</v>
      </c>
      <c r="O50">
        <v>0</v>
      </c>
      <c r="P50">
        <v>56</v>
      </c>
      <c r="Q50">
        <v>109</v>
      </c>
      <c r="R50">
        <v>165</v>
      </c>
      <c r="S50">
        <v>221</v>
      </c>
      <c r="T50">
        <v>277</v>
      </c>
      <c r="U50">
        <v>333</v>
      </c>
      <c r="V50">
        <v>379</v>
      </c>
      <c r="W50">
        <v>425</v>
      </c>
    </row>
    <row r="51" spans="2:23" x14ac:dyDescent="0.3">
      <c r="B51" s="28" t="str">
        <f t="shared" si="0"/>
        <v>4B</v>
      </c>
      <c r="C51" s="28">
        <v>75</v>
      </c>
      <c r="D51" s="37" t="str">
        <f t="shared" si="1"/>
        <v>K</v>
      </c>
      <c r="O51">
        <v>2</v>
      </c>
      <c r="P51">
        <v>2</v>
      </c>
      <c r="Q51">
        <v>2</v>
      </c>
      <c r="R51">
        <v>2</v>
      </c>
      <c r="S51">
        <v>2</v>
      </c>
      <c r="T51">
        <v>2</v>
      </c>
      <c r="U51">
        <v>2</v>
      </c>
      <c r="V51">
        <v>2</v>
      </c>
      <c r="W51">
        <v>2</v>
      </c>
    </row>
    <row r="52" spans="2:23" x14ac:dyDescent="0.3">
      <c r="B52" s="28" t="str">
        <f t="shared" si="0"/>
        <v>4C</v>
      </c>
      <c r="C52" s="28">
        <v>76</v>
      </c>
      <c r="D52" s="37" t="str">
        <f t="shared" si="1"/>
        <v>L</v>
      </c>
      <c r="O52">
        <v>55</v>
      </c>
      <c r="P52">
        <v>52</v>
      </c>
      <c r="Q52">
        <v>55</v>
      </c>
      <c r="R52">
        <v>55</v>
      </c>
      <c r="S52">
        <v>55</v>
      </c>
      <c r="T52">
        <v>55</v>
      </c>
      <c r="U52">
        <v>45</v>
      </c>
      <c r="V52">
        <v>45</v>
      </c>
      <c r="W52">
        <v>55</v>
      </c>
    </row>
    <row r="53" spans="2:23" x14ac:dyDescent="0.3">
      <c r="B53" s="28" t="str">
        <f t="shared" si="0"/>
        <v>4D</v>
      </c>
      <c r="C53" s="28">
        <v>77</v>
      </c>
      <c r="D53" s="37" t="str">
        <f t="shared" si="1"/>
        <v>M</v>
      </c>
      <c r="O53">
        <v>40</v>
      </c>
      <c r="P53">
        <v>40</v>
      </c>
      <c r="Q53">
        <v>40</v>
      </c>
      <c r="R53">
        <v>40</v>
      </c>
      <c r="S53">
        <v>40</v>
      </c>
      <c r="T53">
        <v>40</v>
      </c>
      <c r="U53">
        <v>40</v>
      </c>
      <c r="V53">
        <v>40</v>
      </c>
      <c r="W53">
        <v>40</v>
      </c>
    </row>
    <row r="54" spans="2:23" x14ac:dyDescent="0.3">
      <c r="B54" s="28" t="str">
        <f t="shared" si="0"/>
        <v>4E</v>
      </c>
      <c r="C54" s="28">
        <v>78</v>
      </c>
      <c r="D54" s="37" t="str">
        <f t="shared" si="1"/>
        <v>N</v>
      </c>
    </row>
    <row r="55" spans="2:23" x14ac:dyDescent="0.3">
      <c r="B55" s="28" t="str">
        <f t="shared" si="0"/>
        <v>4F</v>
      </c>
      <c r="C55" s="28">
        <v>79</v>
      </c>
      <c r="D55" s="37" t="str">
        <f t="shared" si="1"/>
        <v>O</v>
      </c>
    </row>
    <row r="56" spans="2:23" x14ac:dyDescent="0.3">
      <c r="B56" s="28" t="str">
        <f t="shared" si="0"/>
        <v>50</v>
      </c>
      <c r="C56" s="28">
        <v>80</v>
      </c>
      <c r="D56" s="37" t="str">
        <f t="shared" si="1"/>
        <v>P</v>
      </c>
      <c r="O56" t="s">
        <v>233</v>
      </c>
      <c r="P56" t="s">
        <v>36</v>
      </c>
      <c r="Q56" t="s">
        <v>274</v>
      </c>
      <c r="R56" t="s">
        <v>236</v>
      </c>
      <c r="S56" t="s">
        <v>513</v>
      </c>
      <c r="T56" t="s">
        <v>196</v>
      </c>
      <c r="U56" t="s">
        <v>544</v>
      </c>
    </row>
    <row r="57" spans="2:23" x14ac:dyDescent="0.3">
      <c r="B57" s="28" t="str">
        <f t="shared" si="0"/>
        <v>51</v>
      </c>
      <c r="C57" s="28">
        <v>81</v>
      </c>
      <c r="D57" s="37" t="str">
        <f t="shared" si="1"/>
        <v>Q</v>
      </c>
      <c r="O57">
        <v>0</v>
      </c>
      <c r="P57">
        <v>61</v>
      </c>
      <c r="Q57">
        <v>158</v>
      </c>
      <c r="R57">
        <v>239</v>
      </c>
      <c r="S57">
        <v>333</v>
      </c>
      <c r="T57">
        <v>379</v>
      </c>
      <c r="U57">
        <v>425</v>
      </c>
    </row>
    <row r="58" spans="2:23" x14ac:dyDescent="0.3">
      <c r="B58" s="28" t="str">
        <f t="shared" si="0"/>
        <v>52</v>
      </c>
      <c r="C58" s="28">
        <v>82</v>
      </c>
      <c r="D58" s="37" t="str">
        <f t="shared" si="1"/>
        <v>R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</row>
    <row r="59" spans="2:23" x14ac:dyDescent="0.3">
      <c r="B59" s="28" t="str">
        <f t="shared" si="0"/>
        <v>53</v>
      </c>
      <c r="C59" s="28">
        <v>83</v>
      </c>
      <c r="D59" s="37" t="str">
        <f t="shared" si="1"/>
        <v>S</v>
      </c>
      <c r="O59">
        <v>60</v>
      </c>
      <c r="P59">
        <v>96</v>
      </c>
      <c r="Q59">
        <v>81</v>
      </c>
      <c r="R59">
        <v>92</v>
      </c>
      <c r="S59">
        <v>45</v>
      </c>
      <c r="T59">
        <v>45</v>
      </c>
      <c r="U59">
        <v>55</v>
      </c>
    </row>
    <row r="60" spans="2:23" x14ac:dyDescent="0.3">
      <c r="B60" s="28" t="str">
        <f t="shared" si="0"/>
        <v>54</v>
      </c>
      <c r="C60" s="28">
        <v>84</v>
      </c>
      <c r="D60" s="37" t="str">
        <f t="shared" si="1"/>
        <v>T</v>
      </c>
      <c r="O60">
        <v>40</v>
      </c>
      <c r="P60">
        <v>40</v>
      </c>
      <c r="Q60">
        <v>40</v>
      </c>
      <c r="R60">
        <v>40</v>
      </c>
      <c r="S60">
        <v>40</v>
      </c>
      <c r="T60">
        <v>40</v>
      </c>
      <c r="U60">
        <v>40</v>
      </c>
    </row>
    <row r="61" spans="2:23" x14ac:dyDescent="0.3">
      <c r="B61" s="28" t="str">
        <f t="shared" si="0"/>
        <v>55</v>
      </c>
      <c r="C61" s="28">
        <v>85</v>
      </c>
      <c r="D61" s="37" t="str">
        <f t="shared" si="1"/>
        <v>U</v>
      </c>
    </row>
    <row r="62" spans="2:23" x14ac:dyDescent="0.3">
      <c r="B62" s="28" t="str">
        <f t="shared" si="0"/>
        <v>56</v>
      </c>
      <c r="C62" s="28">
        <v>86</v>
      </c>
      <c r="D62" s="37" t="str">
        <f t="shared" si="1"/>
        <v>V</v>
      </c>
      <c r="O62">
        <v>77</v>
      </c>
      <c r="P62">
        <v>133</v>
      </c>
      <c r="Q62">
        <v>229</v>
      </c>
      <c r="R62">
        <v>310</v>
      </c>
    </row>
    <row r="63" spans="2:23" x14ac:dyDescent="0.3">
      <c r="B63" s="28" t="str">
        <f t="shared" si="0"/>
        <v>57</v>
      </c>
      <c r="C63" s="28">
        <v>87</v>
      </c>
      <c r="D63" s="37" t="str">
        <f t="shared" si="1"/>
        <v>W</v>
      </c>
      <c r="O63">
        <v>230</v>
      </c>
      <c r="P63">
        <v>230</v>
      </c>
      <c r="Q63">
        <v>230</v>
      </c>
      <c r="R63">
        <v>230</v>
      </c>
    </row>
    <row r="64" spans="2:23" x14ac:dyDescent="0.3">
      <c r="B64" s="28" t="str">
        <f t="shared" si="0"/>
        <v>58</v>
      </c>
      <c r="C64" s="28">
        <v>88</v>
      </c>
      <c r="D64" s="37" t="str">
        <f t="shared" si="1"/>
        <v>X</v>
      </c>
      <c r="O64">
        <v>55</v>
      </c>
      <c r="P64">
        <v>95</v>
      </c>
      <c r="Q64">
        <v>80</v>
      </c>
      <c r="R64">
        <v>95</v>
      </c>
    </row>
    <row r="65" spans="2:18" x14ac:dyDescent="0.3">
      <c r="B65" s="28" t="str">
        <f t="shared" si="0"/>
        <v>59</v>
      </c>
      <c r="C65" s="28">
        <v>89</v>
      </c>
      <c r="D65" s="37" t="str">
        <f t="shared" si="1"/>
        <v>Y</v>
      </c>
      <c r="O65">
        <v>40</v>
      </c>
      <c r="R65">
        <v>40</v>
      </c>
    </row>
    <row r="66" spans="2:18" x14ac:dyDescent="0.3">
      <c r="B66" s="28" t="str">
        <f t="shared" si="0"/>
        <v>5A</v>
      </c>
      <c r="C66" s="28">
        <v>90</v>
      </c>
      <c r="D66" s="37" t="str">
        <f t="shared" si="1"/>
        <v>Z</v>
      </c>
    </row>
    <row r="67" spans="2:18" x14ac:dyDescent="0.3">
      <c r="B67" s="28" t="str">
        <f t="shared" si="0"/>
        <v>5B</v>
      </c>
      <c r="C67" s="28">
        <v>91</v>
      </c>
      <c r="D67" s="37" t="str">
        <f t="shared" si="1"/>
        <v>[</v>
      </c>
    </row>
    <row r="68" spans="2:18" x14ac:dyDescent="0.3">
      <c r="B68" s="28" t="str">
        <f t="shared" si="0"/>
        <v>5C</v>
      </c>
      <c r="C68" s="28">
        <v>92</v>
      </c>
      <c r="D68" s="37" t="str">
        <f t="shared" si="1"/>
        <v>\</v>
      </c>
    </row>
    <row r="69" spans="2:18" x14ac:dyDescent="0.3">
      <c r="B69" s="28" t="str">
        <f t="shared" si="0"/>
        <v>5D</v>
      </c>
      <c r="C69" s="28">
        <v>93</v>
      </c>
      <c r="D69" s="37" t="str">
        <f t="shared" si="1"/>
        <v>]</v>
      </c>
      <c r="O69" s="46" t="str">
        <f>DEC2HEX(P69)</f>
        <v>1C</v>
      </c>
      <c r="P69" s="27">
        <v>28</v>
      </c>
      <c r="Q69" s="27" t="str">
        <f>CHAR(P69)</f>
        <v>_x001C_</v>
      </c>
    </row>
    <row r="70" spans="2:18" x14ac:dyDescent="0.3">
      <c r="B70" s="28" t="str">
        <f t="shared" si="0"/>
        <v>5E</v>
      </c>
      <c r="C70" s="28">
        <v>94</v>
      </c>
      <c r="D70" s="37" t="str">
        <f t="shared" si="1"/>
        <v>^</v>
      </c>
      <c r="O70" s="46" t="str">
        <f>DEC2HEX(P70)</f>
        <v>FF</v>
      </c>
      <c r="P70" s="27">
        <v>255</v>
      </c>
      <c r="Q70" s="27" t="str">
        <f>CHAR(P70)</f>
        <v>ÿ</v>
      </c>
    </row>
    <row r="71" spans="2:18" x14ac:dyDescent="0.3">
      <c r="B71" s="28" t="str">
        <f t="shared" si="0"/>
        <v>5F</v>
      </c>
      <c r="C71" s="28">
        <v>95</v>
      </c>
      <c r="D71" s="37" t="str">
        <f t="shared" si="1"/>
        <v>_</v>
      </c>
      <c r="Q71" s="80" t="s">
        <v>558</v>
      </c>
      <c r="R71">
        <f>CODE(Q71)</f>
        <v>236</v>
      </c>
    </row>
    <row r="72" spans="2:18" x14ac:dyDescent="0.3">
      <c r="B72" s="28" t="str">
        <f t="shared" si="0"/>
        <v>60</v>
      </c>
      <c r="C72" s="28">
        <v>96</v>
      </c>
      <c r="D72" s="37" t="str">
        <f t="shared" si="1"/>
        <v>`</v>
      </c>
      <c r="Q72" t="s">
        <v>567</v>
      </c>
      <c r="R72">
        <f>CODE(Q72)</f>
        <v>3</v>
      </c>
    </row>
    <row r="73" spans="2:18" x14ac:dyDescent="0.3">
      <c r="B73" s="28" t="str">
        <f t="shared" si="0"/>
        <v>61</v>
      </c>
      <c r="C73" s="28">
        <v>97</v>
      </c>
      <c r="D73" s="37" t="str">
        <f t="shared" si="1"/>
        <v>a</v>
      </c>
    </row>
    <row r="74" spans="2:18" x14ac:dyDescent="0.3">
      <c r="B74" s="28" t="str">
        <f t="shared" si="0"/>
        <v>62</v>
      </c>
      <c r="C74" s="28">
        <v>98</v>
      </c>
      <c r="D74" s="37" t="str">
        <f t="shared" si="1"/>
        <v>b</v>
      </c>
    </row>
    <row r="75" spans="2:18" x14ac:dyDescent="0.3">
      <c r="B75" s="28" t="str">
        <f t="shared" si="0"/>
        <v>63</v>
      </c>
      <c r="C75" s="28">
        <v>99</v>
      </c>
      <c r="D75" s="37" t="str">
        <f t="shared" si="1"/>
        <v>c</v>
      </c>
      <c r="O75" t="s">
        <v>574</v>
      </c>
      <c r="P75" t="s">
        <v>584</v>
      </c>
      <c r="Q75" t="s">
        <v>591</v>
      </c>
    </row>
    <row r="76" spans="2:18" x14ac:dyDescent="0.3">
      <c r="B76" s="28" t="str">
        <f t="shared" ref="B76:B140" si="2">DEC2HEX(C76)</f>
        <v>64</v>
      </c>
      <c r="C76" s="28">
        <v>100</v>
      </c>
      <c r="D76" s="37" t="str">
        <f t="shared" ref="D76:D140" si="3">CHAR(C76)</f>
        <v>d</v>
      </c>
      <c r="O76" t="s">
        <v>237</v>
      </c>
      <c r="P76" t="s">
        <v>588</v>
      </c>
      <c r="Q76" t="s">
        <v>590</v>
      </c>
    </row>
    <row r="77" spans="2:18" x14ac:dyDescent="0.3">
      <c r="B77" s="28" t="str">
        <f t="shared" si="2"/>
        <v>65</v>
      </c>
      <c r="C77" s="28">
        <v>101</v>
      </c>
      <c r="D77" s="37" t="str">
        <f t="shared" si="3"/>
        <v>e</v>
      </c>
      <c r="O77" t="s">
        <v>575</v>
      </c>
      <c r="P77" t="s">
        <v>597</v>
      </c>
      <c r="Q77" t="s">
        <v>592</v>
      </c>
    </row>
    <row r="78" spans="2:18" x14ac:dyDescent="0.3">
      <c r="B78" s="28" t="str">
        <f t="shared" si="2"/>
        <v>66</v>
      </c>
      <c r="C78" s="28">
        <v>102</v>
      </c>
      <c r="D78" s="37" t="str">
        <f t="shared" si="3"/>
        <v>f</v>
      </c>
      <c r="O78" t="s">
        <v>535</v>
      </c>
      <c r="P78" t="s">
        <v>585</v>
      </c>
      <c r="Q78" t="s">
        <v>593</v>
      </c>
    </row>
    <row r="79" spans="2:18" x14ac:dyDescent="0.3">
      <c r="B79" s="28" t="str">
        <f t="shared" si="2"/>
        <v>67</v>
      </c>
      <c r="C79" s="28">
        <v>103</v>
      </c>
      <c r="D79" s="37" t="str">
        <f t="shared" si="3"/>
        <v>g</v>
      </c>
      <c r="O79" t="s">
        <v>576</v>
      </c>
      <c r="P79" t="s">
        <v>586</v>
      </c>
      <c r="Q79" t="s">
        <v>589</v>
      </c>
    </row>
    <row r="80" spans="2:18" x14ac:dyDescent="0.3">
      <c r="B80" s="28" t="str">
        <f t="shared" si="2"/>
        <v>68</v>
      </c>
      <c r="C80" s="28">
        <v>104</v>
      </c>
      <c r="D80" s="37" t="str">
        <f t="shared" si="3"/>
        <v>h</v>
      </c>
      <c r="O80" t="s">
        <v>579</v>
      </c>
      <c r="P80" t="s">
        <v>587</v>
      </c>
      <c r="Q80" t="s">
        <v>598</v>
      </c>
    </row>
    <row r="81" spans="2:21" x14ac:dyDescent="0.3">
      <c r="B81" s="28" t="str">
        <f t="shared" si="2"/>
        <v>69</v>
      </c>
      <c r="C81" s="28">
        <v>105</v>
      </c>
      <c r="D81" s="37" t="str">
        <f t="shared" si="3"/>
        <v>i</v>
      </c>
      <c r="O81" t="s">
        <v>572</v>
      </c>
      <c r="P81" t="s">
        <v>594</v>
      </c>
    </row>
    <row r="82" spans="2:21" x14ac:dyDescent="0.3">
      <c r="B82" s="28" t="str">
        <f t="shared" si="2"/>
        <v>6A</v>
      </c>
      <c r="C82" s="28">
        <v>106</v>
      </c>
      <c r="D82" s="37" t="str">
        <f t="shared" si="3"/>
        <v>j</v>
      </c>
      <c r="O82" t="s">
        <v>577</v>
      </c>
      <c r="P82" t="s">
        <v>595</v>
      </c>
    </row>
    <row r="83" spans="2:21" x14ac:dyDescent="0.3">
      <c r="B83" s="28" t="str">
        <f t="shared" si="2"/>
        <v>6B</v>
      </c>
      <c r="C83" s="28">
        <v>107</v>
      </c>
      <c r="D83" s="37" t="str">
        <f t="shared" si="3"/>
        <v>k</v>
      </c>
      <c r="O83" t="s">
        <v>578</v>
      </c>
      <c r="P83" t="s">
        <v>596</v>
      </c>
    </row>
    <row r="84" spans="2:21" x14ac:dyDescent="0.3">
      <c r="B84" s="28" t="str">
        <f t="shared" si="2"/>
        <v>6C</v>
      </c>
      <c r="C84" s="28">
        <v>108</v>
      </c>
      <c r="D84" s="37" t="str">
        <f t="shared" si="3"/>
        <v>l</v>
      </c>
      <c r="O84" t="s">
        <v>580</v>
      </c>
    </row>
    <row r="85" spans="2:21" x14ac:dyDescent="0.3">
      <c r="B85" s="28" t="str">
        <f t="shared" si="2"/>
        <v>6D</v>
      </c>
      <c r="C85" s="28">
        <v>109</v>
      </c>
      <c r="D85" s="37" t="str">
        <f t="shared" si="3"/>
        <v>m</v>
      </c>
      <c r="O85" t="s">
        <v>582</v>
      </c>
    </row>
    <row r="86" spans="2:21" x14ac:dyDescent="0.3">
      <c r="B86" s="28" t="str">
        <f t="shared" si="2"/>
        <v>6E</v>
      </c>
      <c r="C86" s="28">
        <v>110</v>
      </c>
      <c r="D86" s="37" t="str">
        <f t="shared" si="3"/>
        <v>n</v>
      </c>
      <c r="O86" t="s">
        <v>571</v>
      </c>
    </row>
    <row r="87" spans="2:21" x14ac:dyDescent="0.3">
      <c r="B87" s="28" t="str">
        <f t="shared" si="2"/>
        <v>6F</v>
      </c>
      <c r="C87" s="28">
        <v>111</v>
      </c>
      <c r="D87" s="37" t="str">
        <f t="shared" si="3"/>
        <v>o</v>
      </c>
      <c r="O87" t="s">
        <v>583</v>
      </c>
    </row>
    <row r="88" spans="2:21" x14ac:dyDescent="0.3">
      <c r="B88" s="28" t="str">
        <f t="shared" si="2"/>
        <v>70</v>
      </c>
      <c r="C88" s="28">
        <v>112</v>
      </c>
      <c r="D88" s="37" t="str">
        <f t="shared" si="3"/>
        <v>p</v>
      </c>
      <c r="O88" t="s">
        <v>573</v>
      </c>
      <c r="R88" s="86" t="s">
        <v>8</v>
      </c>
      <c r="S88" s="87" t="s">
        <v>602</v>
      </c>
      <c r="T88" s="86" t="s">
        <v>8</v>
      </c>
      <c r="U88" s="87" t="s">
        <v>602</v>
      </c>
    </row>
    <row r="89" spans="2:21" x14ac:dyDescent="0.3">
      <c r="B89" s="28" t="str">
        <f t="shared" si="2"/>
        <v>71</v>
      </c>
      <c r="C89" s="28">
        <v>113</v>
      </c>
      <c r="D89" s="37" t="str">
        <f t="shared" si="3"/>
        <v>q</v>
      </c>
      <c r="O89" t="s">
        <v>581</v>
      </c>
      <c r="Q89" s="85" t="s">
        <v>607</v>
      </c>
      <c r="R89" s="106" t="s">
        <v>608</v>
      </c>
      <c r="S89" s="107"/>
      <c r="T89" s="106" t="s">
        <v>609</v>
      </c>
      <c r="U89" s="107"/>
    </row>
    <row r="90" spans="2:21" x14ac:dyDescent="0.3">
      <c r="B90" s="28" t="str">
        <f t="shared" si="2"/>
        <v>72</v>
      </c>
      <c r="C90" s="28">
        <v>114</v>
      </c>
      <c r="D90" s="37" t="str">
        <f t="shared" si="3"/>
        <v>r</v>
      </c>
      <c r="P90" t="s">
        <v>599</v>
      </c>
      <c r="Q90" s="89" t="s">
        <v>600</v>
      </c>
      <c r="R90" s="81" t="s">
        <v>603</v>
      </c>
      <c r="S90" s="82" t="s">
        <v>604</v>
      </c>
      <c r="T90" s="81" t="s">
        <v>605</v>
      </c>
      <c r="U90" s="82" t="s">
        <v>604</v>
      </c>
    </row>
    <row r="91" spans="2:21" x14ac:dyDescent="0.3">
      <c r="B91" s="28" t="str">
        <f t="shared" si="2"/>
        <v>73</v>
      </c>
      <c r="C91" s="28">
        <v>115</v>
      </c>
      <c r="D91" s="37" t="str">
        <f t="shared" si="3"/>
        <v>s</v>
      </c>
      <c r="Q91" s="90" t="s">
        <v>601</v>
      </c>
      <c r="R91" s="83" t="s">
        <v>605</v>
      </c>
      <c r="S91" s="84" t="s">
        <v>606</v>
      </c>
      <c r="T91" s="83" t="s">
        <v>603</v>
      </c>
      <c r="U91" s="84" t="s">
        <v>606</v>
      </c>
    </row>
    <row r="92" spans="2:21" x14ac:dyDescent="0.3">
      <c r="B92" s="28" t="str">
        <f t="shared" si="2"/>
        <v>74</v>
      </c>
      <c r="C92" s="28">
        <v>116</v>
      </c>
      <c r="D92" s="37" t="str">
        <f t="shared" si="3"/>
        <v>t</v>
      </c>
    </row>
    <row r="93" spans="2:21" x14ac:dyDescent="0.3">
      <c r="B93" s="28" t="str">
        <f t="shared" si="2"/>
        <v>75</v>
      </c>
      <c r="C93" s="28">
        <v>117</v>
      </c>
      <c r="D93" s="37" t="str">
        <f t="shared" si="3"/>
        <v>u</v>
      </c>
      <c r="R93" s="86" t="s">
        <v>8</v>
      </c>
      <c r="S93" s="88" t="s">
        <v>602</v>
      </c>
      <c r="T93" s="88" t="s">
        <v>8</v>
      </c>
      <c r="U93" s="87" t="s">
        <v>602</v>
      </c>
    </row>
    <row r="94" spans="2:21" x14ac:dyDescent="0.3">
      <c r="B94" s="28" t="str">
        <f t="shared" si="2"/>
        <v>76</v>
      </c>
      <c r="C94" s="28">
        <v>118</v>
      </c>
      <c r="D94" s="37" t="str">
        <f t="shared" si="3"/>
        <v>v</v>
      </c>
      <c r="Q94" s="85" t="s">
        <v>610</v>
      </c>
      <c r="R94" s="108" t="s">
        <v>608</v>
      </c>
      <c r="S94" s="108"/>
      <c r="T94" s="108" t="s">
        <v>609</v>
      </c>
      <c r="U94" s="109"/>
    </row>
    <row r="95" spans="2:21" x14ac:dyDescent="0.3">
      <c r="B95" s="28" t="str">
        <f t="shared" si="2"/>
        <v>77</v>
      </c>
      <c r="C95" s="28">
        <v>119</v>
      </c>
      <c r="D95" s="37" t="str">
        <f t="shared" si="3"/>
        <v>w</v>
      </c>
      <c r="Q95" s="89" t="s">
        <v>600</v>
      </c>
      <c r="R95" s="81" t="s">
        <v>605</v>
      </c>
      <c r="S95" s="82" t="s">
        <v>603</v>
      </c>
      <c r="T95" s="81" t="s">
        <v>603</v>
      </c>
      <c r="U95" s="82" t="s">
        <v>603</v>
      </c>
    </row>
    <row r="96" spans="2:21" x14ac:dyDescent="0.3">
      <c r="B96" s="28" t="str">
        <f t="shared" si="2"/>
        <v>78</v>
      </c>
      <c r="C96" s="28">
        <v>120</v>
      </c>
      <c r="D96" s="37" t="str">
        <f t="shared" si="3"/>
        <v>x</v>
      </c>
      <c r="Q96" s="90" t="s">
        <v>601</v>
      </c>
      <c r="R96" s="83" t="s">
        <v>603</v>
      </c>
      <c r="S96" s="84" t="s">
        <v>605</v>
      </c>
      <c r="T96" s="83" t="s">
        <v>605</v>
      </c>
      <c r="U96" s="84" t="s">
        <v>605</v>
      </c>
    </row>
    <row r="97" spans="2:4" x14ac:dyDescent="0.3">
      <c r="B97" s="28" t="str">
        <f t="shared" si="2"/>
        <v>79</v>
      </c>
      <c r="C97" s="28">
        <v>121</v>
      </c>
      <c r="D97" s="37" t="str">
        <f t="shared" si="3"/>
        <v>y</v>
      </c>
    </row>
    <row r="98" spans="2:4" x14ac:dyDescent="0.3">
      <c r="B98" s="28" t="str">
        <f t="shared" si="2"/>
        <v>7A</v>
      </c>
      <c r="C98" s="28">
        <v>122</v>
      </c>
      <c r="D98" s="37" t="str">
        <f t="shared" si="3"/>
        <v>z</v>
      </c>
    </row>
    <row r="99" spans="2:4" x14ac:dyDescent="0.3">
      <c r="B99" s="28" t="str">
        <f t="shared" si="2"/>
        <v>7B</v>
      </c>
      <c r="C99" s="28">
        <v>123</v>
      </c>
      <c r="D99" s="37" t="str">
        <f t="shared" si="3"/>
        <v>{</v>
      </c>
    </row>
    <row r="100" spans="2:4" x14ac:dyDescent="0.3">
      <c r="B100" s="28" t="str">
        <f t="shared" si="2"/>
        <v>7C</v>
      </c>
      <c r="C100" s="28">
        <v>124</v>
      </c>
      <c r="D100" s="28" t="str">
        <f t="shared" si="3"/>
        <v>|</v>
      </c>
    </row>
    <row r="101" spans="2:4" x14ac:dyDescent="0.3">
      <c r="B101" s="28" t="str">
        <f t="shared" si="2"/>
        <v>7D</v>
      </c>
      <c r="C101" s="28">
        <v>125</v>
      </c>
      <c r="D101" s="37" t="str">
        <f t="shared" si="3"/>
        <v>}</v>
      </c>
    </row>
    <row r="102" spans="2:4" x14ac:dyDescent="0.3">
      <c r="B102" s="28" t="str">
        <f t="shared" si="2"/>
        <v>7E</v>
      </c>
      <c r="C102" s="28">
        <v>126</v>
      </c>
      <c r="D102" s="37" t="str">
        <f t="shared" si="3"/>
        <v>~</v>
      </c>
    </row>
    <row r="103" spans="2:4" x14ac:dyDescent="0.3">
      <c r="B103" s="28"/>
      <c r="C103" s="28"/>
      <c r="D103" s="37"/>
    </row>
    <row r="104" spans="2:4" x14ac:dyDescent="0.3">
      <c r="B104" s="28" t="str">
        <f t="shared" si="2"/>
        <v>7F</v>
      </c>
      <c r="C104" s="28">
        <v>127</v>
      </c>
      <c r="D104" s="37" t="str">
        <f t="shared" si="3"/>
        <v></v>
      </c>
    </row>
    <row r="105" spans="2:4" x14ac:dyDescent="0.3">
      <c r="B105" s="28" t="str">
        <f t="shared" si="2"/>
        <v>80</v>
      </c>
      <c r="C105" s="28">
        <v>128</v>
      </c>
      <c r="D105" s="37" t="str">
        <f t="shared" si="3"/>
        <v>€</v>
      </c>
    </row>
    <row r="106" spans="2:4" x14ac:dyDescent="0.3">
      <c r="B106" s="28" t="str">
        <f t="shared" si="2"/>
        <v>81</v>
      </c>
      <c r="C106" s="28">
        <v>129</v>
      </c>
      <c r="D106" s="37" t="str">
        <f t="shared" si="3"/>
        <v></v>
      </c>
    </row>
    <row r="107" spans="2:4" x14ac:dyDescent="0.3">
      <c r="B107" s="28" t="str">
        <f t="shared" si="2"/>
        <v>82</v>
      </c>
      <c r="C107" s="28">
        <v>130</v>
      </c>
      <c r="D107" s="37" t="str">
        <f t="shared" si="3"/>
        <v>‚</v>
      </c>
    </row>
    <row r="108" spans="2:4" x14ac:dyDescent="0.3">
      <c r="B108" s="28" t="str">
        <f t="shared" si="2"/>
        <v>83</v>
      </c>
      <c r="C108" s="28">
        <v>131</v>
      </c>
      <c r="D108" s="37" t="str">
        <f t="shared" si="3"/>
        <v>ƒ</v>
      </c>
    </row>
    <row r="109" spans="2:4" x14ac:dyDescent="0.3">
      <c r="B109" s="28" t="str">
        <f t="shared" si="2"/>
        <v>84</v>
      </c>
      <c r="C109" s="28">
        <v>132</v>
      </c>
      <c r="D109" s="37" t="str">
        <f t="shared" si="3"/>
        <v>„</v>
      </c>
    </row>
    <row r="110" spans="2:4" x14ac:dyDescent="0.3">
      <c r="B110" s="28" t="str">
        <f t="shared" si="2"/>
        <v>85</v>
      </c>
      <c r="C110" s="28">
        <v>133</v>
      </c>
      <c r="D110" s="37" t="str">
        <f t="shared" si="3"/>
        <v>…</v>
      </c>
    </row>
    <row r="111" spans="2:4" x14ac:dyDescent="0.3">
      <c r="B111" s="28" t="str">
        <f t="shared" si="2"/>
        <v>86</v>
      </c>
      <c r="C111" s="28">
        <v>134</v>
      </c>
      <c r="D111" s="37" t="str">
        <f t="shared" si="3"/>
        <v>†</v>
      </c>
    </row>
    <row r="112" spans="2:4" x14ac:dyDescent="0.3">
      <c r="B112" s="28" t="str">
        <f t="shared" si="2"/>
        <v>87</v>
      </c>
      <c r="C112" s="28">
        <v>135</v>
      </c>
      <c r="D112" s="37" t="str">
        <f t="shared" si="3"/>
        <v>‡</v>
      </c>
    </row>
    <row r="113" spans="2:4" x14ac:dyDescent="0.3">
      <c r="B113" s="28" t="str">
        <f t="shared" si="2"/>
        <v>88</v>
      </c>
      <c r="C113" s="28">
        <v>136</v>
      </c>
      <c r="D113" s="37" t="str">
        <f t="shared" si="3"/>
        <v>ˆ</v>
      </c>
    </row>
    <row r="114" spans="2:4" x14ac:dyDescent="0.3">
      <c r="B114" s="28" t="str">
        <f t="shared" si="2"/>
        <v>89</v>
      </c>
      <c r="C114" s="28">
        <v>137</v>
      </c>
      <c r="D114" s="37" t="str">
        <f t="shared" si="3"/>
        <v>‰</v>
      </c>
    </row>
    <row r="115" spans="2:4" x14ac:dyDescent="0.3">
      <c r="B115" s="28" t="str">
        <f t="shared" si="2"/>
        <v>8A</v>
      </c>
      <c r="C115" s="28">
        <v>138</v>
      </c>
      <c r="D115" s="37" t="str">
        <f t="shared" si="3"/>
        <v>Š</v>
      </c>
    </row>
    <row r="116" spans="2:4" x14ac:dyDescent="0.3">
      <c r="B116" s="28" t="str">
        <f t="shared" si="2"/>
        <v>8B</v>
      </c>
      <c r="C116" s="28">
        <v>139</v>
      </c>
      <c r="D116" s="37" t="str">
        <f t="shared" si="3"/>
        <v>‹</v>
      </c>
    </row>
    <row r="117" spans="2:4" x14ac:dyDescent="0.3">
      <c r="B117" s="28" t="str">
        <f t="shared" si="2"/>
        <v>8C</v>
      </c>
      <c r="C117" s="28">
        <v>140</v>
      </c>
      <c r="D117" s="37" t="str">
        <f t="shared" si="3"/>
        <v>Œ</v>
      </c>
    </row>
    <row r="118" spans="2:4" x14ac:dyDescent="0.3">
      <c r="B118" s="28" t="str">
        <f t="shared" si="2"/>
        <v>8D</v>
      </c>
      <c r="C118" s="28">
        <v>141</v>
      </c>
      <c r="D118" s="37" t="str">
        <f t="shared" si="3"/>
        <v></v>
      </c>
    </row>
    <row r="119" spans="2:4" x14ac:dyDescent="0.3">
      <c r="B119" s="28" t="str">
        <f t="shared" si="2"/>
        <v>8E</v>
      </c>
      <c r="C119" s="28">
        <v>142</v>
      </c>
      <c r="D119" s="37" t="str">
        <f t="shared" si="3"/>
        <v>Ž</v>
      </c>
    </row>
    <row r="120" spans="2:4" x14ac:dyDescent="0.3">
      <c r="B120" s="28" t="str">
        <f t="shared" si="2"/>
        <v>8F</v>
      </c>
      <c r="C120" s="28">
        <v>143</v>
      </c>
      <c r="D120" s="37" t="str">
        <f t="shared" si="3"/>
        <v></v>
      </c>
    </row>
    <row r="121" spans="2:4" x14ac:dyDescent="0.3">
      <c r="B121" s="28" t="str">
        <f t="shared" si="2"/>
        <v>90</v>
      </c>
      <c r="C121" s="28">
        <v>144</v>
      </c>
      <c r="D121" s="37" t="str">
        <f t="shared" si="3"/>
        <v></v>
      </c>
    </row>
    <row r="122" spans="2:4" x14ac:dyDescent="0.3">
      <c r="B122" s="28" t="str">
        <f t="shared" si="2"/>
        <v>91</v>
      </c>
      <c r="C122" s="28">
        <v>145</v>
      </c>
      <c r="D122" s="37" t="str">
        <f t="shared" si="3"/>
        <v>‘</v>
      </c>
    </row>
    <row r="123" spans="2:4" x14ac:dyDescent="0.3">
      <c r="B123" s="28" t="str">
        <f t="shared" si="2"/>
        <v>92</v>
      </c>
      <c r="C123" s="28">
        <v>146</v>
      </c>
      <c r="D123" s="37" t="str">
        <f t="shared" si="3"/>
        <v>’</v>
      </c>
    </row>
    <row r="124" spans="2:4" x14ac:dyDescent="0.3">
      <c r="B124" s="28" t="str">
        <f t="shared" si="2"/>
        <v>93</v>
      </c>
      <c r="C124" s="28">
        <v>147</v>
      </c>
      <c r="D124" s="37" t="str">
        <f t="shared" si="3"/>
        <v>“</v>
      </c>
    </row>
    <row r="125" spans="2:4" x14ac:dyDescent="0.3">
      <c r="B125" s="28" t="str">
        <f t="shared" si="2"/>
        <v>94</v>
      </c>
      <c r="C125" s="28">
        <v>148</v>
      </c>
      <c r="D125" s="37" t="str">
        <f t="shared" si="3"/>
        <v>”</v>
      </c>
    </row>
    <row r="126" spans="2:4" x14ac:dyDescent="0.3">
      <c r="B126" s="28" t="str">
        <f t="shared" si="2"/>
        <v>95</v>
      </c>
      <c r="C126" s="28">
        <v>149</v>
      </c>
      <c r="D126" s="37" t="str">
        <f t="shared" si="3"/>
        <v>•</v>
      </c>
    </row>
    <row r="127" spans="2:4" x14ac:dyDescent="0.3">
      <c r="B127" s="28" t="str">
        <f t="shared" si="2"/>
        <v>96</v>
      </c>
      <c r="C127" s="28">
        <v>150</v>
      </c>
      <c r="D127" s="37" t="str">
        <f t="shared" si="3"/>
        <v>–</v>
      </c>
    </row>
    <row r="128" spans="2:4" x14ac:dyDescent="0.3">
      <c r="B128" s="28" t="str">
        <f t="shared" si="2"/>
        <v>97</v>
      </c>
      <c r="C128" s="28">
        <v>151</v>
      </c>
      <c r="D128" s="37" t="str">
        <f t="shared" si="3"/>
        <v>—</v>
      </c>
    </row>
    <row r="129" spans="2:4" x14ac:dyDescent="0.3">
      <c r="B129" s="28" t="str">
        <f t="shared" si="2"/>
        <v>98</v>
      </c>
      <c r="C129" s="28">
        <v>152</v>
      </c>
      <c r="D129" s="37" t="str">
        <f t="shared" si="3"/>
        <v>˜</v>
      </c>
    </row>
    <row r="130" spans="2:4" x14ac:dyDescent="0.3">
      <c r="B130" s="28" t="str">
        <f t="shared" si="2"/>
        <v>99</v>
      </c>
      <c r="C130" s="28">
        <v>153</v>
      </c>
      <c r="D130" s="37" t="str">
        <f t="shared" si="3"/>
        <v>™</v>
      </c>
    </row>
    <row r="131" spans="2:4" x14ac:dyDescent="0.3">
      <c r="B131" s="28" t="str">
        <f t="shared" si="2"/>
        <v>9A</v>
      </c>
      <c r="C131" s="28">
        <v>154</v>
      </c>
      <c r="D131" s="37" t="str">
        <f t="shared" si="3"/>
        <v>š</v>
      </c>
    </row>
    <row r="132" spans="2:4" x14ac:dyDescent="0.3">
      <c r="B132" s="28" t="str">
        <f t="shared" si="2"/>
        <v>9B</v>
      </c>
      <c r="C132" s="28">
        <v>155</v>
      </c>
      <c r="D132" s="37" t="str">
        <f t="shared" si="3"/>
        <v>›</v>
      </c>
    </row>
    <row r="133" spans="2:4" x14ac:dyDescent="0.3">
      <c r="B133" s="28" t="str">
        <f t="shared" si="2"/>
        <v>9C</v>
      </c>
      <c r="C133" s="28">
        <v>156</v>
      </c>
      <c r="D133" s="37" t="str">
        <f t="shared" si="3"/>
        <v>œ</v>
      </c>
    </row>
    <row r="134" spans="2:4" x14ac:dyDescent="0.3">
      <c r="B134" s="28" t="str">
        <f t="shared" si="2"/>
        <v>9D</v>
      </c>
      <c r="C134" s="28">
        <v>157</v>
      </c>
      <c r="D134" s="37" t="str">
        <f t="shared" si="3"/>
        <v></v>
      </c>
    </row>
    <row r="135" spans="2:4" x14ac:dyDescent="0.3">
      <c r="B135" s="28" t="str">
        <f t="shared" si="2"/>
        <v>9E</v>
      </c>
      <c r="C135" s="28">
        <v>158</v>
      </c>
      <c r="D135" s="37" t="str">
        <f t="shared" si="3"/>
        <v>ž</v>
      </c>
    </row>
    <row r="136" spans="2:4" x14ac:dyDescent="0.3">
      <c r="B136" s="28" t="str">
        <f t="shared" si="2"/>
        <v>9F</v>
      </c>
      <c r="C136" s="28">
        <v>159</v>
      </c>
      <c r="D136" s="37" t="str">
        <f t="shared" si="3"/>
        <v>Ÿ</v>
      </c>
    </row>
    <row r="137" spans="2:4" x14ac:dyDescent="0.3">
      <c r="B137" s="28" t="str">
        <f t="shared" si="2"/>
        <v>A0</v>
      </c>
      <c r="C137" s="28">
        <v>160</v>
      </c>
      <c r="D137" s="37" t="str">
        <f t="shared" si="3"/>
        <v> </v>
      </c>
    </row>
    <row r="138" spans="2:4" x14ac:dyDescent="0.3">
      <c r="B138" s="28" t="str">
        <f t="shared" si="2"/>
        <v>A1</v>
      </c>
      <c r="C138" s="28">
        <v>161</v>
      </c>
      <c r="D138" s="37" t="str">
        <f t="shared" si="3"/>
        <v>¡</v>
      </c>
    </row>
    <row r="139" spans="2:4" x14ac:dyDescent="0.3">
      <c r="B139" s="28" t="str">
        <f t="shared" si="2"/>
        <v>A2</v>
      </c>
      <c r="C139" s="28">
        <v>162</v>
      </c>
      <c r="D139" s="37" t="str">
        <f t="shared" si="3"/>
        <v>¢</v>
      </c>
    </row>
    <row r="140" spans="2:4" x14ac:dyDescent="0.3">
      <c r="B140" s="28" t="str">
        <f t="shared" si="2"/>
        <v>A3</v>
      </c>
      <c r="C140" s="28">
        <v>163</v>
      </c>
      <c r="D140" s="37" t="str">
        <f t="shared" si="3"/>
        <v>£</v>
      </c>
    </row>
    <row r="141" spans="2:4" x14ac:dyDescent="0.3">
      <c r="B141" s="28" t="str">
        <f t="shared" ref="B141:B204" si="4">DEC2HEX(C141)</f>
        <v>A4</v>
      </c>
      <c r="C141" s="28">
        <v>164</v>
      </c>
      <c r="D141" s="37" t="str">
        <f t="shared" ref="D141:D204" si="5">CHAR(C141)</f>
        <v>¤</v>
      </c>
    </row>
    <row r="142" spans="2:4" x14ac:dyDescent="0.3">
      <c r="B142" s="28" t="str">
        <f t="shared" si="4"/>
        <v>A5</v>
      </c>
      <c r="C142" s="28">
        <v>165</v>
      </c>
      <c r="D142" s="37" t="str">
        <f t="shared" si="5"/>
        <v>¥</v>
      </c>
    </row>
    <row r="143" spans="2:4" x14ac:dyDescent="0.3">
      <c r="B143" s="28" t="str">
        <f t="shared" si="4"/>
        <v>A6</v>
      </c>
      <c r="C143" s="28">
        <v>166</v>
      </c>
      <c r="D143" s="37" t="str">
        <f t="shared" si="5"/>
        <v>¦</v>
      </c>
    </row>
    <row r="144" spans="2:4" x14ac:dyDescent="0.3">
      <c r="B144" s="28" t="str">
        <f t="shared" si="4"/>
        <v>A7</v>
      </c>
      <c r="C144" s="28">
        <v>167</v>
      </c>
      <c r="D144" s="37" t="str">
        <f t="shared" si="5"/>
        <v>§</v>
      </c>
    </row>
    <row r="145" spans="2:4" x14ac:dyDescent="0.3">
      <c r="B145" s="28" t="str">
        <f t="shared" si="4"/>
        <v>A8</v>
      </c>
      <c r="C145" s="28">
        <v>168</v>
      </c>
      <c r="D145" s="37" t="str">
        <f t="shared" si="5"/>
        <v>¨</v>
      </c>
    </row>
    <row r="146" spans="2:4" x14ac:dyDescent="0.3">
      <c r="B146" s="28" t="str">
        <f t="shared" si="4"/>
        <v>A9</v>
      </c>
      <c r="C146" s="28">
        <v>169</v>
      </c>
      <c r="D146" s="37" t="str">
        <f t="shared" si="5"/>
        <v>©</v>
      </c>
    </row>
    <row r="147" spans="2:4" x14ac:dyDescent="0.3">
      <c r="B147" s="28" t="str">
        <f t="shared" si="4"/>
        <v>AA</v>
      </c>
      <c r="C147" s="28">
        <v>170</v>
      </c>
      <c r="D147" s="37" t="str">
        <f t="shared" si="5"/>
        <v>ª</v>
      </c>
    </row>
    <row r="148" spans="2:4" x14ac:dyDescent="0.3">
      <c r="B148" s="28" t="str">
        <f t="shared" si="4"/>
        <v>AB</v>
      </c>
      <c r="C148" s="28">
        <v>171</v>
      </c>
      <c r="D148" s="37" t="str">
        <f t="shared" si="5"/>
        <v>«</v>
      </c>
    </row>
    <row r="149" spans="2:4" x14ac:dyDescent="0.3">
      <c r="B149" s="28" t="str">
        <f t="shared" si="4"/>
        <v>AC</v>
      </c>
      <c r="C149" s="28">
        <v>172</v>
      </c>
      <c r="D149" s="37" t="str">
        <f t="shared" si="5"/>
        <v>¬</v>
      </c>
    </row>
    <row r="150" spans="2:4" x14ac:dyDescent="0.3">
      <c r="B150" s="28" t="str">
        <f t="shared" si="4"/>
        <v>AD</v>
      </c>
      <c r="C150" s="28">
        <v>173</v>
      </c>
      <c r="D150" s="28" t="str">
        <f t="shared" si="5"/>
        <v>­</v>
      </c>
    </row>
    <row r="151" spans="2:4" x14ac:dyDescent="0.3">
      <c r="B151" s="28" t="str">
        <f t="shared" si="4"/>
        <v>AE</v>
      </c>
      <c r="C151" s="28">
        <v>174</v>
      </c>
      <c r="D151" s="37" t="str">
        <f t="shared" si="5"/>
        <v>®</v>
      </c>
    </row>
    <row r="152" spans="2:4" x14ac:dyDescent="0.3">
      <c r="B152" s="28" t="str">
        <f t="shared" si="4"/>
        <v>AF</v>
      </c>
      <c r="C152" s="28">
        <v>175</v>
      </c>
      <c r="D152" s="37" t="str">
        <f t="shared" si="5"/>
        <v>¯</v>
      </c>
    </row>
    <row r="153" spans="2:4" x14ac:dyDescent="0.3">
      <c r="B153" s="28" t="str">
        <f t="shared" si="4"/>
        <v>B0</v>
      </c>
      <c r="C153" s="28">
        <v>176</v>
      </c>
      <c r="D153" s="37" t="str">
        <f t="shared" si="5"/>
        <v>°</v>
      </c>
    </row>
    <row r="154" spans="2:4" x14ac:dyDescent="0.3">
      <c r="B154" s="28" t="str">
        <f t="shared" si="4"/>
        <v>B1</v>
      </c>
      <c r="C154" s="28">
        <v>177</v>
      </c>
      <c r="D154" s="37" t="str">
        <f t="shared" si="5"/>
        <v>±</v>
      </c>
    </row>
    <row r="155" spans="2:4" x14ac:dyDescent="0.3">
      <c r="B155" s="28" t="str">
        <f t="shared" si="4"/>
        <v>B2</v>
      </c>
      <c r="C155" s="28">
        <v>178</v>
      </c>
      <c r="D155" s="37" t="str">
        <f t="shared" si="5"/>
        <v>²</v>
      </c>
    </row>
    <row r="156" spans="2:4" x14ac:dyDescent="0.3">
      <c r="B156" s="28" t="str">
        <f t="shared" si="4"/>
        <v>B3</v>
      </c>
      <c r="C156" s="28">
        <v>179</v>
      </c>
      <c r="D156" s="37" t="str">
        <f t="shared" si="5"/>
        <v>³</v>
      </c>
    </row>
    <row r="157" spans="2:4" x14ac:dyDescent="0.3">
      <c r="B157" s="28" t="str">
        <f t="shared" si="4"/>
        <v>B4</v>
      </c>
      <c r="C157" s="28">
        <v>180</v>
      </c>
      <c r="D157" s="37" t="str">
        <f t="shared" si="5"/>
        <v>´</v>
      </c>
    </row>
    <row r="158" spans="2:4" x14ac:dyDescent="0.3">
      <c r="B158" s="28" t="str">
        <f t="shared" si="4"/>
        <v>B5</v>
      </c>
      <c r="C158" s="28">
        <v>181</v>
      </c>
      <c r="D158" s="37" t="str">
        <f t="shared" si="5"/>
        <v>µ</v>
      </c>
    </row>
    <row r="159" spans="2:4" x14ac:dyDescent="0.3">
      <c r="B159" s="28" t="str">
        <f t="shared" si="4"/>
        <v>B6</v>
      </c>
      <c r="C159" s="28">
        <v>182</v>
      </c>
      <c r="D159" s="37" t="str">
        <f t="shared" si="5"/>
        <v>¶</v>
      </c>
    </row>
    <row r="160" spans="2:4" x14ac:dyDescent="0.3">
      <c r="B160" s="28" t="str">
        <f t="shared" si="4"/>
        <v>B7</v>
      </c>
      <c r="C160" s="28">
        <v>183</v>
      </c>
      <c r="D160" s="37" t="str">
        <f t="shared" si="5"/>
        <v>·</v>
      </c>
    </row>
    <row r="161" spans="2:4" x14ac:dyDescent="0.3">
      <c r="B161" s="28" t="str">
        <f t="shared" si="4"/>
        <v>B8</v>
      </c>
      <c r="C161" s="28">
        <v>184</v>
      </c>
      <c r="D161" s="37" t="str">
        <f t="shared" si="5"/>
        <v>¸</v>
      </c>
    </row>
    <row r="162" spans="2:4" x14ac:dyDescent="0.3">
      <c r="B162" s="28" t="str">
        <f t="shared" si="4"/>
        <v>B9</v>
      </c>
      <c r="C162" s="28">
        <v>185</v>
      </c>
      <c r="D162" s="37" t="str">
        <f t="shared" si="5"/>
        <v>¹</v>
      </c>
    </row>
    <row r="163" spans="2:4" x14ac:dyDescent="0.3">
      <c r="B163" s="28" t="str">
        <f t="shared" si="4"/>
        <v>BA</v>
      </c>
      <c r="C163" s="28">
        <v>186</v>
      </c>
      <c r="D163" s="37" t="str">
        <f t="shared" si="5"/>
        <v>º</v>
      </c>
    </row>
    <row r="164" spans="2:4" x14ac:dyDescent="0.3">
      <c r="B164" s="28" t="str">
        <f t="shared" si="4"/>
        <v>BB</v>
      </c>
      <c r="C164" s="28">
        <v>187</v>
      </c>
      <c r="D164" s="37" t="str">
        <f t="shared" si="5"/>
        <v>»</v>
      </c>
    </row>
    <row r="165" spans="2:4" x14ac:dyDescent="0.3">
      <c r="B165" s="28" t="str">
        <f t="shared" si="4"/>
        <v>BC</v>
      </c>
      <c r="C165" s="28">
        <v>188</v>
      </c>
      <c r="D165" s="37" t="str">
        <f t="shared" si="5"/>
        <v>¼</v>
      </c>
    </row>
    <row r="166" spans="2:4" x14ac:dyDescent="0.3">
      <c r="B166" s="28" t="str">
        <f t="shared" si="4"/>
        <v>BD</v>
      </c>
      <c r="C166" s="28">
        <v>189</v>
      </c>
      <c r="D166" s="37" t="str">
        <f t="shared" si="5"/>
        <v>½</v>
      </c>
    </row>
    <row r="167" spans="2:4" x14ac:dyDescent="0.3">
      <c r="B167" s="28" t="str">
        <f t="shared" si="4"/>
        <v>BE</v>
      </c>
      <c r="C167" s="28">
        <v>190</v>
      </c>
      <c r="D167" s="37" t="str">
        <f t="shared" si="5"/>
        <v>¾</v>
      </c>
    </row>
    <row r="168" spans="2:4" x14ac:dyDescent="0.3">
      <c r="B168" s="28" t="str">
        <f t="shared" si="4"/>
        <v>BF</v>
      </c>
      <c r="C168" s="28">
        <v>191</v>
      </c>
      <c r="D168" s="37" t="str">
        <f t="shared" si="5"/>
        <v>¿</v>
      </c>
    </row>
    <row r="169" spans="2:4" x14ac:dyDescent="0.3">
      <c r="B169" s="28" t="str">
        <f t="shared" si="4"/>
        <v>C0</v>
      </c>
      <c r="C169" s="28">
        <v>192</v>
      </c>
      <c r="D169" s="37" t="str">
        <f t="shared" si="5"/>
        <v>À</v>
      </c>
    </row>
    <row r="170" spans="2:4" x14ac:dyDescent="0.3">
      <c r="B170" s="28" t="str">
        <f t="shared" si="4"/>
        <v>C1</v>
      </c>
      <c r="C170" s="28">
        <v>193</v>
      </c>
      <c r="D170" s="37" t="str">
        <f t="shared" si="5"/>
        <v>Á</v>
      </c>
    </row>
    <row r="171" spans="2:4" x14ac:dyDescent="0.3">
      <c r="B171" s="28" t="str">
        <f t="shared" si="4"/>
        <v>C2</v>
      </c>
      <c r="C171" s="28">
        <v>194</v>
      </c>
      <c r="D171" s="37" t="str">
        <f t="shared" si="5"/>
        <v>Â</v>
      </c>
    </row>
    <row r="172" spans="2:4" x14ac:dyDescent="0.3">
      <c r="B172" s="28" t="str">
        <f t="shared" si="4"/>
        <v>C3</v>
      </c>
      <c r="C172" s="28">
        <v>195</v>
      </c>
      <c r="D172" s="37" t="str">
        <f t="shared" si="5"/>
        <v>Ã</v>
      </c>
    </row>
    <row r="173" spans="2:4" x14ac:dyDescent="0.3">
      <c r="B173" s="28" t="str">
        <f t="shared" si="4"/>
        <v>C4</v>
      </c>
      <c r="C173" s="28">
        <v>196</v>
      </c>
      <c r="D173" s="37" t="str">
        <f t="shared" si="5"/>
        <v>Ä</v>
      </c>
    </row>
    <row r="174" spans="2:4" x14ac:dyDescent="0.3">
      <c r="B174" s="28" t="str">
        <f t="shared" si="4"/>
        <v>C5</v>
      </c>
      <c r="C174" s="28">
        <v>197</v>
      </c>
      <c r="D174" s="37" t="str">
        <f t="shared" si="5"/>
        <v>Å</v>
      </c>
    </row>
    <row r="175" spans="2:4" x14ac:dyDescent="0.3">
      <c r="B175" s="28" t="str">
        <f t="shared" si="4"/>
        <v>C6</v>
      </c>
      <c r="C175" s="28">
        <v>198</v>
      </c>
      <c r="D175" s="37" t="str">
        <f t="shared" si="5"/>
        <v>Æ</v>
      </c>
    </row>
    <row r="176" spans="2:4" x14ac:dyDescent="0.3">
      <c r="B176" s="28" t="str">
        <f t="shared" si="4"/>
        <v>C7</v>
      </c>
      <c r="C176" s="28">
        <v>199</v>
      </c>
      <c r="D176" s="37" t="str">
        <f t="shared" si="5"/>
        <v>Ç</v>
      </c>
    </row>
    <row r="177" spans="2:4" x14ac:dyDescent="0.3">
      <c r="B177" s="28" t="str">
        <f t="shared" si="4"/>
        <v>C8</v>
      </c>
      <c r="C177" s="28">
        <v>200</v>
      </c>
      <c r="D177" s="37" t="str">
        <f t="shared" si="5"/>
        <v>È</v>
      </c>
    </row>
    <row r="178" spans="2:4" x14ac:dyDescent="0.3">
      <c r="B178" s="28" t="str">
        <f t="shared" si="4"/>
        <v>C9</v>
      </c>
      <c r="C178" s="28">
        <v>201</v>
      </c>
      <c r="D178" s="37" t="str">
        <f t="shared" si="5"/>
        <v>É</v>
      </c>
    </row>
    <row r="179" spans="2:4" x14ac:dyDescent="0.3">
      <c r="B179" s="28" t="str">
        <f t="shared" si="4"/>
        <v>CA</v>
      </c>
      <c r="C179" s="28">
        <v>202</v>
      </c>
      <c r="D179" s="37" t="str">
        <f t="shared" si="5"/>
        <v>Ê</v>
      </c>
    </row>
    <row r="180" spans="2:4" x14ac:dyDescent="0.3">
      <c r="B180" s="28" t="str">
        <f t="shared" si="4"/>
        <v>CB</v>
      </c>
      <c r="C180" s="28">
        <v>203</v>
      </c>
      <c r="D180" s="37" t="str">
        <f t="shared" si="5"/>
        <v>Ë</v>
      </c>
    </row>
    <row r="181" spans="2:4" x14ac:dyDescent="0.3">
      <c r="B181" s="28" t="str">
        <f t="shared" si="4"/>
        <v>CC</v>
      </c>
      <c r="C181" s="28">
        <v>204</v>
      </c>
      <c r="D181" s="37" t="str">
        <f t="shared" si="5"/>
        <v>Ì</v>
      </c>
    </row>
    <row r="182" spans="2:4" x14ac:dyDescent="0.3">
      <c r="B182" s="28" t="str">
        <f t="shared" si="4"/>
        <v>CD</v>
      </c>
      <c r="C182" s="28">
        <v>205</v>
      </c>
      <c r="D182" s="37" t="str">
        <f t="shared" si="5"/>
        <v>Í</v>
      </c>
    </row>
    <row r="183" spans="2:4" x14ac:dyDescent="0.3">
      <c r="B183" s="28" t="str">
        <f t="shared" si="4"/>
        <v>CE</v>
      </c>
      <c r="C183" s="28">
        <v>206</v>
      </c>
      <c r="D183" s="37" t="str">
        <f t="shared" si="5"/>
        <v>Î</v>
      </c>
    </row>
    <row r="184" spans="2:4" x14ac:dyDescent="0.3">
      <c r="B184" s="28" t="str">
        <f t="shared" si="4"/>
        <v>CF</v>
      </c>
      <c r="C184" s="28">
        <v>207</v>
      </c>
      <c r="D184" s="37" t="str">
        <f t="shared" si="5"/>
        <v>Ï</v>
      </c>
    </row>
    <row r="185" spans="2:4" x14ac:dyDescent="0.3">
      <c r="B185" s="28" t="str">
        <f t="shared" si="4"/>
        <v>D0</v>
      </c>
      <c r="C185" s="28">
        <v>208</v>
      </c>
      <c r="D185" s="37" t="str">
        <f t="shared" si="5"/>
        <v>Ð</v>
      </c>
    </row>
    <row r="186" spans="2:4" x14ac:dyDescent="0.3">
      <c r="B186" s="28" t="str">
        <f t="shared" si="4"/>
        <v>D1</v>
      </c>
      <c r="C186" s="28">
        <v>209</v>
      </c>
      <c r="D186" s="37" t="str">
        <f t="shared" si="5"/>
        <v>Ñ</v>
      </c>
    </row>
    <row r="187" spans="2:4" x14ac:dyDescent="0.3">
      <c r="B187" s="28" t="str">
        <f t="shared" si="4"/>
        <v>D2</v>
      </c>
      <c r="C187" s="28">
        <v>210</v>
      </c>
      <c r="D187" s="37" t="str">
        <f t="shared" si="5"/>
        <v>Ò</v>
      </c>
    </row>
    <row r="188" spans="2:4" x14ac:dyDescent="0.3">
      <c r="B188" s="28" t="str">
        <f t="shared" si="4"/>
        <v>D3</v>
      </c>
      <c r="C188" s="28">
        <v>211</v>
      </c>
      <c r="D188" s="37" t="str">
        <f t="shared" si="5"/>
        <v>Ó</v>
      </c>
    </row>
    <row r="189" spans="2:4" x14ac:dyDescent="0.3">
      <c r="B189" s="28" t="str">
        <f t="shared" si="4"/>
        <v>D4</v>
      </c>
      <c r="C189" s="28">
        <v>212</v>
      </c>
      <c r="D189" s="37" t="str">
        <f t="shared" si="5"/>
        <v>Ô</v>
      </c>
    </row>
    <row r="190" spans="2:4" x14ac:dyDescent="0.3">
      <c r="B190" s="28" t="str">
        <f t="shared" si="4"/>
        <v>D5</v>
      </c>
      <c r="C190" s="28">
        <v>213</v>
      </c>
      <c r="D190" s="37" t="str">
        <f t="shared" si="5"/>
        <v>Õ</v>
      </c>
    </row>
    <row r="191" spans="2:4" x14ac:dyDescent="0.3">
      <c r="B191" s="28" t="str">
        <f t="shared" si="4"/>
        <v>D6</v>
      </c>
      <c r="C191" s="28">
        <v>214</v>
      </c>
      <c r="D191" s="37" t="str">
        <f t="shared" si="5"/>
        <v>Ö</v>
      </c>
    </row>
    <row r="192" spans="2:4" x14ac:dyDescent="0.3">
      <c r="B192" s="28" t="str">
        <f t="shared" si="4"/>
        <v>D7</v>
      </c>
      <c r="C192" s="28">
        <v>215</v>
      </c>
      <c r="D192" s="37" t="str">
        <f t="shared" si="5"/>
        <v>×</v>
      </c>
    </row>
    <row r="193" spans="2:4" x14ac:dyDescent="0.3">
      <c r="B193" s="28" t="str">
        <f t="shared" si="4"/>
        <v>D8</v>
      </c>
      <c r="C193" s="28">
        <v>216</v>
      </c>
      <c r="D193" s="28" t="str">
        <f t="shared" si="5"/>
        <v>Ø</v>
      </c>
    </row>
    <row r="194" spans="2:4" x14ac:dyDescent="0.3">
      <c r="B194" s="28" t="str">
        <f t="shared" si="4"/>
        <v>D9</v>
      </c>
      <c r="C194" s="28">
        <v>217</v>
      </c>
      <c r="D194" s="37" t="str">
        <f t="shared" si="5"/>
        <v>Ù</v>
      </c>
    </row>
    <row r="195" spans="2:4" x14ac:dyDescent="0.3">
      <c r="B195" s="28" t="str">
        <f t="shared" si="4"/>
        <v>DA</v>
      </c>
      <c r="C195" s="28">
        <v>218</v>
      </c>
      <c r="D195" s="37" t="str">
        <f t="shared" si="5"/>
        <v>Ú</v>
      </c>
    </row>
    <row r="196" spans="2:4" x14ac:dyDescent="0.3">
      <c r="B196" s="28" t="str">
        <f t="shared" si="4"/>
        <v>DB</v>
      </c>
      <c r="C196" s="28">
        <v>219</v>
      </c>
      <c r="D196" s="37" t="str">
        <f t="shared" si="5"/>
        <v>Û</v>
      </c>
    </row>
    <row r="197" spans="2:4" x14ac:dyDescent="0.3">
      <c r="B197" s="28" t="str">
        <f t="shared" si="4"/>
        <v>DC</v>
      </c>
      <c r="C197" s="28">
        <v>220</v>
      </c>
      <c r="D197" s="37" t="str">
        <f t="shared" si="5"/>
        <v>Ü</v>
      </c>
    </row>
    <row r="198" spans="2:4" x14ac:dyDescent="0.3">
      <c r="B198" s="28" t="str">
        <f t="shared" si="4"/>
        <v>DD</v>
      </c>
      <c r="C198" s="28">
        <v>221</v>
      </c>
      <c r="D198" s="37" t="str">
        <f t="shared" si="5"/>
        <v>Ý</v>
      </c>
    </row>
    <row r="199" spans="2:4" x14ac:dyDescent="0.3">
      <c r="B199" s="28" t="str">
        <f t="shared" si="4"/>
        <v>DE</v>
      </c>
      <c r="C199" s="28">
        <v>222</v>
      </c>
      <c r="D199" s="37" t="str">
        <f t="shared" si="5"/>
        <v>Þ</v>
      </c>
    </row>
    <row r="200" spans="2:4" x14ac:dyDescent="0.3">
      <c r="B200" s="28" t="str">
        <f t="shared" si="4"/>
        <v>DF</v>
      </c>
      <c r="C200" s="28">
        <v>223</v>
      </c>
      <c r="D200" s="37" t="str">
        <f t="shared" si="5"/>
        <v>ß</v>
      </c>
    </row>
    <row r="201" spans="2:4" x14ac:dyDescent="0.3">
      <c r="B201" s="28" t="str">
        <f t="shared" si="4"/>
        <v>E0</v>
      </c>
      <c r="C201" s="28">
        <v>224</v>
      </c>
      <c r="D201" s="37" t="str">
        <f t="shared" si="5"/>
        <v>à</v>
      </c>
    </row>
    <row r="202" spans="2:4" x14ac:dyDescent="0.3">
      <c r="B202" s="28" t="str">
        <f t="shared" si="4"/>
        <v>E1</v>
      </c>
      <c r="C202" s="28">
        <v>225</v>
      </c>
      <c r="D202" s="37" t="str">
        <f t="shared" si="5"/>
        <v>á</v>
      </c>
    </row>
    <row r="203" spans="2:4" x14ac:dyDescent="0.3">
      <c r="B203" s="28" t="str">
        <f t="shared" si="4"/>
        <v>E2</v>
      </c>
      <c r="C203" s="28">
        <v>226</v>
      </c>
      <c r="D203" s="37" t="str">
        <f t="shared" si="5"/>
        <v>â</v>
      </c>
    </row>
    <row r="204" spans="2:4" x14ac:dyDescent="0.3">
      <c r="B204" s="28" t="str">
        <f t="shared" si="4"/>
        <v>E3</v>
      </c>
      <c r="C204" s="28">
        <v>227</v>
      </c>
      <c r="D204" s="37" t="str">
        <f t="shared" si="5"/>
        <v>ã</v>
      </c>
    </row>
    <row r="205" spans="2:4" x14ac:dyDescent="0.3">
      <c r="B205" s="28" t="str">
        <f t="shared" ref="B205:B268" si="6">DEC2HEX(C205)</f>
        <v>E4</v>
      </c>
      <c r="C205" s="28">
        <v>228</v>
      </c>
      <c r="D205" s="37" t="str">
        <f t="shared" ref="D205:D268" si="7">CHAR(C205)</f>
        <v>ä</v>
      </c>
    </row>
    <row r="206" spans="2:4" x14ac:dyDescent="0.3">
      <c r="B206" s="28" t="str">
        <f t="shared" si="6"/>
        <v>E5</v>
      </c>
      <c r="C206" s="28">
        <v>229</v>
      </c>
      <c r="D206" s="37" t="str">
        <f t="shared" si="7"/>
        <v>å</v>
      </c>
    </row>
    <row r="207" spans="2:4" x14ac:dyDescent="0.3">
      <c r="B207" s="28" t="str">
        <f t="shared" si="6"/>
        <v>E6</v>
      </c>
      <c r="C207" s="28">
        <v>230</v>
      </c>
      <c r="D207" s="37" t="str">
        <f t="shared" si="7"/>
        <v>æ</v>
      </c>
    </row>
    <row r="208" spans="2:4" x14ac:dyDescent="0.3">
      <c r="B208" s="28" t="str">
        <f t="shared" si="6"/>
        <v>E7</v>
      </c>
      <c r="C208" s="28">
        <v>231</v>
      </c>
      <c r="D208" s="37" t="str">
        <f t="shared" si="7"/>
        <v>ç</v>
      </c>
    </row>
    <row r="209" spans="2:4" x14ac:dyDescent="0.3">
      <c r="B209" s="28" t="str">
        <f t="shared" si="6"/>
        <v>E8</v>
      </c>
      <c r="C209" s="28">
        <v>232</v>
      </c>
      <c r="D209" s="37" t="str">
        <f t="shared" si="7"/>
        <v>è</v>
      </c>
    </row>
    <row r="210" spans="2:4" x14ac:dyDescent="0.3">
      <c r="B210" s="28" t="str">
        <f t="shared" si="6"/>
        <v>E9</v>
      </c>
      <c r="C210" s="28">
        <v>233</v>
      </c>
      <c r="D210" s="37" t="str">
        <f t="shared" si="7"/>
        <v>é</v>
      </c>
    </row>
    <row r="211" spans="2:4" x14ac:dyDescent="0.3">
      <c r="B211" s="28" t="str">
        <f t="shared" si="6"/>
        <v>EA</v>
      </c>
      <c r="C211" s="28">
        <v>234</v>
      </c>
      <c r="D211" s="37" t="str">
        <f t="shared" si="7"/>
        <v>ê</v>
      </c>
    </row>
    <row r="212" spans="2:4" x14ac:dyDescent="0.3">
      <c r="B212" s="28" t="str">
        <f t="shared" si="6"/>
        <v>EB</v>
      </c>
      <c r="C212" s="28">
        <v>235</v>
      </c>
      <c r="D212" s="37" t="str">
        <f t="shared" si="7"/>
        <v>ë</v>
      </c>
    </row>
    <row r="213" spans="2:4" x14ac:dyDescent="0.3">
      <c r="B213" s="28" t="str">
        <f t="shared" si="6"/>
        <v>EC</v>
      </c>
      <c r="C213" s="28">
        <v>236</v>
      </c>
      <c r="D213" s="37" t="str">
        <f t="shared" si="7"/>
        <v>ì</v>
      </c>
    </row>
    <row r="214" spans="2:4" x14ac:dyDescent="0.3">
      <c r="B214" s="28" t="str">
        <f t="shared" si="6"/>
        <v>ED</v>
      </c>
      <c r="C214" s="28">
        <v>237</v>
      </c>
      <c r="D214" s="37" t="str">
        <f t="shared" si="7"/>
        <v>í</v>
      </c>
    </row>
    <row r="215" spans="2:4" x14ac:dyDescent="0.3">
      <c r="B215" s="28" t="str">
        <f t="shared" si="6"/>
        <v>EE</v>
      </c>
      <c r="C215" s="28">
        <v>238</v>
      </c>
      <c r="D215" s="37" t="str">
        <f t="shared" si="7"/>
        <v>î</v>
      </c>
    </row>
    <row r="216" spans="2:4" x14ac:dyDescent="0.3">
      <c r="B216" s="28" t="str">
        <f t="shared" si="6"/>
        <v>EF</v>
      </c>
      <c r="C216" s="28">
        <v>239</v>
      </c>
      <c r="D216" s="37" t="str">
        <f t="shared" si="7"/>
        <v>ï</v>
      </c>
    </row>
    <row r="217" spans="2:4" x14ac:dyDescent="0.3">
      <c r="B217" s="28" t="str">
        <f t="shared" si="6"/>
        <v>F0</v>
      </c>
      <c r="C217" s="28">
        <v>240</v>
      </c>
      <c r="D217" s="37" t="str">
        <f t="shared" si="7"/>
        <v>ð</v>
      </c>
    </row>
    <row r="218" spans="2:4" x14ac:dyDescent="0.3">
      <c r="B218" s="28" t="str">
        <f t="shared" si="6"/>
        <v>F1</v>
      </c>
      <c r="C218" s="28">
        <v>241</v>
      </c>
      <c r="D218" s="37" t="str">
        <f t="shared" si="7"/>
        <v>ñ</v>
      </c>
    </row>
    <row r="219" spans="2:4" x14ac:dyDescent="0.3">
      <c r="B219" s="28" t="str">
        <f t="shared" si="6"/>
        <v>F2</v>
      </c>
      <c r="C219" s="28">
        <v>242</v>
      </c>
      <c r="D219" s="37" t="str">
        <f t="shared" si="7"/>
        <v>ò</v>
      </c>
    </row>
    <row r="220" spans="2:4" x14ac:dyDescent="0.3">
      <c r="B220" s="28" t="str">
        <f t="shared" si="6"/>
        <v>F3</v>
      </c>
      <c r="C220" s="28">
        <v>243</v>
      </c>
      <c r="D220" s="37" t="str">
        <f t="shared" si="7"/>
        <v>ó</v>
      </c>
    </row>
    <row r="221" spans="2:4" x14ac:dyDescent="0.3">
      <c r="B221" s="28" t="str">
        <f t="shared" si="6"/>
        <v>F4</v>
      </c>
      <c r="C221" s="28">
        <v>244</v>
      </c>
      <c r="D221" s="37" t="str">
        <f t="shared" si="7"/>
        <v>ô</v>
      </c>
    </row>
    <row r="222" spans="2:4" x14ac:dyDescent="0.3">
      <c r="B222" s="28" t="str">
        <f t="shared" si="6"/>
        <v>F5</v>
      </c>
      <c r="C222" s="28">
        <v>245</v>
      </c>
      <c r="D222" s="37" t="str">
        <f t="shared" si="7"/>
        <v>õ</v>
      </c>
    </row>
    <row r="223" spans="2:4" x14ac:dyDescent="0.3">
      <c r="B223" s="28" t="str">
        <f t="shared" si="6"/>
        <v>F6</v>
      </c>
      <c r="C223" s="28">
        <v>246</v>
      </c>
      <c r="D223" s="37" t="str">
        <f t="shared" si="7"/>
        <v>ö</v>
      </c>
    </row>
    <row r="224" spans="2:4" x14ac:dyDescent="0.3">
      <c r="B224" s="28" t="str">
        <f t="shared" si="6"/>
        <v>F7</v>
      </c>
      <c r="C224" s="28">
        <v>247</v>
      </c>
      <c r="D224" s="37" t="str">
        <f t="shared" si="7"/>
        <v>÷</v>
      </c>
    </row>
    <row r="225" spans="2:4" x14ac:dyDescent="0.3">
      <c r="B225" s="28" t="str">
        <f t="shared" si="6"/>
        <v>F8</v>
      </c>
      <c r="C225" s="28">
        <v>248</v>
      </c>
      <c r="D225" s="37" t="str">
        <f t="shared" si="7"/>
        <v>ø</v>
      </c>
    </row>
    <row r="226" spans="2:4" x14ac:dyDescent="0.3">
      <c r="B226" s="28" t="str">
        <f t="shared" si="6"/>
        <v>F9</v>
      </c>
      <c r="C226" s="28">
        <v>249</v>
      </c>
      <c r="D226" s="37" t="str">
        <f t="shared" si="7"/>
        <v>ù</v>
      </c>
    </row>
    <row r="227" spans="2:4" x14ac:dyDescent="0.3">
      <c r="B227" s="28" t="str">
        <f t="shared" si="6"/>
        <v>FA</v>
      </c>
      <c r="C227" s="28">
        <v>250</v>
      </c>
      <c r="D227" s="37" t="str">
        <f t="shared" si="7"/>
        <v>ú</v>
      </c>
    </row>
    <row r="228" spans="2:4" x14ac:dyDescent="0.3">
      <c r="B228" s="28" t="str">
        <f t="shared" si="6"/>
        <v>FB</v>
      </c>
      <c r="C228" s="28">
        <v>251</v>
      </c>
      <c r="D228" s="37" t="str">
        <f t="shared" si="7"/>
        <v>û</v>
      </c>
    </row>
    <row r="229" spans="2:4" x14ac:dyDescent="0.3">
      <c r="B229" s="28" t="str">
        <f t="shared" si="6"/>
        <v>FC</v>
      </c>
      <c r="C229" s="28">
        <v>252</v>
      </c>
      <c r="D229" s="28" t="str">
        <f t="shared" si="7"/>
        <v>ü</v>
      </c>
    </row>
    <row r="230" spans="2:4" x14ac:dyDescent="0.3">
      <c r="B230" s="28" t="str">
        <f t="shared" si="6"/>
        <v>FD</v>
      </c>
      <c r="C230" s="28">
        <v>253</v>
      </c>
      <c r="D230" s="37" t="str">
        <f t="shared" si="7"/>
        <v>ý</v>
      </c>
    </row>
    <row r="231" spans="2:4" x14ac:dyDescent="0.3">
      <c r="B231" s="28" t="str">
        <f t="shared" si="6"/>
        <v>FE</v>
      </c>
      <c r="C231" s="28">
        <v>254</v>
      </c>
      <c r="D231" s="37" t="str">
        <f t="shared" si="7"/>
        <v>þ</v>
      </c>
    </row>
    <row r="232" spans="2:4" x14ac:dyDescent="0.3">
      <c r="B232" s="28" t="str">
        <f t="shared" si="6"/>
        <v>FF</v>
      </c>
      <c r="C232" s="28">
        <v>255</v>
      </c>
      <c r="D232" s="37" t="str">
        <f t="shared" si="7"/>
        <v>ÿ</v>
      </c>
    </row>
    <row r="233" spans="2:4" x14ac:dyDescent="0.3">
      <c r="B233" s="28" t="str">
        <f t="shared" si="6"/>
        <v>100</v>
      </c>
      <c r="C233" s="28">
        <v>256</v>
      </c>
      <c r="D233" s="37" t="e">
        <f t="shared" si="7"/>
        <v>#VALUE!</v>
      </c>
    </row>
    <row r="234" spans="2:4" x14ac:dyDescent="0.3">
      <c r="B234" s="28" t="str">
        <f t="shared" si="6"/>
        <v>101</v>
      </c>
      <c r="C234" s="28">
        <v>257</v>
      </c>
      <c r="D234" s="37" t="e">
        <f t="shared" si="7"/>
        <v>#VALUE!</v>
      </c>
    </row>
    <row r="235" spans="2:4" x14ac:dyDescent="0.3">
      <c r="B235" s="28" t="str">
        <f t="shared" si="6"/>
        <v>102</v>
      </c>
      <c r="C235" s="28">
        <v>258</v>
      </c>
      <c r="D235" s="37" t="e">
        <f t="shared" si="7"/>
        <v>#VALUE!</v>
      </c>
    </row>
    <row r="236" spans="2:4" x14ac:dyDescent="0.3">
      <c r="B236" s="28" t="str">
        <f t="shared" si="6"/>
        <v>103</v>
      </c>
      <c r="C236" s="28">
        <v>259</v>
      </c>
      <c r="D236" s="37" t="e">
        <f t="shared" si="7"/>
        <v>#VALUE!</v>
      </c>
    </row>
    <row r="237" spans="2:4" x14ac:dyDescent="0.3">
      <c r="B237" s="28" t="str">
        <f t="shared" si="6"/>
        <v>104</v>
      </c>
      <c r="C237" s="28">
        <v>260</v>
      </c>
      <c r="D237" s="37" t="e">
        <f t="shared" si="7"/>
        <v>#VALUE!</v>
      </c>
    </row>
    <row r="238" spans="2:4" x14ac:dyDescent="0.3">
      <c r="B238" s="28" t="str">
        <f t="shared" si="6"/>
        <v>105</v>
      </c>
      <c r="C238" s="28">
        <v>261</v>
      </c>
      <c r="D238" s="37" t="e">
        <f t="shared" si="7"/>
        <v>#VALUE!</v>
      </c>
    </row>
    <row r="239" spans="2:4" x14ac:dyDescent="0.3">
      <c r="B239" s="28" t="str">
        <f t="shared" si="6"/>
        <v>106</v>
      </c>
      <c r="C239" s="28">
        <v>262</v>
      </c>
      <c r="D239" s="37" t="e">
        <f t="shared" si="7"/>
        <v>#VALUE!</v>
      </c>
    </row>
    <row r="240" spans="2:4" x14ac:dyDescent="0.3">
      <c r="B240" s="28" t="str">
        <f t="shared" si="6"/>
        <v>107</v>
      </c>
      <c r="C240" s="28">
        <v>263</v>
      </c>
      <c r="D240" s="37" t="e">
        <f t="shared" si="7"/>
        <v>#VALUE!</v>
      </c>
    </row>
    <row r="241" spans="2:4" x14ac:dyDescent="0.3">
      <c r="B241" s="28" t="str">
        <f t="shared" si="6"/>
        <v>108</v>
      </c>
      <c r="C241" s="28">
        <v>264</v>
      </c>
      <c r="D241" s="37" t="e">
        <f t="shared" si="7"/>
        <v>#VALUE!</v>
      </c>
    </row>
    <row r="242" spans="2:4" x14ac:dyDescent="0.3">
      <c r="B242" s="28" t="str">
        <f t="shared" si="6"/>
        <v>109</v>
      </c>
      <c r="C242" s="28">
        <v>265</v>
      </c>
      <c r="D242" s="37" t="e">
        <f t="shared" si="7"/>
        <v>#VALUE!</v>
      </c>
    </row>
    <row r="243" spans="2:4" x14ac:dyDescent="0.3">
      <c r="B243" s="28" t="str">
        <f t="shared" si="6"/>
        <v>10A</v>
      </c>
      <c r="C243" s="28">
        <v>266</v>
      </c>
      <c r="D243" s="37" t="e">
        <f t="shared" si="7"/>
        <v>#VALUE!</v>
      </c>
    </row>
    <row r="244" spans="2:4" x14ac:dyDescent="0.3">
      <c r="B244" s="28" t="str">
        <f t="shared" si="6"/>
        <v>10B</v>
      </c>
      <c r="C244" s="28">
        <v>267</v>
      </c>
      <c r="D244" s="37" t="e">
        <f t="shared" si="7"/>
        <v>#VALUE!</v>
      </c>
    </row>
    <row r="245" spans="2:4" x14ac:dyDescent="0.3">
      <c r="B245" s="28" t="str">
        <f t="shared" si="6"/>
        <v>10C</v>
      </c>
      <c r="C245" s="28">
        <v>268</v>
      </c>
      <c r="D245" s="37" t="e">
        <f t="shared" si="7"/>
        <v>#VALUE!</v>
      </c>
    </row>
    <row r="246" spans="2:4" x14ac:dyDescent="0.3">
      <c r="B246" s="28" t="str">
        <f t="shared" si="6"/>
        <v>10D</v>
      </c>
      <c r="C246" s="28">
        <v>269</v>
      </c>
      <c r="D246" s="37" t="e">
        <f t="shared" si="7"/>
        <v>#VALUE!</v>
      </c>
    </row>
    <row r="247" spans="2:4" x14ac:dyDescent="0.3">
      <c r="B247" s="28" t="str">
        <f t="shared" si="6"/>
        <v>10E</v>
      </c>
      <c r="C247" s="28">
        <v>270</v>
      </c>
      <c r="D247" s="37" t="e">
        <f t="shared" si="7"/>
        <v>#VALUE!</v>
      </c>
    </row>
    <row r="248" spans="2:4" x14ac:dyDescent="0.3">
      <c r="B248" s="28" t="str">
        <f t="shared" si="6"/>
        <v>10F</v>
      </c>
      <c r="C248" s="28">
        <v>271</v>
      </c>
      <c r="D248" s="37" t="e">
        <f t="shared" si="7"/>
        <v>#VALUE!</v>
      </c>
    </row>
    <row r="249" spans="2:4" x14ac:dyDescent="0.3">
      <c r="B249" s="28" t="str">
        <f t="shared" si="6"/>
        <v>110</v>
      </c>
      <c r="C249" s="28">
        <v>272</v>
      </c>
      <c r="D249" s="37" t="e">
        <f t="shared" si="7"/>
        <v>#VALUE!</v>
      </c>
    </row>
    <row r="250" spans="2:4" x14ac:dyDescent="0.3">
      <c r="B250" s="28" t="str">
        <f t="shared" si="6"/>
        <v>111</v>
      </c>
      <c r="C250" s="28">
        <v>273</v>
      </c>
      <c r="D250" s="37" t="e">
        <f t="shared" si="7"/>
        <v>#VALUE!</v>
      </c>
    </row>
    <row r="251" spans="2:4" x14ac:dyDescent="0.3">
      <c r="B251" s="28" t="str">
        <f t="shared" si="6"/>
        <v>112</v>
      </c>
      <c r="C251" s="28">
        <v>274</v>
      </c>
      <c r="D251" s="37" t="e">
        <f t="shared" si="7"/>
        <v>#VALUE!</v>
      </c>
    </row>
    <row r="252" spans="2:4" x14ac:dyDescent="0.3">
      <c r="B252" s="28" t="str">
        <f t="shared" si="6"/>
        <v>113</v>
      </c>
      <c r="C252" s="28">
        <v>275</v>
      </c>
      <c r="D252" s="37" t="e">
        <f t="shared" si="7"/>
        <v>#VALUE!</v>
      </c>
    </row>
    <row r="253" spans="2:4" x14ac:dyDescent="0.3">
      <c r="B253" s="28" t="str">
        <f t="shared" si="6"/>
        <v>114</v>
      </c>
      <c r="C253" s="28">
        <v>276</v>
      </c>
      <c r="D253" s="37" t="e">
        <f t="shared" si="7"/>
        <v>#VALUE!</v>
      </c>
    </row>
    <row r="254" spans="2:4" x14ac:dyDescent="0.3">
      <c r="B254" s="28" t="str">
        <f t="shared" si="6"/>
        <v>115</v>
      </c>
      <c r="C254" s="28">
        <v>277</v>
      </c>
      <c r="D254" s="37" t="e">
        <f t="shared" si="7"/>
        <v>#VALUE!</v>
      </c>
    </row>
    <row r="255" spans="2:4" x14ac:dyDescent="0.3">
      <c r="B255" s="28" t="str">
        <f t="shared" si="6"/>
        <v>116</v>
      </c>
      <c r="C255" s="28">
        <v>278</v>
      </c>
      <c r="D255" s="37" t="e">
        <f t="shared" si="7"/>
        <v>#VALUE!</v>
      </c>
    </row>
    <row r="256" spans="2:4" x14ac:dyDescent="0.3">
      <c r="B256" s="28" t="str">
        <f t="shared" si="6"/>
        <v>117</v>
      </c>
      <c r="C256" s="28">
        <v>279</v>
      </c>
      <c r="D256" s="37" t="e">
        <f t="shared" si="7"/>
        <v>#VALUE!</v>
      </c>
    </row>
    <row r="257" spans="2:4" x14ac:dyDescent="0.3">
      <c r="B257" s="28" t="str">
        <f t="shared" si="6"/>
        <v>118</v>
      </c>
      <c r="C257" s="28">
        <v>280</v>
      </c>
      <c r="D257" s="37" t="e">
        <f t="shared" si="7"/>
        <v>#VALUE!</v>
      </c>
    </row>
    <row r="258" spans="2:4" x14ac:dyDescent="0.3">
      <c r="B258" s="28" t="str">
        <f t="shared" si="6"/>
        <v>119</v>
      </c>
      <c r="C258" s="28">
        <v>281</v>
      </c>
      <c r="D258" s="37" t="e">
        <f t="shared" si="7"/>
        <v>#VALUE!</v>
      </c>
    </row>
    <row r="259" spans="2:4" x14ac:dyDescent="0.3">
      <c r="B259" s="28" t="str">
        <f t="shared" si="6"/>
        <v>11A</v>
      </c>
      <c r="C259" s="28">
        <v>282</v>
      </c>
      <c r="D259" s="37" t="e">
        <f t="shared" si="7"/>
        <v>#VALUE!</v>
      </c>
    </row>
    <row r="260" spans="2:4" x14ac:dyDescent="0.3">
      <c r="B260" s="28" t="str">
        <f t="shared" si="6"/>
        <v>11B</v>
      </c>
      <c r="C260" s="28">
        <v>283</v>
      </c>
      <c r="D260" s="37" t="e">
        <f t="shared" si="7"/>
        <v>#VALUE!</v>
      </c>
    </row>
    <row r="261" spans="2:4" x14ac:dyDescent="0.3">
      <c r="B261" s="28" t="str">
        <f t="shared" si="6"/>
        <v>11C</v>
      </c>
      <c r="C261" s="28">
        <v>284</v>
      </c>
      <c r="D261" s="37" t="e">
        <f t="shared" si="7"/>
        <v>#VALUE!</v>
      </c>
    </row>
    <row r="262" spans="2:4" x14ac:dyDescent="0.3">
      <c r="B262" s="28" t="str">
        <f t="shared" si="6"/>
        <v>11D</v>
      </c>
      <c r="C262" s="28">
        <v>285</v>
      </c>
      <c r="D262" s="37" t="e">
        <f t="shared" si="7"/>
        <v>#VALUE!</v>
      </c>
    </row>
    <row r="263" spans="2:4" x14ac:dyDescent="0.3">
      <c r="B263" s="28" t="str">
        <f t="shared" si="6"/>
        <v>11E</v>
      </c>
      <c r="C263" s="28">
        <v>286</v>
      </c>
      <c r="D263" s="37" t="e">
        <f t="shared" si="7"/>
        <v>#VALUE!</v>
      </c>
    </row>
    <row r="264" spans="2:4" x14ac:dyDescent="0.3">
      <c r="B264" s="28" t="str">
        <f t="shared" si="6"/>
        <v>11F</v>
      </c>
      <c r="C264" s="28">
        <v>287</v>
      </c>
      <c r="D264" s="37" t="e">
        <f t="shared" si="7"/>
        <v>#VALUE!</v>
      </c>
    </row>
    <row r="265" spans="2:4" x14ac:dyDescent="0.3">
      <c r="B265" s="28" t="str">
        <f t="shared" si="6"/>
        <v>120</v>
      </c>
      <c r="C265" s="28">
        <v>288</v>
      </c>
      <c r="D265" s="37" t="e">
        <f t="shared" si="7"/>
        <v>#VALUE!</v>
      </c>
    </row>
    <row r="266" spans="2:4" x14ac:dyDescent="0.3">
      <c r="B266" s="28" t="str">
        <f t="shared" si="6"/>
        <v>121</v>
      </c>
      <c r="C266" s="28">
        <v>289</v>
      </c>
      <c r="D266" s="37" t="e">
        <f t="shared" si="7"/>
        <v>#VALUE!</v>
      </c>
    </row>
    <row r="267" spans="2:4" x14ac:dyDescent="0.3">
      <c r="B267" s="28" t="str">
        <f t="shared" si="6"/>
        <v>122</v>
      </c>
      <c r="C267" s="28">
        <v>290</v>
      </c>
      <c r="D267" s="37" t="e">
        <f t="shared" si="7"/>
        <v>#VALUE!</v>
      </c>
    </row>
    <row r="268" spans="2:4" x14ac:dyDescent="0.3">
      <c r="B268" s="28" t="str">
        <f t="shared" si="6"/>
        <v>123</v>
      </c>
      <c r="C268" s="28">
        <v>291</v>
      </c>
      <c r="D268" s="37" t="e">
        <f t="shared" si="7"/>
        <v>#VALUE!</v>
      </c>
    </row>
    <row r="269" spans="2:4" x14ac:dyDescent="0.3">
      <c r="B269" s="28" t="str">
        <f t="shared" ref="B269:B283" si="8">DEC2HEX(C269)</f>
        <v>124</v>
      </c>
      <c r="C269" s="28">
        <v>292</v>
      </c>
      <c r="D269" s="37" t="e">
        <f t="shared" ref="D269:D283" si="9">CHAR(C269)</f>
        <v>#VALUE!</v>
      </c>
    </row>
    <row r="270" spans="2:4" x14ac:dyDescent="0.3">
      <c r="B270" s="28" t="str">
        <f t="shared" si="8"/>
        <v>125</v>
      </c>
      <c r="C270" s="28">
        <v>293</v>
      </c>
      <c r="D270" s="37" t="e">
        <f t="shared" si="9"/>
        <v>#VALUE!</v>
      </c>
    </row>
    <row r="271" spans="2:4" x14ac:dyDescent="0.3">
      <c r="B271" s="28" t="str">
        <f t="shared" si="8"/>
        <v>126</v>
      </c>
      <c r="C271" s="28">
        <v>294</v>
      </c>
      <c r="D271" s="37" t="e">
        <f t="shared" si="9"/>
        <v>#VALUE!</v>
      </c>
    </row>
    <row r="272" spans="2:4" x14ac:dyDescent="0.3">
      <c r="B272" s="28" t="str">
        <f t="shared" si="8"/>
        <v>127</v>
      </c>
      <c r="C272" s="28">
        <v>295</v>
      </c>
      <c r="D272" s="37" t="e">
        <f t="shared" si="9"/>
        <v>#VALUE!</v>
      </c>
    </row>
    <row r="273" spans="2:4" x14ac:dyDescent="0.3">
      <c r="B273" s="28" t="str">
        <f t="shared" si="8"/>
        <v>128</v>
      </c>
      <c r="C273" s="28">
        <v>296</v>
      </c>
      <c r="D273" s="37" t="e">
        <f t="shared" si="9"/>
        <v>#VALUE!</v>
      </c>
    </row>
    <row r="274" spans="2:4" x14ac:dyDescent="0.3">
      <c r="B274" s="28" t="str">
        <f t="shared" si="8"/>
        <v>129</v>
      </c>
      <c r="C274" s="28">
        <v>297</v>
      </c>
      <c r="D274" s="37" t="e">
        <f t="shared" si="9"/>
        <v>#VALUE!</v>
      </c>
    </row>
    <row r="275" spans="2:4" x14ac:dyDescent="0.3">
      <c r="B275" s="28" t="str">
        <f t="shared" si="8"/>
        <v>12A</v>
      </c>
      <c r="C275" s="28">
        <v>298</v>
      </c>
      <c r="D275" s="37" t="e">
        <f t="shared" si="9"/>
        <v>#VALUE!</v>
      </c>
    </row>
    <row r="276" spans="2:4" x14ac:dyDescent="0.3">
      <c r="B276" s="28" t="str">
        <f t="shared" si="8"/>
        <v>12B</v>
      </c>
      <c r="C276" s="28">
        <v>299</v>
      </c>
      <c r="D276" s="37" t="e">
        <f t="shared" si="9"/>
        <v>#VALUE!</v>
      </c>
    </row>
    <row r="277" spans="2:4" x14ac:dyDescent="0.3">
      <c r="B277" s="28" t="str">
        <f t="shared" si="8"/>
        <v>12C</v>
      </c>
      <c r="C277" s="28">
        <v>300</v>
      </c>
      <c r="D277" s="37" t="e">
        <f t="shared" si="9"/>
        <v>#VALUE!</v>
      </c>
    </row>
    <row r="278" spans="2:4" x14ac:dyDescent="0.3">
      <c r="B278" s="28" t="str">
        <f t="shared" si="8"/>
        <v>12D</v>
      </c>
      <c r="C278" s="28">
        <v>301</v>
      </c>
      <c r="D278" s="37" t="e">
        <f t="shared" si="9"/>
        <v>#VALUE!</v>
      </c>
    </row>
    <row r="279" spans="2:4" x14ac:dyDescent="0.3">
      <c r="B279" s="28" t="str">
        <f t="shared" si="8"/>
        <v>12E</v>
      </c>
      <c r="C279" s="28">
        <v>302</v>
      </c>
      <c r="D279" s="37" t="e">
        <f t="shared" si="9"/>
        <v>#VALUE!</v>
      </c>
    </row>
    <row r="280" spans="2:4" x14ac:dyDescent="0.3">
      <c r="B280" s="28" t="str">
        <f t="shared" si="8"/>
        <v>12F</v>
      </c>
      <c r="C280" s="28">
        <v>303</v>
      </c>
      <c r="D280" s="37" t="e">
        <f t="shared" si="9"/>
        <v>#VALUE!</v>
      </c>
    </row>
    <row r="281" spans="2:4" x14ac:dyDescent="0.3">
      <c r="B281" s="28" t="str">
        <f t="shared" si="8"/>
        <v>130</v>
      </c>
      <c r="C281" s="28">
        <v>304</v>
      </c>
      <c r="D281" s="37" t="e">
        <f t="shared" si="9"/>
        <v>#VALUE!</v>
      </c>
    </row>
    <row r="282" spans="2:4" x14ac:dyDescent="0.3">
      <c r="B282" s="28" t="str">
        <f t="shared" si="8"/>
        <v>131</v>
      </c>
      <c r="C282" s="28">
        <v>305</v>
      </c>
      <c r="D282" s="37" t="e">
        <f t="shared" si="9"/>
        <v>#VALUE!</v>
      </c>
    </row>
    <row r="283" spans="2:4" x14ac:dyDescent="0.3">
      <c r="B283" s="28" t="str">
        <f t="shared" si="8"/>
        <v>132</v>
      </c>
      <c r="C283" s="28">
        <v>306</v>
      </c>
      <c r="D283" s="37" t="e">
        <f t="shared" si="9"/>
        <v>#VALUE!</v>
      </c>
    </row>
  </sheetData>
  <sortState xmlns:xlrd2="http://schemas.microsoft.com/office/spreadsheetml/2017/richdata2" ref="Q75:Q80">
    <sortCondition ref="Q75:Q80"/>
  </sortState>
  <mergeCells count="4">
    <mergeCell ref="R89:S89"/>
    <mergeCell ref="T89:U89"/>
    <mergeCell ref="R94:S94"/>
    <mergeCell ref="T94:U94"/>
  </mergeCells>
  <phoneticPr fontId="6" type="noConversion"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Ini File</vt:lpstr>
      <vt:lpstr>PinOuts</vt:lpstr>
      <vt:lpstr>Struct Size</vt:lpstr>
      <vt:lpstr>ProgramKeys</vt:lpstr>
      <vt:lpstr>ControlLocation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Elf</dc:creator>
  <cp:lastModifiedBy>Edward French</cp:lastModifiedBy>
  <dcterms:created xsi:type="dcterms:W3CDTF">2017-07-28T07:37:15Z</dcterms:created>
  <dcterms:modified xsi:type="dcterms:W3CDTF">2024-06-20T04:43:52Z</dcterms:modified>
</cp:coreProperties>
</file>